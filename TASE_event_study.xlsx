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7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xglaser/Library/Mobile Documents/com~apple~CloudDocs/IDC/Year 2/Semester 2/Quant/Project/"/>
    </mc:Choice>
  </mc:AlternateContent>
  <xr:revisionPtr revIDLastSave="0" documentId="13_ncr:1_{742D750D-A0F3-7D4D-9878-0912C4227BF9}" xr6:coauthVersionLast="47" xr6:coauthVersionMax="47" xr10:uidLastSave="{00000000-0000-0000-0000-000000000000}"/>
  <bookViews>
    <workbookView xWindow="0" yWindow="660" windowWidth="29400" windowHeight="17200" xr2:uid="{9ABD9F0D-63E8-1B4C-9ACD-447D92B92AFF}"/>
  </bookViews>
  <sheets>
    <sheet name="Info" sheetId="12" r:id="rId1"/>
    <sheet name="Data" sheetId="2" r:id="rId2"/>
    <sheet name="Fattal" sheetId="3" r:id="rId3"/>
    <sheet name="Isrotel" sheetId="4" r:id="rId4"/>
    <sheet name="Dan" sheetId="5" r:id="rId5"/>
    <sheet name="Cross sectional" sheetId="6" r:id="rId6"/>
    <sheet name="MLR" sheetId="8" r:id="rId7"/>
    <sheet name="Normality" sheetId="9" r:id="rId8"/>
    <sheet name="Charts" sheetId="10" r:id="rId9"/>
    <sheet name="Conclusions" sheetId="11" r:id="rId10"/>
    <sheet name="Results" sheetId="7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20" i="5" l="1"/>
  <c r="C19" i="5"/>
  <c r="C18" i="5"/>
  <c r="C16" i="5"/>
  <c r="C15" i="5"/>
  <c r="C13" i="5"/>
  <c r="C12" i="5"/>
  <c r="C11" i="5"/>
  <c r="C10" i="5"/>
  <c r="C20" i="4"/>
  <c r="C19" i="4"/>
  <c r="C18" i="4"/>
  <c r="C16" i="4"/>
  <c r="C15" i="4"/>
  <c r="C13" i="4"/>
  <c r="C12" i="4"/>
  <c r="C11" i="4"/>
  <c r="C10" i="4"/>
  <c r="D25" i="3"/>
  <c r="F718" i="2"/>
  <c r="G718" i="2"/>
  <c r="H718" i="2"/>
  <c r="I718" i="2"/>
  <c r="F719" i="2"/>
  <c r="G719" i="2"/>
  <c r="H719" i="2"/>
  <c r="I719" i="2"/>
  <c r="F720" i="2"/>
  <c r="G720" i="2"/>
  <c r="H720" i="2"/>
  <c r="I720" i="2"/>
  <c r="F721" i="2"/>
  <c r="G721" i="2"/>
  <c r="H721" i="2"/>
  <c r="I721" i="2"/>
  <c r="F722" i="2"/>
  <c r="G722" i="2"/>
  <c r="H722" i="2"/>
  <c r="I722" i="2"/>
  <c r="F723" i="2"/>
  <c r="G723" i="2"/>
  <c r="H723" i="2"/>
  <c r="I723" i="2"/>
  <c r="F724" i="2"/>
  <c r="G724" i="2"/>
  <c r="H724" i="2"/>
  <c r="I724" i="2"/>
  <c r="F725" i="2"/>
  <c r="G725" i="2"/>
  <c r="H725" i="2"/>
  <c r="I725" i="2"/>
  <c r="F726" i="2"/>
  <c r="G726" i="2"/>
  <c r="H726" i="2"/>
  <c r="I726" i="2"/>
  <c r="F727" i="2"/>
  <c r="G727" i="2"/>
  <c r="H727" i="2"/>
  <c r="I727" i="2"/>
  <c r="F728" i="2"/>
  <c r="G728" i="2"/>
  <c r="H728" i="2"/>
  <c r="I728" i="2"/>
  <c r="F729" i="2"/>
  <c r="G729" i="2"/>
  <c r="H729" i="2"/>
  <c r="I729" i="2"/>
  <c r="F730" i="2"/>
  <c r="G730" i="2"/>
  <c r="H730" i="2"/>
  <c r="I730" i="2"/>
  <c r="F731" i="2"/>
  <c r="G731" i="2"/>
  <c r="H731" i="2"/>
  <c r="I731" i="2"/>
  <c r="F732" i="2"/>
  <c r="G732" i="2"/>
  <c r="H732" i="2"/>
  <c r="I732" i="2"/>
  <c r="F733" i="2"/>
  <c r="G733" i="2"/>
  <c r="H733" i="2"/>
  <c r="I733" i="2"/>
  <c r="F734" i="2"/>
  <c r="G734" i="2"/>
  <c r="H734" i="2"/>
  <c r="I734" i="2"/>
  <c r="F735" i="2"/>
  <c r="G735" i="2"/>
  <c r="H735" i="2"/>
  <c r="I735" i="2"/>
  <c r="F736" i="2"/>
  <c r="G736" i="2"/>
  <c r="H736" i="2"/>
  <c r="I736" i="2"/>
  <c r="F737" i="2"/>
  <c r="G737" i="2"/>
  <c r="H737" i="2"/>
  <c r="I737" i="2"/>
  <c r="F738" i="2"/>
  <c r="G738" i="2"/>
  <c r="H738" i="2"/>
  <c r="I738" i="2"/>
  <c r="F739" i="2"/>
  <c r="G739" i="2"/>
  <c r="H739" i="2"/>
  <c r="I739" i="2"/>
  <c r="F740" i="2"/>
  <c r="G740" i="2"/>
  <c r="H740" i="2"/>
  <c r="I740" i="2"/>
  <c r="F741" i="2"/>
  <c r="G741" i="2"/>
  <c r="H741" i="2"/>
  <c r="I741" i="2"/>
  <c r="F742" i="2"/>
  <c r="G742" i="2"/>
  <c r="H742" i="2"/>
  <c r="I742" i="2"/>
  <c r="F743" i="2"/>
  <c r="G743" i="2"/>
  <c r="H743" i="2"/>
  <c r="I743" i="2"/>
  <c r="F744" i="2"/>
  <c r="G744" i="2"/>
  <c r="H744" i="2"/>
  <c r="I744" i="2"/>
  <c r="F745" i="2"/>
  <c r="G745" i="2"/>
  <c r="H745" i="2"/>
  <c r="I745" i="2"/>
  <c r="F746" i="2"/>
  <c r="G746" i="2"/>
  <c r="H746" i="2"/>
  <c r="I746" i="2"/>
  <c r="F747" i="2"/>
  <c r="G747" i="2"/>
  <c r="H747" i="2"/>
  <c r="I747" i="2"/>
  <c r="F748" i="2"/>
  <c r="G748" i="2"/>
  <c r="H748" i="2"/>
  <c r="I748" i="2"/>
  <c r="F749" i="2"/>
  <c r="G749" i="2"/>
  <c r="H749" i="2"/>
  <c r="I749" i="2"/>
  <c r="F750" i="2"/>
  <c r="G750" i="2"/>
  <c r="H750" i="2"/>
  <c r="I750" i="2"/>
  <c r="F751" i="2"/>
  <c r="G751" i="2"/>
  <c r="H751" i="2"/>
  <c r="I751" i="2"/>
  <c r="F752" i="2"/>
  <c r="G752" i="2"/>
  <c r="H752" i="2"/>
  <c r="I752" i="2"/>
  <c r="F753" i="2"/>
  <c r="G753" i="2"/>
  <c r="H753" i="2"/>
  <c r="I753" i="2"/>
  <c r="F754" i="2"/>
  <c r="G754" i="2"/>
  <c r="H754" i="2"/>
  <c r="I754" i="2"/>
  <c r="F755" i="2"/>
  <c r="G755" i="2"/>
  <c r="H755" i="2"/>
  <c r="I755" i="2"/>
  <c r="F756" i="2"/>
  <c r="G756" i="2"/>
  <c r="H756" i="2"/>
  <c r="I756" i="2"/>
  <c r="F757" i="2"/>
  <c r="G757" i="2"/>
  <c r="H757" i="2"/>
  <c r="I757" i="2"/>
  <c r="F758" i="2"/>
  <c r="G758" i="2"/>
  <c r="H758" i="2"/>
  <c r="I758" i="2"/>
  <c r="F759" i="2"/>
  <c r="G759" i="2"/>
  <c r="H759" i="2"/>
  <c r="I759" i="2"/>
  <c r="F760" i="2"/>
  <c r="G760" i="2"/>
  <c r="H760" i="2"/>
  <c r="I760" i="2"/>
  <c r="F761" i="2"/>
  <c r="G761" i="2"/>
  <c r="H761" i="2"/>
  <c r="I761" i="2"/>
  <c r="F762" i="2"/>
  <c r="G762" i="2"/>
  <c r="H762" i="2"/>
  <c r="I762" i="2"/>
  <c r="F763" i="2"/>
  <c r="G763" i="2"/>
  <c r="H763" i="2"/>
  <c r="I763" i="2"/>
  <c r="F764" i="2"/>
  <c r="G764" i="2"/>
  <c r="H764" i="2"/>
  <c r="I764" i="2"/>
  <c r="F765" i="2"/>
  <c r="G765" i="2"/>
  <c r="H765" i="2"/>
  <c r="I765" i="2"/>
  <c r="F766" i="2"/>
  <c r="G766" i="2"/>
  <c r="H766" i="2"/>
  <c r="I766" i="2"/>
  <c r="F767" i="2"/>
  <c r="G767" i="2"/>
  <c r="H767" i="2"/>
  <c r="I767" i="2"/>
  <c r="F768" i="2"/>
  <c r="G768" i="2"/>
  <c r="H768" i="2"/>
  <c r="I768" i="2"/>
  <c r="F769" i="2"/>
  <c r="G769" i="2"/>
  <c r="H769" i="2"/>
  <c r="I769" i="2"/>
  <c r="F770" i="2"/>
  <c r="G770" i="2"/>
  <c r="H770" i="2"/>
  <c r="I770" i="2"/>
  <c r="F771" i="2"/>
  <c r="G771" i="2"/>
  <c r="H771" i="2"/>
  <c r="I771" i="2"/>
  <c r="F772" i="2"/>
  <c r="G772" i="2"/>
  <c r="H772" i="2"/>
  <c r="I772" i="2"/>
  <c r="F773" i="2"/>
  <c r="G773" i="2"/>
  <c r="H773" i="2"/>
  <c r="I773" i="2"/>
  <c r="F774" i="2"/>
  <c r="G774" i="2"/>
  <c r="H774" i="2"/>
  <c r="I774" i="2"/>
  <c r="F775" i="2"/>
  <c r="G775" i="2"/>
  <c r="H775" i="2"/>
  <c r="I775" i="2"/>
  <c r="F776" i="2"/>
  <c r="G776" i="2"/>
  <c r="H776" i="2"/>
  <c r="I776" i="2"/>
  <c r="F777" i="2"/>
  <c r="G777" i="2"/>
  <c r="H777" i="2"/>
  <c r="I777" i="2"/>
  <c r="F778" i="2"/>
  <c r="G778" i="2"/>
  <c r="H778" i="2"/>
  <c r="I778" i="2"/>
  <c r="F779" i="2"/>
  <c r="G779" i="2"/>
  <c r="H779" i="2"/>
  <c r="I779" i="2"/>
  <c r="F780" i="2"/>
  <c r="G780" i="2"/>
  <c r="H780" i="2"/>
  <c r="I780" i="2"/>
  <c r="F781" i="2"/>
  <c r="G781" i="2"/>
  <c r="H781" i="2"/>
  <c r="I781" i="2"/>
  <c r="F782" i="2"/>
  <c r="G782" i="2"/>
  <c r="H782" i="2"/>
  <c r="I782" i="2"/>
  <c r="F783" i="2"/>
  <c r="G783" i="2"/>
  <c r="H783" i="2"/>
  <c r="I783" i="2"/>
  <c r="F784" i="2"/>
  <c r="G784" i="2"/>
  <c r="H784" i="2"/>
  <c r="I784" i="2"/>
  <c r="F785" i="2"/>
  <c r="G785" i="2"/>
  <c r="H785" i="2"/>
  <c r="I785" i="2"/>
  <c r="F786" i="2"/>
  <c r="G786" i="2"/>
  <c r="H786" i="2"/>
  <c r="I786" i="2"/>
  <c r="F787" i="2"/>
  <c r="G787" i="2"/>
  <c r="H787" i="2"/>
  <c r="I787" i="2"/>
  <c r="F788" i="2"/>
  <c r="G788" i="2"/>
  <c r="H788" i="2"/>
  <c r="I788" i="2"/>
  <c r="F789" i="2"/>
  <c r="G789" i="2"/>
  <c r="H789" i="2"/>
  <c r="I789" i="2"/>
  <c r="F790" i="2"/>
  <c r="G790" i="2"/>
  <c r="H790" i="2"/>
  <c r="I790" i="2"/>
  <c r="F791" i="2"/>
  <c r="G791" i="2"/>
  <c r="H791" i="2"/>
  <c r="I791" i="2"/>
  <c r="F792" i="2"/>
  <c r="G792" i="2"/>
  <c r="H792" i="2"/>
  <c r="I792" i="2"/>
  <c r="F793" i="2"/>
  <c r="G793" i="2"/>
  <c r="H793" i="2"/>
  <c r="I793" i="2"/>
  <c r="F794" i="2"/>
  <c r="G794" i="2"/>
  <c r="H794" i="2"/>
  <c r="I794" i="2"/>
  <c r="F795" i="2"/>
  <c r="G795" i="2"/>
  <c r="H795" i="2"/>
  <c r="I795" i="2"/>
  <c r="F796" i="2"/>
  <c r="G796" i="2"/>
  <c r="H796" i="2"/>
  <c r="I796" i="2"/>
  <c r="F797" i="2"/>
  <c r="G797" i="2"/>
  <c r="H797" i="2"/>
  <c r="I797" i="2"/>
  <c r="F798" i="2"/>
  <c r="G798" i="2"/>
  <c r="H798" i="2"/>
  <c r="I798" i="2"/>
  <c r="F799" i="2"/>
  <c r="G799" i="2"/>
  <c r="H799" i="2"/>
  <c r="I799" i="2"/>
  <c r="F800" i="2"/>
  <c r="G800" i="2"/>
  <c r="H800" i="2"/>
  <c r="I800" i="2"/>
  <c r="F801" i="2"/>
  <c r="G801" i="2"/>
  <c r="H801" i="2"/>
  <c r="I801" i="2"/>
  <c r="F802" i="2"/>
  <c r="G802" i="2"/>
  <c r="H802" i="2"/>
  <c r="I802" i="2"/>
  <c r="F803" i="2"/>
  <c r="G803" i="2"/>
  <c r="H803" i="2"/>
  <c r="I803" i="2"/>
  <c r="F804" i="2"/>
  <c r="G804" i="2"/>
  <c r="H804" i="2"/>
  <c r="I804" i="2"/>
  <c r="F805" i="2"/>
  <c r="G805" i="2"/>
  <c r="H805" i="2"/>
  <c r="I805" i="2"/>
  <c r="F806" i="2"/>
  <c r="G806" i="2"/>
  <c r="H806" i="2"/>
  <c r="I806" i="2"/>
  <c r="F807" i="2"/>
  <c r="G807" i="2"/>
  <c r="H807" i="2"/>
  <c r="I807" i="2"/>
  <c r="F808" i="2"/>
  <c r="G808" i="2"/>
  <c r="H808" i="2"/>
  <c r="I808" i="2"/>
  <c r="F809" i="2"/>
  <c r="G809" i="2"/>
  <c r="H809" i="2"/>
  <c r="I809" i="2"/>
  <c r="F810" i="2"/>
  <c r="G810" i="2"/>
  <c r="H810" i="2"/>
  <c r="I810" i="2"/>
  <c r="F811" i="2"/>
  <c r="G811" i="2"/>
  <c r="H811" i="2"/>
  <c r="I811" i="2"/>
  <c r="F812" i="2"/>
  <c r="G812" i="2"/>
  <c r="H812" i="2"/>
  <c r="I812" i="2"/>
  <c r="F813" i="2"/>
  <c r="G813" i="2"/>
  <c r="H813" i="2"/>
  <c r="I813" i="2"/>
  <c r="F814" i="2"/>
  <c r="G814" i="2"/>
  <c r="H814" i="2"/>
  <c r="I814" i="2"/>
  <c r="F815" i="2"/>
  <c r="G815" i="2"/>
  <c r="H815" i="2"/>
  <c r="I815" i="2"/>
  <c r="F816" i="2"/>
  <c r="G816" i="2"/>
  <c r="H816" i="2"/>
  <c r="I816" i="2"/>
  <c r="F817" i="2"/>
  <c r="G817" i="2"/>
  <c r="H817" i="2"/>
  <c r="I817" i="2"/>
  <c r="F818" i="2"/>
  <c r="G818" i="2"/>
  <c r="H818" i="2"/>
  <c r="I818" i="2"/>
  <c r="F819" i="2"/>
  <c r="G819" i="2"/>
  <c r="H819" i="2"/>
  <c r="I819" i="2"/>
  <c r="F820" i="2"/>
  <c r="G820" i="2"/>
  <c r="H820" i="2"/>
  <c r="I820" i="2"/>
  <c r="F821" i="2"/>
  <c r="G821" i="2"/>
  <c r="H821" i="2"/>
  <c r="I821" i="2"/>
  <c r="F822" i="2"/>
  <c r="G822" i="2"/>
  <c r="H822" i="2"/>
  <c r="I822" i="2"/>
  <c r="F823" i="2"/>
  <c r="G823" i="2"/>
  <c r="H823" i="2"/>
  <c r="I823" i="2"/>
  <c r="F824" i="2"/>
  <c r="G824" i="2"/>
  <c r="H824" i="2"/>
  <c r="I824" i="2"/>
  <c r="F825" i="2"/>
  <c r="G825" i="2"/>
  <c r="H825" i="2"/>
  <c r="I825" i="2"/>
  <c r="F826" i="2"/>
  <c r="G826" i="2"/>
  <c r="H826" i="2"/>
  <c r="I826" i="2"/>
  <c r="F827" i="2"/>
  <c r="G827" i="2"/>
  <c r="H827" i="2"/>
  <c r="I827" i="2"/>
  <c r="F828" i="2"/>
  <c r="G828" i="2"/>
  <c r="H828" i="2"/>
  <c r="I828" i="2"/>
  <c r="F829" i="2"/>
  <c r="G829" i="2"/>
  <c r="H829" i="2"/>
  <c r="I829" i="2"/>
  <c r="F830" i="2"/>
  <c r="G830" i="2"/>
  <c r="H830" i="2"/>
  <c r="I830" i="2"/>
  <c r="F831" i="2"/>
  <c r="G831" i="2"/>
  <c r="H831" i="2"/>
  <c r="I831" i="2"/>
  <c r="F832" i="2"/>
  <c r="G832" i="2"/>
  <c r="H832" i="2"/>
  <c r="I832" i="2"/>
  <c r="F833" i="2"/>
  <c r="G833" i="2"/>
  <c r="H833" i="2"/>
  <c r="I833" i="2"/>
  <c r="F834" i="2"/>
  <c r="G834" i="2"/>
  <c r="H834" i="2"/>
  <c r="I834" i="2"/>
  <c r="F835" i="2"/>
  <c r="G835" i="2"/>
  <c r="H835" i="2"/>
  <c r="I835" i="2"/>
  <c r="F836" i="2"/>
  <c r="G836" i="2"/>
  <c r="H836" i="2"/>
  <c r="I836" i="2"/>
  <c r="F837" i="2"/>
  <c r="G837" i="2"/>
  <c r="H837" i="2"/>
  <c r="I837" i="2"/>
  <c r="F838" i="2"/>
  <c r="G838" i="2"/>
  <c r="H838" i="2"/>
  <c r="I838" i="2"/>
  <c r="F839" i="2"/>
  <c r="G839" i="2"/>
  <c r="H839" i="2"/>
  <c r="I839" i="2"/>
  <c r="F840" i="2"/>
  <c r="G840" i="2"/>
  <c r="H840" i="2"/>
  <c r="I840" i="2"/>
  <c r="F841" i="2"/>
  <c r="G841" i="2"/>
  <c r="H841" i="2"/>
  <c r="I841" i="2"/>
  <c r="F842" i="2"/>
  <c r="G842" i="2"/>
  <c r="H842" i="2"/>
  <c r="I842" i="2"/>
  <c r="F843" i="2"/>
  <c r="G843" i="2"/>
  <c r="H843" i="2"/>
  <c r="I843" i="2"/>
  <c r="F844" i="2"/>
  <c r="G844" i="2"/>
  <c r="H844" i="2"/>
  <c r="I844" i="2"/>
  <c r="F845" i="2"/>
  <c r="G845" i="2"/>
  <c r="H845" i="2"/>
  <c r="I845" i="2"/>
  <c r="F846" i="2"/>
  <c r="G846" i="2"/>
  <c r="H846" i="2"/>
  <c r="I846" i="2"/>
  <c r="F847" i="2"/>
  <c r="G847" i="2"/>
  <c r="H847" i="2"/>
  <c r="I847" i="2"/>
  <c r="F848" i="2"/>
  <c r="G848" i="2"/>
  <c r="H848" i="2"/>
  <c r="I848" i="2"/>
  <c r="F849" i="2"/>
  <c r="G849" i="2"/>
  <c r="H849" i="2"/>
  <c r="I849" i="2"/>
  <c r="F850" i="2"/>
  <c r="G850" i="2"/>
  <c r="H850" i="2"/>
  <c r="I850" i="2"/>
  <c r="F851" i="2"/>
  <c r="G851" i="2"/>
  <c r="H851" i="2"/>
  <c r="I851" i="2"/>
  <c r="F852" i="2"/>
  <c r="G852" i="2"/>
  <c r="H852" i="2"/>
  <c r="I852" i="2"/>
  <c r="F853" i="2"/>
  <c r="G853" i="2"/>
  <c r="H853" i="2"/>
  <c r="I853" i="2"/>
  <c r="F854" i="2"/>
  <c r="G854" i="2"/>
  <c r="H854" i="2"/>
  <c r="I854" i="2"/>
  <c r="F855" i="2"/>
  <c r="G855" i="2"/>
  <c r="H855" i="2"/>
  <c r="I855" i="2"/>
  <c r="F856" i="2"/>
  <c r="G856" i="2"/>
  <c r="H856" i="2"/>
  <c r="I856" i="2"/>
  <c r="F857" i="2"/>
  <c r="G857" i="2"/>
  <c r="H857" i="2"/>
  <c r="I857" i="2"/>
  <c r="F858" i="2"/>
  <c r="G858" i="2"/>
  <c r="H858" i="2"/>
  <c r="I858" i="2"/>
  <c r="F859" i="2"/>
  <c r="G859" i="2"/>
  <c r="H859" i="2"/>
  <c r="I859" i="2"/>
  <c r="F860" i="2"/>
  <c r="G860" i="2"/>
  <c r="H860" i="2"/>
  <c r="I860" i="2"/>
  <c r="F861" i="2"/>
  <c r="G861" i="2"/>
  <c r="H861" i="2"/>
  <c r="I861" i="2"/>
  <c r="F862" i="2"/>
  <c r="G862" i="2"/>
  <c r="H862" i="2"/>
  <c r="I862" i="2"/>
  <c r="F863" i="2"/>
  <c r="G863" i="2"/>
  <c r="H863" i="2"/>
  <c r="I863" i="2"/>
  <c r="F864" i="2"/>
  <c r="G864" i="2"/>
  <c r="H864" i="2"/>
  <c r="I864" i="2"/>
  <c r="F865" i="2"/>
  <c r="G865" i="2"/>
  <c r="H865" i="2"/>
  <c r="I865" i="2"/>
  <c r="F866" i="2"/>
  <c r="G866" i="2"/>
  <c r="H866" i="2"/>
  <c r="I866" i="2"/>
  <c r="F867" i="2"/>
  <c r="G867" i="2"/>
  <c r="H867" i="2"/>
  <c r="I867" i="2"/>
  <c r="F868" i="2"/>
  <c r="G868" i="2"/>
  <c r="H868" i="2"/>
  <c r="I868" i="2"/>
  <c r="F869" i="2"/>
  <c r="G869" i="2"/>
  <c r="H869" i="2"/>
  <c r="I869" i="2"/>
  <c r="F870" i="2"/>
  <c r="G870" i="2"/>
  <c r="H870" i="2"/>
  <c r="I870" i="2"/>
  <c r="F871" i="2"/>
  <c r="G871" i="2"/>
  <c r="H871" i="2"/>
  <c r="I871" i="2"/>
  <c r="F872" i="2"/>
  <c r="G872" i="2"/>
  <c r="H872" i="2"/>
  <c r="I872" i="2"/>
  <c r="F873" i="2"/>
  <c r="G873" i="2"/>
  <c r="H873" i="2"/>
  <c r="I873" i="2"/>
  <c r="F874" i="2"/>
  <c r="G874" i="2"/>
  <c r="H874" i="2"/>
  <c r="I874" i="2"/>
  <c r="F875" i="2"/>
  <c r="G875" i="2"/>
  <c r="H875" i="2"/>
  <c r="I875" i="2"/>
  <c r="F876" i="2"/>
  <c r="G876" i="2"/>
  <c r="H876" i="2"/>
  <c r="I876" i="2"/>
  <c r="F877" i="2"/>
  <c r="G877" i="2"/>
  <c r="H877" i="2"/>
  <c r="I877" i="2"/>
  <c r="F878" i="2"/>
  <c r="G878" i="2"/>
  <c r="H878" i="2"/>
  <c r="I878" i="2"/>
  <c r="F879" i="2"/>
  <c r="G879" i="2"/>
  <c r="H879" i="2"/>
  <c r="I879" i="2"/>
  <c r="F880" i="2"/>
  <c r="G880" i="2"/>
  <c r="H880" i="2"/>
  <c r="I880" i="2"/>
  <c r="F881" i="2"/>
  <c r="G881" i="2"/>
  <c r="H881" i="2"/>
  <c r="I881" i="2"/>
  <c r="F882" i="2"/>
  <c r="G882" i="2"/>
  <c r="H882" i="2"/>
  <c r="I882" i="2"/>
  <c r="F883" i="2"/>
  <c r="G883" i="2"/>
  <c r="H883" i="2"/>
  <c r="I883" i="2"/>
  <c r="F884" i="2"/>
  <c r="G884" i="2"/>
  <c r="H884" i="2"/>
  <c r="I884" i="2"/>
  <c r="F885" i="2"/>
  <c r="G885" i="2"/>
  <c r="H885" i="2"/>
  <c r="I885" i="2"/>
  <c r="F886" i="2"/>
  <c r="G886" i="2"/>
  <c r="H886" i="2"/>
  <c r="I886" i="2"/>
  <c r="F887" i="2"/>
  <c r="G887" i="2"/>
  <c r="H887" i="2"/>
  <c r="I887" i="2"/>
  <c r="F888" i="2"/>
  <c r="G888" i="2"/>
  <c r="H888" i="2"/>
  <c r="I888" i="2"/>
  <c r="F889" i="2"/>
  <c r="G889" i="2"/>
  <c r="H889" i="2"/>
  <c r="I889" i="2"/>
  <c r="F890" i="2"/>
  <c r="G890" i="2"/>
  <c r="H890" i="2"/>
  <c r="I890" i="2"/>
  <c r="F891" i="2"/>
  <c r="G891" i="2"/>
  <c r="H891" i="2"/>
  <c r="I891" i="2"/>
  <c r="F892" i="2"/>
  <c r="G892" i="2"/>
  <c r="H892" i="2"/>
  <c r="I892" i="2"/>
  <c r="F893" i="2"/>
  <c r="G893" i="2"/>
  <c r="H893" i="2"/>
  <c r="I893" i="2"/>
  <c r="D27" i="3"/>
  <c r="D26" i="3"/>
  <c r="B25" i="3"/>
  <c r="B36" i="3"/>
  <c r="C20" i="3"/>
  <c r="C19" i="3"/>
  <c r="C18" i="3"/>
  <c r="C16" i="3"/>
  <c r="C15" i="3"/>
  <c r="C13" i="3"/>
  <c r="C12" i="3"/>
  <c r="C11" i="3"/>
  <c r="I51" i="8"/>
  <c r="F51" i="8" a="1"/>
  <c r="F51" i="8" s="1"/>
  <c r="I50" i="8"/>
  <c r="F50" i="8" a="1"/>
  <c r="F50" i="8" s="1"/>
  <c r="I49" i="8"/>
  <c r="F49" i="8" a="1"/>
  <c r="F49" i="8" s="1"/>
  <c r="I48" i="8"/>
  <c r="F48" i="8" a="1"/>
  <c r="F48" i="8" s="1"/>
  <c r="I47" i="8"/>
  <c r="F47" i="8" a="1"/>
  <c r="F47" i="8" s="1"/>
  <c r="I46" i="8"/>
  <c r="F46" i="8" a="1"/>
  <c r="F46" i="8" s="1"/>
  <c r="I45" i="8"/>
  <c r="F45" i="8" a="1"/>
  <c r="F45" i="8" s="1"/>
  <c r="I44" i="8"/>
  <c r="F44" i="8" a="1"/>
  <c r="F44" i="8" s="1"/>
  <c r="I43" i="8"/>
  <c r="F43" i="8" a="1"/>
  <c r="F43" i="8" s="1"/>
  <c r="I42" i="8"/>
  <c r="F42" i="8" a="1"/>
  <c r="F42" i="8" s="1"/>
  <c r="I41" i="8"/>
  <c r="F41" i="8" a="1"/>
  <c r="F41" i="8" s="1"/>
  <c r="I40" i="8"/>
  <c r="F40" i="8" a="1"/>
  <c r="F40" i="8" s="1"/>
  <c r="I39" i="8"/>
  <c r="F39" i="8" a="1"/>
  <c r="F39" i="8" s="1"/>
  <c r="I38" i="8"/>
  <c r="F38" i="8" a="1"/>
  <c r="F38" i="8" s="1"/>
  <c r="I37" i="8"/>
  <c r="F37" i="8" a="1"/>
  <c r="F37" i="8" s="1"/>
  <c r="I36" i="8"/>
  <c r="F36" i="8" a="1"/>
  <c r="F36" i="8" s="1"/>
  <c r="I35" i="8"/>
  <c r="F35" i="8" a="1"/>
  <c r="F35" i="8" s="1"/>
  <c r="I34" i="8"/>
  <c r="F34" i="8" a="1"/>
  <c r="F34" i="8" s="1"/>
  <c r="I33" i="8"/>
  <c r="F33" i="8" a="1"/>
  <c r="F33" i="8" s="1"/>
  <c r="I32" i="8"/>
  <c r="F32" i="8" a="1"/>
  <c r="F32" i="8" s="1"/>
  <c r="I31" i="8"/>
  <c r="F31" i="8" a="1"/>
  <c r="F31" i="8" s="1"/>
  <c r="I30" i="8"/>
  <c r="F30" i="8" a="1"/>
  <c r="F30" i="8" s="1"/>
  <c r="I29" i="8"/>
  <c r="F29" i="8" a="1"/>
  <c r="F29" i="8" s="1"/>
  <c r="I28" i="8"/>
  <c r="F28" i="8" a="1"/>
  <c r="F28" i="8" s="1"/>
  <c r="I27" i="8"/>
  <c r="F27" i="8" a="1"/>
  <c r="F27" i="8" s="1"/>
  <c r="I26" i="8"/>
  <c r="F26" i="8" a="1"/>
  <c r="F26" i="8" s="1"/>
  <c r="I25" i="8"/>
  <c r="F25" i="8" a="1"/>
  <c r="F25" i="8" s="1"/>
  <c r="I24" i="8"/>
  <c r="F24" i="8" a="1"/>
  <c r="F24" i="8" s="1"/>
  <c r="I23" i="8"/>
  <c r="F23" i="8" a="1"/>
  <c r="F23" i="8" s="1"/>
  <c r="I22" i="8"/>
  <c r="F22" i="8" a="1"/>
  <c r="F22" i="8" s="1"/>
  <c r="I21" i="8"/>
  <c r="F21" i="8" a="1"/>
  <c r="F21" i="8" s="1"/>
  <c r="I20" i="8"/>
  <c r="F20" i="8" a="1"/>
  <c r="F20" i="8" s="1"/>
  <c r="I19" i="8"/>
  <c r="F19" i="8" a="1"/>
  <c r="F19" i="8" s="1"/>
  <c r="I18" i="8"/>
  <c r="F18" i="8" a="1"/>
  <c r="F18" i="8" s="1"/>
  <c r="I17" i="8"/>
  <c r="F17" i="8" a="1"/>
  <c r="F17" i="8" s="1"/>
  <c r="I16" i="8"/>
  <c r="N38" i="8" s="1"/>
  <c r="F16" i="8" a="1"/>
  <c r="F16" i="8" s="1"/>
  <c r="C25" i="3" l="1"/>
  <c r="C10" i="3"/>
  <c r="G50" i="6"/>
  <c r="I50" i="6" s="1" a="1"/>
  <c r="I50" i="6" s="1"/>
  <c r="I49" i="6" a="1"/>
  <c r="I49" i="6" s="1"/>
  <c r="G49" i="6"/>
  <c r="H49" i="6" s="1" a="1"/>
  <c r="H49" i="6" s="1"/>
  <c r="G48" i="6"/>
  <c r="H48" i="6" s="1" a="1"/>
  <c r="H48" i="6" s="1"/>
  <c r="G47" i="6"/>
  <c r="I47" i="6" s="1" a="1"/>
  <c r="I47" i="6" s="1"/>
  <c r="G46" i="6"/>
  <c r="I46" i="6" s="1" a="1"/>
  <c r="I46" i="6" s="1"/>
  <c r="G45" i="6"/>
  <c r="I45" i="6" s="1" a="1"/>
  <c r="I45" i="6" s="1"/>
  <c r="G44" i="6"/>
  <c r="H44" i="6" s="1" a="1"/>
  <c r="H44" i="6" s="1"/>
  <c r="G43" i="6"/>
  <c r="I43" i="6" s="1" a="1"/>
  <c r="I43" i="6" s="1"/>
  <c r="G42" i="6"/>
  <c r="I42" i="6" s="1" a="1"/>
  <c r="I42" i="6" s="1"/>
  <c r="G41" i="6"/>
  <c r="H41" i="6" s="1" a="1"/>
  <c r="H41" i="6" s="1"/>
  <c r="G40" i="6"/>
  <c r="I40" i="6" s="1" a="1"/>
  <c r="I40" i="6" s="1"/>
  <c r="G39" i="6"/>
  <c r="I39" i="6" s="1" a="1"/>
  <c r="I39" i="6" s="1"/>
  <c r="A720" i="10" a="1"/>
  <c r="A720" i="10" s="1"/>
  <c r="A719" i="10" a="1"/>
  <c r="A719" i="10" s="1"/>
  <c r="A718" i="10" a="1"/>
  <c r="A718" i="10" s="1"/>
  <c r="A717" i="10" a="1"/>
  <c r="A717" i="10" s="1"/>
  <c r="A716" i="10" a="1"/>
  <c r="A716" i="10" s="1"/>
  <c r="A715" i="10" a="1"/>
  <c r="A715" i="10" s="1"/>
  <c r="A714" i="10" a="1"/>
  <c r="A714" i="10" s="1"/>
  <c r="A713" i="10" a="1"/>
  <c r="A713" i="10" s="1"/>
  <c r="A712" i="10" a="1"/>
  <c r="A712" i="10" s="1"/>
  <c r="A711" i="10" a="1"/>
  <c r="A711" i="10" s="1"/>
  <c r="A710" i="10" a="1"/>
  <c r="A710" i="10" s="1"/>
  <c r="A709" i="10" a="1"/>
  <c r="A709" i="10" s="1"/>
  <c r="A708" i="10" a="1"/>
  <c r="A708" i="10" s="1"/>
  <c r="A707" i="10" a="1"/>
  <c r="A707" i="10" s="1"/>
  <c r="A706" i="10" a="1"/>
  <c r="A706" i="10" s="1"/>
  <c r="A705" i="10" a="1"/>
  <c r="A705" i="10" s="1"/>
  <c r="A704" i="10" a="1"/>
  <c r="A704" i="10" s="1"/>
  <c r="A703" i="10" a="1"/>
  <c r="A703" i="10" s="1"/>
  <c r="A702" i="10" a="1"/>
  <c r="A702" i="10" s="1"/>
  <c r="A701" i="10" a="1"/>
  <c r="A701" i="10" s="1"/>
  <c r="A700" i="10" a="1"/>
  <c r="A700" i="10" s="1"/>
  <c r="A699" i="10" a="1"/>
  <c r="A699" i="10" s="1"/>
  <c r="A698" i="10" a="1"/>
  <c r="A698" i="10" s="1"/>
  <c r="A697" i="10" a="1"/>
  <c r="A697" i="10" s="1"/>
  <c r="A696" i="10" a="1"/>
  <c r="A696" i="10" s="1"/>
  <c r="A695" i="10" a="1"/>
  <c r="A695" i="10" s="1"/>
  <c r="A694" i="10" a="1"/>
  <c r="A694" i="10" s="1"/>
  <c r="A693" i="10" a="1"/>
  <c r="A693" i="10" s="1"/>
  <c r="A692" i="10" a="1"/>
  <c r="A692" i="10" s="1"/>
  <c r="A691" i="10" a="1"/>
  <c r="A691" i="10" s="1"/>
  <c r="A690" i="10" a="1"/>
  <c r="A690" i="10" s="1"/>
  <c r="A689" i="10" a="1"/>
  <c r="A689" i="10" s="1"/>
  <c r="A688" i="10" a="1"/>
  <c r="A688" i="10" s="1"/>
  <c r="A687" i="10" a="1"/>
  <c r="A687" i="10" s="1"/>
  <c r="A686" i="10" a="1"/>
  <c r="A686" i="10" s="1"/>
  <c r="A685" i="10" a="1"/>
  <c r="A685" i="10" s="1"/>
  <c r="A684" i="10" a="1"/>
  <c r="A684" i="10" s="1"/>
  <c r="A683" i="10" a="1"/>
  <c r="A683" i="10" s="1"/>
  <c r="A682" i="10" a="1"/>
  <c r="A682" i="10" s="1"/>
  <c r="A681" i="10" a="1"/>
  <c r="A681" i="10" s="1"/>
  <c r="A680" i="10" a="1"/>
  <c r="A680" i="10" s="1"/>
  <c r="A679" i="10" a="1"/>
  <c r="A679" i="10" s="1"/>
  <c r="A678" i="10" a="1"/>
  <c r="A678" i="10" s="1"/>
  <c r="A677" i="10" a="1"/>
  <c r="A677" i="10" s="1"/>
  <c r="A676" i="10" a="1"/>
  <c r="A676" i="10" s="1"/>
  <c r="A675" i="10" a="1"/>
  <c r="A675" i="10" s="1"/>
  <c r="A674" i="10" a="1"/>
  <c r="A674" i="10" s="1"/>
  <c r="A673" i="10" a="1"/>
  <c r="A673" i="10" s="1"/>
  <c r="A672" i="10" a="1"/>
  <c r="A672" i="10" s="1"/>
  <c r="A671" i="10" a="1"/>
  <c r="A671" i="10" s="1"/>
  <c r="A670" i="10" a="1"/>
  <c r="A670" i="10" s="1"/>
  <c r="A669" i="10" a="1"/>
  <c r="A669" i="10" s="1"/>
  <c r="A668" i="10" a="1"/>
  <c r="A668" i="10" s="1"/>
  <c r="A667" i="10" a="1"/>
  <c r="A667" i="10" s="1"/>
  <c r="A666" i="10" a="1"/>
  <c r="A666" i="10" s="1"/>
  <c r="A665" i="10" a="1"/>
  <c r="A665" i="10" s="1"/>
  <c r="A664" i="10" a="1"/>
  <c r="A664" i="10" s="1"/>
  <c r="A663" i="10" a="1"/>
  <c r="A663" i="10" s="1"/>
  <c r="A662" i="10" a="1"/>
  <c r="A662" i="10" s="1"/>
  <c r="A661" i="10" a="1"/>
  <c r="A661" i="10" s="1"/>
  <c r="A660" i="10" a="1"/>
  <c r="A660" i="10" s="1"/>
  <c r="A659" i="10" a="1"/>
  <c r="A659" i="10" s="1"/>
  <c r="A658" i="10" a="1"/>
  <c r="A658" i="10" s="1"/>
  <c r="A657" i="10" a="1"/>
  <c r="A657" i="10" s="1"/>
  <c r="A656" i="10" a="1"/>
  <c r="A656" i="10" s="1"/>
  <c r="A655" i="10" a="1"/>
  <c r="A655" i="10" s="1"/>
  <c r="A654" i="10" a="1"/>
  <c r="A654" i="10" s="1"/>
  <c r="A653" i="10" a="1"/>
  <c r="A653" i="10" s="1"/>
  <c r="A652" i="10" a="1"/>
  <c r="A652" i="10" s="1"/>
  <c r="A651" i="10" a="1"/>
  <c r="A651" i="10" s="1"/>
  <c r="A650" i="10" a="1"/>
  <c r="A650" i="10" s="1"/>
  <c r="A649" i="10" a="1"/>
  <c r="A649" i="10" s="1"/>
  <c r="A648" i="10" a="1"/>
  <c r="A648" i="10" s="1"/>
  <c r="A647" i="10" a="1"/>
  <c r="A647" i="10" s="1"/>
  <c r="A646" i="10" a="1"/>
  <c r="A646" i="10" s="1"/>
  <c r="A645" i="10" a="1"/>
  <c r="A645" i="10" s="1"/>
  <c r="A644" i="10" a="1"/>
  <c r="A644" i="10" s="1"/>
  <c r="A643" i="10" a="1"/>
  <c r="A643" i="10" s="1"/>
  <c r="A642" i="10" a="1"/>
  <c r="A642" i="10" s="1"/>
  <c r="A641" i="10" a="1"/>
  <c r="A641" i="10" s="1"/>
  <c r="A640" i="10" a="1"/>
  <c r="A640" i="10" s="1"/>
  <c r="A639" i="10" a="1"/>
  <c r="A639" i="10" s="1"/>
  <c r="A638" i="10" a="1"/>
  <c r="A638" i="10" s="1"/>
  <c r="A637" i="10" a="1"/>
  <c r="A637" i="10" s="1"/>
  <c r="A636" i="10" a="1"/>
  <c r="A636" i="10" s="1"/>
  <c r="A635" i="10" a="1"/>
  <c r="A635" i="10" s="1"/>
  <c r="A634" i="10" a="1"/>
  <c r="A634" i="10" s="1"/>
  <c r="A633" i="10" a="1"/>
  <c r="A633" i="10" s="1"/>
  <c r="A632" i="10" a="1"/>
  <c r="A632" i="10" s="1"/>
  <c r="A631" i="10" a="1"/>
  <c r="A631" i="10" s="1"/>
  <c r="A630" i="10" a="1"/>
  <c r="A630" i="10" s="1"/>
  <c r="A629" i="10" a="1"/>
  <c r="A629" i="10" s="1"/>
  <c r="A628" i="10" a="1"/>
  <c r="A628" i="10" s="1"/>
  <c r="A627" i="10" a="1"/>
  <c r="A627" i="10" s="1"/>
  <c r="A626" i="10" a="1"/>
  <c r="A626" i="10" s="1"/>
  <c r="A625" i="10" a="1"/>
  <c r="A625" i="10" s="1"/>
  <c r="A624" i="10" a="1"/>
  <c r="A624" i="10" s="1"/>
  <c r="A623" i="10" a="1"/>
  <c r="A623" i="10" s="1"/>
  <c r="A622" i="10" a="1"/>
  <c r="A622" i="10" s="1"/>
  <c r="A621" i="10" a="1"/>
  <c r="A621" i="10" s="1"/>
  <c r="A620" i="10" a="1"/>
  <c r="A620" i="10" s="1"/>
  <c r="A619" i="10" a="1"/>
  <c r="A619" i="10" s="1"/>
  <c r="A618" i="10" a="1"/>
  <c r="A618" i="10" s="1"/>
  <c r="A617" i="10" a="1"/>
  <c r="A617" i="10" s="1"/>
  <c r="A616" i="10" a="1"/>
  <c r="A616" i="10" s="1"/>
  <c r="A615" i="10" a="1"/>
  <c r="A615" i="10" s="1"/>
  <c r="A614" i="10" a="1"/>
  <c r="A614" i="10" s="1"/>
  <c r="A613" i="10" a="1"/>
  <c r="A613" i="10" s="1"/>
  <c r="A612" i="10" a="1"/>
  <c r="A612" i="10" s="1"/>
  <c r="A611" i="10" a="1"/>
  <c r="A611" i="10" s="1"/>
  <c r="A610" i="10" a="1"/>
  <c r="A610" i="10" s="1"/>
  <c r="A609" i="10" a="1"/>
  <c r="A609" i="10" s="1"/>
  <c r="A608" i="10" a="1"/>
  <c r="A608" i="10" s="1"/>
  <c r="A607" i="10" a="1"/>
  <c r="A607" i="10" s="1"/>
  <c r="A606" i="10" a="1"/>
  <c r="A606" i="10" s="1"/>
  <c r="A605" i="10" a="1"/>
  <c r="A605" i="10" s="1"/>
  <c r="A604" i="10" a="1"/>
  <c r="A604" i="10" s="1"/>
  <c r="A603" i="10" a="1"/>
  <c r="A603" i="10" s="1"/>
  <c r="A602" i="10" a="1"/>
  <c r="A602" i="10" s="1"/>
  <c r="A601" i="10" a="1"/>
  <c r="A601" i="10" s="1"/>
  <c r="A600" i="10" a="1"/>
  <c r="A600" i="10" s="1"/>
  <c r="A599" i="10" a="1"/>
  <c r="A599" i="10" s="1"/>
  <c r="A598" i="10" a="1"/>
  <c r="A598" i="10" s="1"/>
  <c r="A597" i="10" a="1"/>
  <c r="A597" i="10" s="1"/>
  <c r="A596" i="10" a="1"/>
  <c r="A596" i="10" s="1"/>
  <c r="A595" i="10" a="1"/>
  <c r="A595" i="10" s="1"/>
  <c r="A594" i="10" a="1"/>
  <c r="A594" i="10" s="1"/>
  <c r="A593" i="10" a="1"/>
  <c r="A593" i="10" s="1"/>
  <c r="A592" i="10" a="1"/>
  <c r="A592" i="10" s="1"/>
  <c r="A591" i="10" a="1"/>
  <c r="A591" i="10" s="1"/>
  <c r="A590" i="10" a="1"/>
  <c r="A590" i="10" s="1"/>
  <c r="A589" i="10" a="1"/>
  <c r="A589" i="10" s="1"/>
  <c r="A588" i="10" a="1"/>
  <c r="A588" i="10" s="1"/>
  <c r="A587" i="10" a="1"/>
  <c r="A587" i="10" s="1"/>
  <c r="A586" i="10" a="1"/>
  <c r="A586" i="10" s="1"/>
  <c r="A585" i="10" a="1"/>
  <c r="A585" i="10" s="1"/>
  <c r="A584" i="10" a="1"/>
  <c r="A584" i="10" s="1"/>
  <c r="A583" i="10" a="1"/>
  <c r="A583" i="10" s="1"/>
  <c r="A582" i="10" a="1"/>
  <c r="A582" i="10" s="1"/>
  <c r="A581" i="10" a="1"/>
  <c r="A581" i="10" s="1"/>
  <c r="A580" i="10" a="1"/>
  <c r="A580" i="10" s="1"/>
  <c r="A579" i="10" a="1"/>
  <c r="A579" i="10" s="1"/>
  <c r="A578" i="10" a="1"/>
  <c r="A578" i="10" s="1"/>
  <c r="A577" i="10" a="1"/>
  <c r="A577" i="10" s="1"/>
  <c r="A576" i="10" a="1"/>
  <c r="A576" i="10" s="1"/>
  <c r="A575" i="10" a="1"/>
  <c r="A575" i="10" s="1"/>
  <c r="A574" i="10" a="1"/>
  <c r="A574" i="10" s="1"/>
  <c r="A573" i="10" a="1"/>
  <c r="A573" i="10" s="1"/>
  <c r="A572" i="10" a="1"/>
  <c r="A572" i="10" s="1"/>
  <c r="A571" i="10" a="1"/>
  <c r="A571" i="10" s="1"/>
  <c r="A570" i="10" a="1"/>
  <c r="A570" i="10" s="1"/>
  <c r="A569" i="10" a="1"/>
  <c r="A569" i="10" s="1"/>
  <c r="A568" i="10" a="1"/>
  <c r="A568" i="10" s="1"/>
  <c r="A567" i="10" a="1"/>
  <c r="A567" i="10" s="1"/>
  <c r="A566" i="10" a="1"/>
  <c r="A566" i="10" s="1"/>
  <c r="A565" i="10" a="1"/>
  <c r="A565" i="10" s="1"/>
  <c r="A564" i="10" a="1"/>
  <c r="A564" i="10" s="1"/>
  <c r="A563" i="10" a="1"/>
  <c r="A563" i="10" s="1"/>
  <c r="A562" i="10" a="1"/>
  <c r="A562" i="10" s="1"/>
  <c r="A561" i="10" a="1"/>
  <c r="A561" i="10" s="1"/>
  <c r="A560" i="10" a="1"/>
  <c r="A560" i="10" s="1"/>
  <c r="A559" i="10" a="1"/>
  <c r="A559" i="10" s="1"/>
  <c r="A558" i="10" a="1"/>
  <c r="A558" i="10" s="1"/>
  <c r="A557" i="10" a="1"/>
  <c r="A557" i="10" s="1"/>
  <c r="A556" i="10" a="1"/>
  <c r="A556" i="10" s="1"/>
  <c r="A555" i="10" a="1"/>
  <c r="A555" i="10" s="1"/>
  <c r="A554" i="10" a="1"/>
  <c r="A554" i="10" s="1"/>
  <c r="A553" i="10" a="1"/>
  <c r="A553" i="10" s="1"/>
  <c r="A552" i="10" a="1"/>
  <c r="A552" i="10" s="1"/>
  <c r="A551" i="10" a="1"/>
  <c r="A551" i="10" s="1"/>
  <c r="A550" i="10" a="1"/>
  <c r="A550" i="10" s="1"/>
  <c r="A549" i="10" a="1"/>
  <c r="A549" i="10" s="1"/>
  <c r="A548" i="10" a="1"/>
  <c r="A548" i="10" s="1"/>
  <c r="A547" i="10" a="1"/>
  <c r="A547" i="10" s="1"/>
  <c r="A546" i="10" a="1"/>
  <c r="A546" i="10" s="1"/>
  <c r="A545" i="10" a="1"/>
  <c r="A545" i="10" s="1"/>
  <c r="A544" i="10" a="1"/>
  <c r="A544" i="10" s="1"/>
  <c r="A543" i="10" a="1"/>
  <c r="A543" i="10" s="1"/>
  <c r="A542" i="10" a="1"/>
  <c r="A542" i="10" s="1"/>
  <c r="A541" i="10" a="1"/>
  <c r="A541" i="10" s="1"/>
  <c r="A540" i="10" a="1"/>
  <c r="A540" i="10" s="1"/>
  <c r="A539" i="10" a="1"/>
  <c r="A539" i="10" s="1"/>
  <c r="A538" i="10" a="1"/>
  <c r="A538" i="10" s="1"/>
  <c r="A537" i="10" a="1"/>
  <c r="A537" i="10" s="1"/>
  <c r="A536" i="10" a="1"/>
  <c r="A536" i="10" s="1"/>
  <c r="A535" i="10" a="1"/>
  <c r="A535" i="10" s="1"/>
  <c r="A534" i="10" a="1"/>
  <c r="A534" i="10" s="1"/>
  <c r="A533" i="10" a="1"/>
  <c r="A533" i="10" s="1"/>
  <c r="A532" i="10" a="1"/>
  <c r="A532" i="10" s="1"/>
  <c r="A531" i="10" a="1"/>
  <c r="A531" i="10" s="1"/>
  <c r="A530" i="10" a="1"/>
  <c r="A530" i="10" s="1"/>
  <c r="A529" i="10" a="1"/>
  <c r="A529" i="10" s="1"/>
  <c r="A528" i="10" a="1"/>
  <c r="A528" i="10" s="1"/>
  <c r="A527" i="10" a="1"/>
  <c r="A527" i="10" s="1"/>
  <c r="A526" i="10" a="1"/>
  <c r="A526" i="10" s="1"/>
  <c r="A525" i="10" a="1"/>
  <c r="A525" i="10" s="1"/>
  <c r="A524" i="10" a="1"/>
  <c r="A524" i="10" s="1"/>
  <c r="A523" i="10" a="1"/>
  <c r="A523" i="10" s="1"/>
  <c r="A522" i="10" a="1"/>
  <c r="A522" i="10" s="1"/>
  <c r="A521" i="10" a="1"/>
  <c r="A521" i="10" s="1"/>
  <c r="A520" i="10" a="1"/>
  <c r="A520" i="10" s="1"/>
  <c r="A519" i="10" a="1"/>
  <c r="A519" i="10" s="1"/>
  <c r="A518" i="10" a="1"/>
  <c r="A518" i="10" s="1"/>
  <c r="A517" i="10" a="1"/>
  <c r="A517" i="10" s="1"/>
  <c r="A516" i="10" a="1"/>
  <c r="A516" i="10" s="1"/>
  <c r="A515" i="10" a="1"/>
  <c r="A515" i="10" s="1"/>
  <c r="A514" i="10" a="1"/>
  <c r="A514" i="10" s="1"/>
  <c r="A513" i="10" a="1"/>
  <c r="A513" i="10" s="1"/>
  <c r="A512" i="10" a="1"/>
  <c r="A512" i="10" s="1"/>
  <c r="A511" i="10" a="1"/>
  <c r="A511" i="10" s="1"/>
  <c r="A510" i="10" a="1"/>
  <c r="A510" i="10" s="1"/>
  <c r="A509" i="10" a="1"/>
  <c r="A509" i="10" s="1"/>
  <c r="A508" i="10" a="1"/>
  <c r="A508" i="10" s="1"/>
  <c r="A507" i="10" a="1"/>
  <c r="A507" i="10" s="1"/>
  <c r="A506" i="10" a="1"/>
  <c r="A506" i="10" s="1"/>
  <c r="A505" i="10" a="1"/>
  <c r="A505" i="10" s="1"/>
  <c r="A504" i="10" a="1"/>
  <c r="A504" i="10" s="1"/>
  <c r="A503" i="10" a="1"/>
  <c r="A503" i="10" s="1"/>
  <c r="A502" i="10" a="1"/>
  <c r="A502" i="10" s="1"/>
  <c r="A501" i="10" a="1"/>
  <c r="A501" i="10" s="1"/>
  <c r="A500" i="10" a="1"/>
  <c r="A500" i="10" s="1"/>
  <c r="A499" i="10" a="1"/>
  <c r="A499" i="10" s="1"/>
  <c r="A498" i="10" a="1"/>
  <c r="A498" i="10" s="1"/>
  <c r="A497" i="10" a="1"/>
  <c r="A497" i="10" s="1"/>
  <c r="A496" i="10" a="1"/>
  <c r="A496" i="10" s="1"/>
  <c r="A495" i="10" a="1"/>
  <c r="A495" i="10" s="1"/>
  <c r="A494" i="10" a="1"/>
  <c r="A494" i="10" s="1"/>
  <c r="A493" i="10" a="1"/>
  <c r="A493" i="10" s="1"/>
  <c r="A492" i="10" a="1"/>
  <c r="A492" i="10" s="1"/>
  <c r="A491" i="10" a="1"/>
  <c r="A491" i="10" s="1"/>
  <c r="A490" i="10" a="1"/>
  <c r="A490" i="10" s="1"/>
  <c r="A489" i="10" a="1"/>
  <c r="A489" i="10" s="1"/>
  <c r="A488" i="10" a="1"/>
  <c r="A488" i="10" s="1"/>
  <c r="A487" i="10" a="1"/>
  <c r="A487" i="10" s="1"/>
  <c r="A486" i="10" a="1"/>
  <c r="A486" i="10" s="1"/>
  <c r="A485" i="10" a="1"/>
  <c r="A485" i="10" s="1"/>
  <c r="A484" i="10" a="1"/>
  <c r="A484" i="10" s="1"/>
  <c r="A483" i="10" a="1"/>
  <c r="A483" i="10" s="1"/>
  <c r="A482" i="10" a="1"/>
  <c r="A482" i="10" s="1"/>
  <c r="A481" i="10" a="1"/>
  <c r="A481" i="10" s="1"/>
  <c r="A480" i="10" a="1"/>
  <c r="A480" i="10" s="1"/>
  <c r="A479" i="10" a="1"/>
  <c r="A479" i="10" s="1"/>
  <c r="A478" i="10" a="1"/>
  <c r="A478" i="10" s="1"/>
  <c r="A477" i="10" a="1"/>
  <c r="A477" i="10" s="1"/>
  <c r="A476" i="10" a="1"/>
  <c r="A476" i="10" s="1"/>
  <c r="A475" i="10" a="1"/>
  <c r="A475" i="10" s="1"/>
  <c r="A474" i="10" a="1"/>
  <c r="A474" i="10" s="1"/>
  <c r="A473" i="10" a="1"/>
  <c r="A473" i="10" s="1"/>
  <c r="A472" i="10" a="1"/>
  <c r="A472" i="10" s="1"/>
  <c r="A471" i="10" a="1"/>
  <c r="A471" i="10" s="1"/>
  <c r="A470" i="10" a="1"/>
  <c r="A470" i="10" s="1"/>
  <c r="A469" i="10" a="1"/>
  <c r="A469" i="10" s="1"/>
  <c r="A468" i="10" a="1"/>
  <c r="A468" i="10" s="1"/>
  <c r="A467" i="10" a="1"/>
  <c r="A467" i="10" s="1"/>
  <c r="A466" i="10" a="1"/>
  <c r="A466" i="10" s="1"/>
  <c r="A465" i="10" a="1"/>
  <c r="A465" i="10" s="1"/>
  <c r="A464" i="10" a="1"/>
  <c r="A464" i="10" s="1"/>
  <c r="A463" i="10" a="1"/>
  <c r="A463" i="10" s="1"/>
  <c r="A462" i="10" a="1"/>
  <c r="A462" i="10" s="1"/>
  <c r="A461" i="10" a="1"/>
  <c r="A461" i="10" s="1"/>
  <c r="A460" i="10" a="1"/>
  <c r="A460" i="10" s="1"/>
  <c r="A459" i="10" a="1"/>
  <c r="A459" i="10" s="1"/>
  <c r="A458" i="10" a="1"/>
  <c r="A458" i="10" s="1"/>
  <c r="A457" i="10" a="1"/>
  <c r="A457" i="10" s="1"/>
  <c r="A456" i="10" a="1"/>
  <c r="A456" i="10" s="1"/>
  <c r="A455" i="10" a="1"/>
  <c r="A455" i="10" s="1"/>
  <c r="A454" i="10" a="1"/>
  <c r="A454" i="10" s="1"/>
  <c r="A453" i="10" a="1"/>
  <c r="A453" i="10" s="1"/>
  <c r="A452" i="10" a="1"/>
  <c r="A452" i="10" s="1"/>
  <c r="A451" i="10" a="1"/>
  <c r="A451" i="10" s="1"/>
  <c r="A450" i="10" a="1"/>
  <c r="A450" i="10" s="1"/>
  <c r="A449" i="10" a="1"/>
  <c r="A449" i="10" s="1"/>
  <c r="A448" i="10" a="1"/>
  <c r="A448" i="10" s="1"/>
  <c r="A447" i="10" a="1"/>
  <c r="A447" i="10" s="1"/>
  <c r="A446" i="10" a="1"/>
  <c r="A446" i="10" s="1"/>
  <c r="A445" i="10" a="1"/>
  <c r="A445" i="10" s="1"/>
  <c r="A444" i="10" a="1"/>
  <c r="A444" i="10" s="1"/>
  <c r="A443" i="10" a="1"/>
  <c r="A443" i="10" s="1"/>
  <c r="A442" i="10" a="1"/>
  <c r="A442" i="10" s="1"/>
  <c r="A441" i="10" a="1"/>
  <c r="A441" i="10" s="1"/>
  <c r="A440" i="10" a="1"/>
  <c r="A440" i="10" s="1"/>
  <c r="A439" i="10" a="1"/>
  <c r="A439" i="10" s="1"/>
  <c r="A438" i="10" a="1"/>
  <c r="A438" i="10" s="1"/>
  <c r="A437" i="10" a="1"/>
  <c r="A437" i="10" s="1"/>
  <c r="A436" i="10" a="1"/>
  <c r="A436" i="10" s="1"/>
  <c r="A435" i="10" a="1"/>
  <c r="A435" i="10" s="1"/>
  <c r="A434" i="10" a="1"/>
  <c r="A434" i="10" s="1"/>
  <c r="A433" i="10" a="1"/>
  <c r="A433" i="10" s="1"/>
  <c r="A432" i="10" a="1"/>
  <c r="A432" i="10" s="1"/>
  <c r="A431" i="10" a="1"/>
  <c r="A431" i="10" s="1"/>
  <c r="A430" i="10" a="1"/>
  <c r="A430" i="10" s="1"/>
  <c r="A429" i="10" a="1"/>
  <c r="A429" i="10" s="1"/>
  <c r="A428" i="10" a="1"/>
  <c r="A428" i="10" s="1"/>
  <c r="A427" i="10" a="1"/>
  <c r="A427" i="10" s="1"/>
  <c r="A426" i="10" a="1"/>
  <c r="A426" i="10" s="1"/>
  <c r="A425" i="10" a="1"/>
  <c r="A425" i="10" s="1"/>
  <c r="A424" i="10" a="1"/>
  <c r="A424" i="10" s="1"/>
  <c r="A423" i="10" a="1"/>
  <c r="A423" i="10" s="1"/>
  <c r="A422" i="10" a="1"/>
  <c r="A422" i="10" s="1"/>
  <c r="A421" i="10" a="1"/>
  <c r="A421" i="10" s="1"/>
  <c r="A420" i="10" a="1"/>
  <c r="A420" i="10" s="1"/>
  <c r="A419" i="10" a="1"/>
  <c r="A419" i="10" s="1"/>
  <c r="A418" i="10" a="1"/>
  <c r="A418" i="10" s="1"/>
  <c r="A417" i="10" a="1"/>
  <c r="A417" i="10" s="1"/>
  <c r="A416" i="10" a="1"/>
  <c r="A416" i="10" s="1"/>
  <c r="A415" i="10" a="1"/>
  <c r="A415" i="10" s="1"/>
  <c r="A414" i="10" a="1"/>
  <c r="A414" i="10" s="1"/>
  <c r="A413" i="10" a="1"/>
  <c r="A413" i="10" s="1"/>
  <c r="A412" i="10" a="1"/>
  <c r="A412" i="10" s="1"/>
  <c r="A411" i="10" a="1"/>
  <c r="A411" i="10" s="1"/>
  <c r="A410" i="10" a="1"/>
  <c r="A410" i="10" s="1"/>
  <c r="A409" i="10" a="1"/>
  <c r="A409" i="10" s="1"/>
  <c r="A408" i="10" a="1"/>
  <c r="A408" i="10" s="1"/>
  <c r="A407" i="10" a="1"/>
  <c r="A407" i="10" s="1"/>
  <c r="A406" i="10" a="1"/>
  <c r="A406" i="10" s="1"/>
  <c r="A405" i="10" a="1"/>
  <c r="A405" i="10" s="1"/>
  <c r="A404" i="10" a="1"/>
  <c r="A404" i="10" s="1"/>
  <c r="A403" i="10" a="1"/>
  <c r="A403" i="10" s="1"/>
  <c r="A402" i="10" a="1"/>
  <c r="A402" i="10" s="1"/>
  <c r="A401" i="10" a="1"/>
  <c r="A401" i="10" s="1"/>
  <c r="A400" i="10" a="1"/>
  <c r="A400" i="10" s="1"/>
  <c r="A399" i="10" a="1"/>
  <c r="A399" i="10" s="1"/>
  <c r="A398" i="10" a="1"/>
  <c r="A398" i="10" s="1"/>
  <c r="A397" i="10" a="1"/>
  <c r="A397" i="10" s="1"/>
  <c r="A396" i="10" a="1"/>
  <c r="A396" i="10" s="1"/>
  <c r="A395" i="10" a="1"/>
  <c r="A395" i="10" s="1"/>
  <c r="A394" i="10" a="1"/>
  <c r="A394" i="10" s="1"/>
  <c r="A393" i="10" a="1"/>
  <c r="A393" i="10" s="1"/>
  <c r="A392" i="10" a="1"/>
  <c r="A392" i="10" s="1"/>
  <c r="A391" i="10" a="1"/>
  <c r="A391" i="10" s="1"/>
  <c r="A390" i="10" a="1"/>
  <c r="A390" i="10" s="1"/>
  <c r="A389" i="10" a="1"/>
  <c r="A389" i="10" s="1"/>
  <c r="A388" i="10" a="1"/>
  <c r="A388" i="10" s="1"/>
  <c r="A387" i="10" a="1"/>
  <c r="A387" i="10" s="1"/>
  <c r="A386" i="10" a="1"/>
  <c r="A386" i="10" s="1"/>
  <c r="A385" i="10" a="1"/>
  <c r="A385" i="10" s="1"/>
  <c r="A384" i="10" a="1"/>
  <c r="A384" i="10" s="1"/>
  <c r="A383" i="10" a="1"/>
  <c r="A383" i="10" s="1"/>
  <c r="A382" i="10" a="1"/>
  <c r="A382" i="10" s="1"/>
  <c r="A381" i="10" a="1"/>
  <c r="A381" i="10" s="1"/>
  <c r="A380" i="10" a="1"/>
  <c r="A380" i="10" s="1"/>
  <c r="A379" i="10" a="1"/>
  <c r="A379" i="10" s="1"/>
  <c r="A378" i="10" a="1"/>
  <c r="A378" i="10" s="1"/>
  <c r="A377" i="10" a="1"/>
  <c r="A377" i="10" s="1"/>
  <c r="A376" i="10" a="1"/>
  <c r="A376" i="10" s="1"/>
  <c r="A375" i="10" a="1"/>
  <c r="A375" i="10" s="1"/>
  <c r="A374" i="10" a="1"/>
  <c r="A374" i="10" s="1"/>
  <c r="A373" i="10" a="1"/>
  <c r="A373" i="10" s="1"/>
  <c r="A372" i="10" a="1"/>
  <c r="A372" i="10" s="1"/>
  <c r="A371" i="10" a="1"/>
  <c r="A371" i="10" s="1"/>
  <c r="A370" i="10" a="1"/>
  <c r="A370" i="10" s="1"/>
  <c r="A369" i="10" a="1"/>
  <c r="A369" i="10" s="1"/>
  <c r="A368" i="10" a="1"/>
  <c r="A368" i="10" s="1"/>
  <c r="A367" i="10" a="1"/>
  <c r="A367" i="10" s="1"/>
  <c r="A366" i="10" a="1"/>
  <c r="A366" i="10" s="1"/>
  <c r="A365" i="10" a="1"/>
  <c r="A365" i="10" s="1"/>
  <c r="A364" i="10" a="1"/>
  <c r="A364" i="10" s="1"/>
  <c r="A363" i="10" a="1"/>
  <c r="A363" i="10" s="1"/>
  <c r="A362" i="10" a="1"/>
  <c r="A362" i="10" s="1"/>
  <c r="A361" i="10" a="1"/>
  <c r="A361" i="10" s="1"/>
  <c r="A360" i="10" a="1"/>
  <c r="A360" i="10" s="1"/>
  <c r="A359" i="10" a="1"/>
  <c r="A359" i="10" s="1"/>
  <c r="A358" i="10" a="1"/>
  <c r="A358" i="10" s="1"/>
  <c r="A357" i="10" a="1"/>
  <c r="A357" i="10" s="1"/>
  <c r="A356" i="10" a="1"/>
  <c r="A356" i="10" s="1"/>
  <c r="A355" i="10" a="1"/>
  <c r="A355" i="10" s="1"/>
  <c r="A354" i="10" a="1"/>
  <c r="A354" i="10" s="1"/>
  <c r="A353" i="10" a="1"/>
  <c r="A353" i="10" s="1"/>
  <c r="A352" i="10" a="1"/>
  <c r="A352" i="10" s="1"/>
  <c r="A351" i="10" a="1"/>
  <c r="A351" i="10" s="1"/>
  <c r="A350" i="10" a="1"/>
  <c r="A350" i="10" s="1"/>
  <c r="A349" i="10" a="1"/>
  <c r="A349" i="10" s="1"/>
  <c r="A348" i="10" a="1"/>
  <c r="A348" i="10" s="1"/>
  <c r="A347" i="10" a="1"/>
  <c r="A347" i="10" s="1"/>
  <c r="A346" i="10" a="1"/>
  <c r="A346" i="10" s="1"/>
  <c r="A345" i="10" a="1"/>
  <c r="A345" i="10" s="1"/>
  <c r="A344" i="10" a="1"/>
  <c r="A344" i="10" s="1"/>
  <c r="A343" i="10" a="1"/>
  <c r="A343" i="10" s="1"/>
  <c r="A342" i="10" a="1"/>
  <c r="A342" i="10" s="1"/>
  <c r="A341" i="10" a="1"/>
  <c r="A341" i="10" s="1"/>
  <c r="A340" i="10" a="1"/>
  <c r="A340" i="10" s="1"/>
  <c r="A339" i="10" a="1"/>
  <c r="A339" i="10" s="1"/>
  <c r="A338" i="10" a="1"/>
  <c r="A338" i="10" s="1"/>
  <c r="A337" i="10" a="1"/>
  <c r="A337" i="10" s="1"/>
  <c r="A336" i="10" a="1"/>
  <c r="A336" i="10" s="1"/>
  <c r="A335" i="10" a="1"/>
  <c r="A335" i="10" s="1"/>
  <c r="A334" i="10" a="1"/>
  <c r="A334" i="10" s="1"/>
  <c r="A333" i="10" a="1"/>
  <c r="A333" i="10" s="1"/>
  <c r="A332" i="10" a="1"/>
  <c r="A332" i="10" s="1"/>
  <c r="A331" i="10" a="1"/>
  <c r="A331" i="10" s="1"/>
  <c r="A330" i="10" a="1"/>
  <c r="A330" i="10" s="1"/>
  <c r="A329" i="10" a="1"/>
  <c r="A329" i="10" s="1"/>
  <c r="A328" i="10" a="1"/>
  <c r="A328" i="10" s="1"/>
  <c r="A327" i="10" a="1"/>
  <c r="A327" i="10" s="1"/>
  <c r="A326" i="10" a="1"/>
  <c r="A326" i="10" s="1"/>
  <c r="A325" i="10" a="1"/>
  <c r="A325" i="10" s="1"/>
  <c r="A324" i="10" a="1"/>
  <c r="A324" i="10" s="1"/>
  <c r="A323" i="10" a="1"/>
  <c r="A323" i="10" s="1"/>
  <c r="A322" i="10" a="1"/>
  <c r="A322" i="10" s="1"/>
  <c r="A321" i="10" a="1"/>
  <c r="A321" i="10" s="1"/>
  <c r="A320" i="10" a="1"/>
  <c r="A320" i="10" s="1"/>
  <c r="A319" i="10" a="1"/>
  <c r="A319" i="10" s="1"/>
  <c r="A318" i="10" a="1"/>
  <c r="A318" i="10" s="1"/>
  <c r="A317" i="10" a="1"/>
  <c r="A317" i="10" s="1"/>
  <c r="A316" i="10" a="1"/>
  <c r="A316" i="10" s="1"/>
  <c r="A315" i="10" a="1"/>
  <c r="A315" i="10" s="1"/>
  <c r="A314" i="10" a="1"/>
  <c r="A314" i="10" s="1"/>
  <c r="A313" i="10" a="1"/>
  <c r="A313" i="10" s="1"/>
  <c r="A312" i="10" a="1"/>
  <c r="A312" i="10" s="1"/>
  <c r="A311" i="10" a="1"/>
  <c r="A311" i="10" s="1"/>
  <c r="A310" i="10" a="1"/>
  <c r="A310" i="10" s="1"/>
  <c r="A309" i="10" a="1"/>
  <c r="A309" i="10" s="1"/>
  <c r="A308" i="10" a="1"/>
  <c r="A308" i="10" s="1"/>
  <c r="A307" i="10" a="1"/>
  <c r="A307" i="10" s="1"/>
  <c r="A306" i="10" a="1"/>
  <c r="A306" i="10" s="1"/>
  <c r="A305" i="10" a="1"/>
  <c r="A305" i="10" s="1"/>
  <c r="A304" i="10" a="1"/>
  <c r="A304" i="10" s="1"/>
  <c r="A303" i="10" a="1"/>
  <c r="A303" i="10" s="1"/>
  <c r="A302" i="10" a="1"/>
  <c r="A302" i="10" s="1"/>
  <c r="A301" i="10" a="1"/>
  <c r="A301" i="10" s="1"/>
  <c r="A300" i="10" a="1"/>
  <c r="A300" i="10" s="1"/>
  <c r="A299" i="10" a="1"/>
  <c r="A299" i="10" s="1"/>
  <c r="A298" i="10" a="1"/>
  <c r="A298" i="10" s="1"/>
  <c r="A297" i="10" a="1"/>
  <c r="A297" i="10" s="1"/>
  <c r="A296" i="10" a="1"/>
  <c r="A296" i="10" s="1"/>
  <c r="A295" i="10" a="1"/>
  <c r="A295" i="10" s="1"/>
  <c r="A294" i="10" a="1"/>
  <c r="A294" i="10" s="1"/>
  <c r="A293" i="10" a="1"/>
  <c r="A293" i="10" s="1"/>
  <c r="A292" i="10" a="1"/>
  <c r="A292" i="10" s="1"/>
  <c r="A291" i="10" a="1"/>
  <c r="A291" i="10" s="1"/>
  <c r="A290" i="10" a="1"/>
  <c r="A290" i="10" s="1"/>
  <c r="A289" i="10" a="1"/>
  <c r="A289" i="10" s="1"/>
  <c r="A288" i="10" a="1"/>
  <c r="A288" i="10" s="1"/>
  <c r="A287" i="10" a="1"/>
  <c r="A287" i="10" s="1"/>
  <c r="A286" i="10" a="1"/>
  <c r="A286" i="10" s="1"/>
  <c r="A285" i="10" a="1"/>
  <c r="A285" i="10" s="1"/>
  <c r="A284" i="10" a="1"/>
  <c r="A284" i="10" s="1"/>
  <c r="A283" i="10" a="1"/>
  <c r="A283" i="10" s="1"/>
  <c r="A282" i="10" a="1"/>
  <c r="A282" i="10" s="1"/>
  <c r="A281" i="10" a="1"/>
  <c r="A281" i="10" s="1"/>
  <c r="A280" i="10" a="1"/>
  <c r="A280" i="10" s="1"/>
  <c r="A279" i="10" a="1"/>
  <c r="A279" i="10" s="1"/>
  <c r="A278" i="10" a="1"/>
  <c r="A278" i="10" s="1"/>
  <c r="A277" i="10" a="1"/>
  <c r="A277" i="10" s="1"/>
  <c r="A276" i="10" a="1"/>
  <c r="A276" i="10" s="1"/>
  <c r="A275" i="10" a="1"/>
  <c r="A275" i="10" s="1"/>
  <c r="A274" i="10" a="1"/>
  <c r="A274" i="10" s="1"/>
  <c r="A273" i="10" a="1"/>
  <c r="A273" i="10" s="1"/>
  <c r="A272" i="10" a="1"/>
  <c r="A272" i="10" s="1"/>
  <c r="A271" i="10" a="1"/>
  <c r="A271" i="10" s="1"/>
  <c r="A270" i="10" a="1"/>
  <c r="A270" i="10" s="1"/>
  <c r="A269" i="10" a="1"/>
  <c r="A269" i="10" s="1"/>
  <c r="A268" i="10" a="1"/>
  <c r="A268" i="10" s="1"/>
  <c r="A267" i="10" a="1"/>
  <c r="A267" i="10" s="1"/>
  <c r="A266" i="10" a="1"/>
  <c r="A266" i="10" s="1"/>
  <c r="A265" i="10" a="1"/>
  <c r="A265" i="10" s="1"/>
  <c r="A264" i="10" a="1"/>
  <c r="A264" i="10" s="1"/>
  <c r="A263" i="10" a="1"/>
  <c r="A263" i="10" s="1"/>
  <c r="A262" i="10" a="1"/>
  <c r="A262" i="10" s="1"/>
  <c r="A261" i="10" a="1"/>
  <c r="A261" i="10" s="1"/>
  <c r="A260" i="10" a="1"/>
  <c r="A260" i="10" s="1"/>
  <c r="A259" i="10" a="1"/>
  <c r="A259" i="10" s="1"/>
  <c r="A258" i="10" a="1"/>
  <c r="A258" i="10" s="1"/>
  <c r="A257" i="10" a="1"/>
  <c r="A257" i="10" s="1"/>
  <c r="A256" i="10" a="1"/>
  <c r="A256" i="10" s="1"/>
  <c r="A255" i="10" a="1"/>
  <c r="A255" i="10" s="1"/>
  <c r="A254" i="10" a="1"/>
  <c r="A254" i="10" s="1"/>
  <c r="A253" i="10" a="1"/>
  <c r="A253" i="10" s="1"/>
  <c r="A252" i="10" a="1"/>
  <c r="A252" i="10" s="1"/>
  <c r="A251" i="10" a="1"/>
  <c r="A251" i="10" s="1"/>
  <c r="A250" i="10" a="1"/>
  <c r="A250" i="10" s="1"/>
  <c r="A249" i="10" a="1"/>
  <c r="A249" i="10" s="1"/>
  <c r="A248" i="10" a="1"/>
  <c r="A248" i="10" s="1"/>
  <c r="A247" i="10" a="1"/>
  <c r="A247" i="10" s="1"/>
  <c r="A246" i="10" a="1"/>
  <c r="A246" i="10" s="1"/>
  <c r="A245" i="10" a="1"/>
  <c r="A245" i="10" s="1"/>
  <c r="A244" i="10" a="1"/>
  <c r="A244" i="10" s="1"/>
  <c r="A243" i="10" a="1"/>
  <c r="A243" i="10" s="1"/>
  <c r="A242" i="10" a="1"/>
  <c r="A242" i="10" s="1"/>
  <c r="A241" i="10" a="1"/>
  <c r="A241" i="10" s="1"/>
  <c r="A240" i="10" a="1"/>
  <c r="A240" i="10" s="1"/>
  <c r="A239" i="10" a="1"/>
  <c r="A239" i="10" s="1"/>
  <c r="A238" i="10" a="1"/>
  <c r="A238" i="10" s="1"/>
  <c r="A237" i="10" a="1"/>
  <c r="A237" i="10" s="1"/>
  <c r="A236" i="10" a="1"/>
  <c r="A236" i="10" s="1"/>
  <c r="A235" i="10" a="1"/>
  <c r="A235" i="10" s="1"/>
  <c r="A234" i="10" a="1"/>
  <c r="A234" i="10" s="1"/>
  <c r="A233" i="10" a="1"/>
  <c r="A233" i="10" s="1"/>
  <c r="A232" i="10" a="1"/>
  <c r="A232" i="10" s="1"/>
  <c r="A231" i="10" a="1"/>
  <c r="A231" i="10" s="1"/>
  <c r="A230" i="10" a="1"/>
  <c r="A230" i="10" s="1"/>
  <c r="A229" i="10" a="1"/>
  <c r="A229" i="10" s="1"/>
  <c r="A228" i="10" a="1"/>
  <c r="A228" i="10" s="1"/>
  <c r="A227" i="10" a="1"/>
  <c r="A227" i="10" s="1"/>
  <c r="A226" i="10" a="1"/>
  <c r="A226" i="10" s="1"/>
  <c r="A225" i="10" a="1"/>
  <c r="A225" i="10" s="1"/>
  <c r="A224" i="10" a="1"/>
  <c r="A224" i="10" s="1"/>
  <c r="A223" i="10" a="1"/>
  <c r="A223" i="10" s="1"/>
  <c r="A222" i="10" a="1"/>
  <c r="A222" i="10" s="1"/>
  <c r="A221" i="10" a="1"/>
  <c r="A221" i="10" s="1"/>
  <c r="A220" i="10" a="1"/>
  <c r="A220" i="10" s="1"/>
  <c r="A219" i="10" a="1"/>
  <c r="A219" i="10" s="1"/>
  <c r="A218" i="10" a="1"/>
  <c r="A218" i="10" s="1"/>
  <c r="A217" i="10" a="1"/>
  <c r="A217" i="10" s="1"/>
  <c r="A216" i="10" a="1"/>
  <c r="A216" i="10" s="1"/>
  <c r="A215" i="10" a="1"/>
  <c r="A215" i="10" s="1"/>
  <c r="A214" i="10" a="1"/>
  <c r="A214" i="10" s="1"/>
  <c r="A213" i="10" a="1"/>
  <c r="A213" i="10" s="1"/>
  <c r="A212" i="10" a="1"/>
  <c r="A212" i="10" s="1"/>
  <c r="A211" i="10" a="1"/>
  <c r="A211" i="10" s="1"/>
  <c r="A210" i="10" a="1"/>
  <c r="A210" i="10" s="1"/>
  <c r="A209" i="10" a="1"/>
  <c r="A209" i="10" s="1"/>
  <c r="A208" i="10" a="1"/>
  <c r="A208" i="10" s="1"/>
  <c r="A207" i="10" a="1"/>
  <c r="A207" i="10" s="1"/>
  <c r="A206" i="10" a="1"/>
  <c r="A206" i="10" s="1"/>
  <c r="A205" i="10" a="1"/>
  <c r="A205" i="10" s="1"/>
  <c r="A204" i="10" a="1"/>
  <c r="A204" i="10" s="1"/>
  <c r="A203" i="10" a="1"/>
  <c r="A203" i="10" s="1"/>
  <c r="A202" i="10" a="1"/>
  <c r="A202" i="10" s="1"/>
  <c r="A201" i="10" a="1"/>
  <c r="A201" i="10" s="1"/>
  <c r="A200" i="10" a="1"/>
  <c r="A200" i="10" s="1"/>
  <c r="A199" i="10" a="1"/>
  <c r="A199" i="10" s="1"/>
  <c r="A198" i="10" a="1"/>
  <c r="A198" i="10" s="1"/>
  <c r="A197" i="10" a="1"/>
  <c r="A197" i="10" s="1"/>
  <c r="A196" i="10" a="1"/>
  <c r="A196" i="10" s="1"/>
  <c r="A195" i="10" a="1"/>
  <c r="A195" i="10" s="1"/>
  <c r="A194" i="10" a="1"/>
  <c r="A194" i="10" s="1"/>
  <c r="A193" i="10" a="1"/>
  <c r="A193" i="10" s="1"/>
  <c r="A192" i="10" a="1"/>
  <c r="A192" i="10" s="1"/>
  <c r="A191" i="10" a="1"/>
  <c r="A191" i="10" s="1"/>
  <c r="A190" i="10" a="1"/>
  <c r="A190" i="10" s="1"/>
  <c r="A189" i="10" a="1"/>
  <c r="A189" i="10" s="1"/>
  <c r="A188" i="10" a="1"/>
  <c r="A188" i="10" s="1"/>
  <c r="A187" i="10" a="1"/>
  <c r="A187" i="10" s="1"/>
  <c r="A186" i="10" a="1"/>
  <c r="A186" i="10" s="1"/>
  <c r="A185" i="10" a="1"/>
  <c r="A185" i="10" s="1"/>
  <c r="A184" i="10" a="1"/>
  <c r="A184" i="10" s="1"/>
  <c r="A183" i="10" a="1"/>
  <c r="A183" i="10" s="1"/>
  <c r="A182" i="10" a="1"/>
  <c r="A182" i="10" s="1"/>
  <c r="A181" i="10" a="1"/>
  <c r="A181" i="10" s="1"/>
  <c r="A180" i="10" a="1"/>
  <c r="A180" i="10" s="1"/>
  <c r="A179" i="10" a="1"/>
  <c r="A179" i="10" s="1"/>
  <c r="A178" i="10" a="1"/>
  <c r="A178" i="10" s="1"/>
  <c r="A177" i="10" a="1"/>
  <c r="A177" i="10" s="1"/>
  <c r="A176" i="10" a="1"/>
  <c r="A176" i="10" s="1"/>
  <c r="A175" i="10" a="1"/>
  <c r="A175" i="10" s="1"/>
  <c r="A174" i="10" a="1"/>
  <c r="A174" i="10" s="1"/>
  <c r="A173" i="10" a="1"/>
  <c r="A173" i="10" s="1"/>
  <c r="A172" i="10" a="1"/>
  <c r="A172" i="10" s="1"/>
  <c r="A171" i="10" a="1"/>
  <c r="A171" i="10" s="1"/>
  <c r="A170" i="10" a="1"/>
  <c r="A170" i="10" s="1"/>
  <c r="A169" i="10" a="1"/>
  <c r="A169" i="10" s="1"/>
  <c r="A168" i="10" a="1"/>
  <c r="A168" i="10" s="1"/>
  <c r="A167" i="10" a="1"/>
  <c r="A167" i="10" s="1"/>
  <c r="A166" i="10" a="1"/>
  <c r="A166" i="10" s="1"/>
  <c r="A165" i="10" a="1"/>
  <c r="A165" i="10" s="1"/>
  <c r="A164" i="10" a="1"/>
  <c r="A164" i="10" s="1"/>
  <c r="A163" i="10" a="1"/>
  <c r="A163" i="10" s="1"/>
  <c r="A162" i="10" a="1"/>
  <c r="A162" i="10" s="1"/>
  <c r="A161" i="10" a="1"/>
  <c r="A161" i="10" s="1"/>
  <c r="A160" i="10" a="1"/>
  <c r="A160" i="10" s="1"/>
  <c r="A159" i="10" a="1"/>
  <c r="A159" i="10" s="1"/>
  <c r="A158" i="10" a="1"/>
  <c r="A158" i="10" s="1"/>
  <c r="A157" i="10" a="1"/>
  <c r="A157" i="10" s="1"/>
  <c r="A156" i="10" a="1"/>
  <c r="A156" i="10" s="1"/>
  <c r="A155" i="10" a="1"/>
  <c r="A155" i="10" s="1"/>
  <c r="A154" i="10" a="1"/>
  <c r="A154" i="10" s="1"/>
  <c r="A153" i="10" a="1"/>
  <c r="A153" i="10" s="1"/>
  <c r="A152" i="10" a="1"/>
  <c r="A152" i="10" s="1"/>
  <c r="A151" i="10" a="1"/>
  <c r="A151" i="10" s="1"/>
  <c r="A150" i="10" a="1"/>
  <c r="A150" i="10" s="1"/>
  <c r="A149" i="10" a="1"/>
  <c r="A149" i="10" s="1"/>
  <c r="A148" i="10" a="1"/>
  <c r="A148" i="10" s="1"/>
  <c r="A147" i="10" a="1"/>
  <c r="A147" i="10" s="1"/>
  <c r="A146" i="10" a="1"/>
  <c r="A146" i="10" s="1"/>
  <c r="A145" i="10" a="1"/>
  <c r="A145" i="10" s="1"/>
  <c r="A144" i="10" a="1"/>
  <c r="A144" i="10" s="1"/>
  <c r="A143" i="10" a="1"/>
  <c r="A143" i="10" s="1"/>
  <c r="A142" i="10" a="1"/>
  <c r="A142" i="10" s="1"/>
  <c r="A141" i="10" a="1"/>
  <c r="A141" i="10" s="1"/>
  <c r="A140" i="10" a="1"/>
  <c r="A140" i="10" s="1"/>
  <c r="A139" i="10" a="1"/>
  <c r="A139" i="10" s="1"/>
  <c r="A138" i="10" a="1"/>
  <c r="A138" i="10" s="1"/>
  <c r="A137" i="10" a="1"/>
  <c r="A137" i="10" s="1"/>
  <c r="A136" i="10" a="1"/>
  <c r="A136" i="10" s="1"/>
  <c r="A135" i="10" a="1"/>
  <c r="A135" i="10" s="1"/>
  <c r="A134" i="10" a="1"/>
  <c r="A134" i="10" s="1"/>
  <c r="A133" i="10" a="1"/>
  <c r="A133" i="10" s="1"/>
  <c r="A132" i="10" a="1"/>
  <c r="A132" i="10" s="1"/>
  <c r="A131" i="10" a="1"/>
  <c r="A131" i="10" s="1"/>
  <c r="A130" i="10" a="1"/>
  <c r="A130" i="10" s="1"/>
  <c r="A129" i="10" a="1"/>
  <c r="A129" i="10" s="1"/>
  <c r="A128" i="10" a="1"/>
  <c r="A128" i="10" s="1"/>
  <c r="A127" i="10" a="1"/>
  <c r="A127" i="10" s="1"/>
  <c r="A126" i="10" a="1"/>
  <c r="A126" i="10" s="1"/>
  <c r="A125" i="10" a="1"/>
  <c r="A125" i="10" s="1"/>
  <c r="A124" i="10" a="1"/>
  <c r="A124" i="10" s="1"/>
  <c r="A123" i="10" a="1"/>
  <c r="A123" i="10" s="1"/>
  <c r="A122" i="10" a="1"/>
  <c r="A122" i="10" s="1"/>
  <c r="A121" i="10" a="1"/>
  <c r="A121" i="10" s="1"/>
  <c r="A120" i="10" a="1"/>
  <c r="A120" i="10" s="1"/>
  <c r="A119" i="10" a="1"/>
  <c r="A119" i="10" s="1"/>
  <c r="A118" i="10" a="1"/>
  <c r="A118" i="10" s="1"/>
  <c r="A117" i="10" a="1"/>
  <c r="A117" i="10" s="1"/>
  <c r="A116" i="10" a="1"/>
  <c r="A116" i="10" s="1"/>
  <c r="A115" i="10" a="1"/>
  <c r="A115" i="10" s="1"/>
  <c r="A114" i="10" a="1"/>
  <c r="A114" i="10" s="1"/>
  <c r="A113" i="10" a="1"/>
  <c r="A113" i="10" s="1"/>
  <c r="A112" i="10" a="1"/>
  <c r="A112" i="10" s="1"/>
  <c r="A111" i="10" a="1"/>
  <c r="A111" i="10" s="1"/>
  <c r="A110" i="10" a="1"/>
  <c r="A110" i="10" s="1"/>
  <c r="A109" i="10" a="1"/>
  <c r="A109" i="10" s="1"/>
  <c r="A108" i="10" a="1"/>
  <c r="A108" i="10" s="1"/>
  <c r="A107" i="10" a="1"/>
  <c r="A107" i="10" s="1"/>
  <c r="A106" i="10" a="1"/>
  <c r="A106" i="10" s="1"/>
  <c r="A105" i="10" a="1"/>
  <c r="A105" i="10" s="1"/>
  <c r="A104" i="10" a="1"/>
  <c r="A104" i="10" s="1"/>
  <c r="A103" i="10" a="1"/>
  <c r="A103" i="10" s="1"/>
  <c r="A102" i="10" a="1"/>
  <c r="A102" i="10" s="1"/>
  <c r="A101" i="10" a="1"/>
  <c r="A101" i="10" s="1"/>
  <c r="A100" i="10" a="1"/>
  <c r="A100" i="10" s="1"/>
  <c r="A99" i="10" a="1"/>
  <c r="A99" i="10" s="1"/>
  <c r="A98" i="10" a="1"/>
  <c r="A98" i="10" s="1"/>
  <c r="A97" i="10" a="1"/>
  <c r="A97" i="10" s="1"/>
  <c r="A96" i="10" a="1"/>
  <c r="A96" i="10" s="1"/>
  <c r="A95" i="10" a="1"/>
  <c r="A95" i="10" s="1"/>
  <c r="A94" i="10" a="1"/>
  <c r="A94" i="10" s="1"/>
  <c r="A93" i="10" a="1"/>
  <c r="A93" i="10" s="1"/>
  <c r="A92" i="10" a="1"/>
  <c r="A92" i="10" s="1"/>
  <c r="A91" i="10" a="1"/>
  <c r="A91" i="10" s="1"/>
  <c r="A90" i="10" a="1"/>
  <c r="A90" i="10" s="1"/>
  <c r="A89" i="10" a="1"/>
  <c r="A89" i="10" s="1"/>
  <c r="A88" i="10" a="1"/>
  <c r="A88" i="10" s="1"/>
  <c r="A87" i="10" a="1"/>
  <c r="A87" i="10" s="1"/>
  <c r="A86" i="10" a="1"/>
  <c r="A86" i="10" s="1"/>
  <c r="A85" i="10" a="1"/>
  <c r="A85" i="10" s="1"/>
  <c r="A84" i="10" a="1"/>
  <c r="A84" i="10" s="1"/>
  <c r="A83" i="10" a="1"/>
  <c r="A83" i="10" s="1"/>
  <c r="A82" i="10" a="1"/>
  <c r="A82" i="10" s="1"/>
  <c r="A81" i="10" a="1"/>
  <c r="A81" i="10" s="1"/>
  <c r="A80" i="10" a="1"/>
  <c r="A80" i="10" s="1"/>
  <c r="A79" i="10" a="1"/>
  <c r="A79" i="10" s="1"/>
  <c r="A78" i="10" a="1"/>
  <c r="A78" i="10" s="1"/>
  <c r="A77" i="10" a="1"/>
  <c r="A77" i="10" s="1"/>
  <c r="A76" i="10" a="1"/>
  <c r="A76" i="10" s="1"/>
  <c r="A75" i="10" a="1"/>
  <c r="A75" i="10" s="1"/>
  <c r="A74" i="10" a="1"/>
  <c r="A74" i="10" s="1"/>
  <c r="A73" i="10" a="1"/>
  <c r="A73" i="10" s="1"/>
  <c r="A72" i="10" a="1"/>
  <c r="A72" i="10" s="1"/>
  <c r="A71" i="10" a="1"/>
  <c r="A71" i="10" s="1"/>
  <c r="A70" i="10" a="1"/>
  <c r="A70" i="10" s="1"/>
  <c r="A69" i="10" a="1"/>
  <c r="A69" i="10" s="1"/>
  <c r="A68" i="10" a="1"/>
  <c r="A68" i="10" s="1"/>
  <c r="A67" i="10" a="1"/>
  <c r="A67" i="10" s="1"/>
  <c r="A66" i="10" a="1"/>
  <c r="A66" i="10" s="1"/>
  <c r="A65" i="10" a="1"/>
  <c r="A65" i="10" s="1"/>
  <c r="A64" i="10" a="1"/>
  <c r="A64" i="10" s="1"/>
  <c r="A63" i="10" a="1"/>
  <c r="A63" i="10" s="1"/>
  <c r="A62" i="10" a="1"/>
  <c r="A62" i="10" s="1"/>
  <c r="A61" i="10" a="1"/>
  <c r="A61" i="10" s="1"/>
  <c r="A60" i="10" a="1"/>
  <c r="A60" i="10" s="1"/>
  <c r="A59" i="10" a="1"/>
  <c r="A59" i="10" s="1"/>
  <c r="A58" i="10" a="1"/>
  <c r="A58" i="10" s="1"/>
  <c r="A57" i="10" a="1"/>
  <c r="A57" i="10" s="1"/>
  <c r="A56" i="10" a="1"/>
  <c r="A56" i="10" s="1"/>
  <c r="A55" i="10" a="1"/>
  <c r="A55" i="10" s="1"/>
  <c r="A54" i="10" a="1"/>
  <c r="A54" i="10" s="1"/>
  <c r="A53" i="10" a="1"/>
  <c r="A53" i="10" s="1"/>
  <c r="A52" i="10" a="1"/>
  <c r="A52" i="10" s="1"/>
  <c r="A51" i="10" a="1"/>
  <c r="A51" i="10" s="1"/>
  <c r="A50" i="10" a="1"/>
  <c r="A50" i="10" s="1"/>
  <c r="A49" i="10" a="1"/>
  <c r="A49" i="10" s="1"/>
  <c r="A48" i="10" a="1"/>
  <c r="A48" i="10" s="1"/>
  <c r="A47" i="10" a="1"/>
  <c r="A47" i="10" s="1"/>
  <c r="A46" i="10" a="1"/>
  <c r="A46" i="10" s="1"/>
  <c r="A45" i="10" a="1"/>
  <c r="A45" i="10" s="1"/>
  <c r="A44" i="10" a="1"/>
  <c r="A44" i="10" s="1"/>
  <c r="A43" i="10" a="1"/>
  <c r="A43" i="10" s="1"/>
  <c r="A42" i="10" a="1"/>
  <c r="A42" i="10" s="1"/>
  <c r="A41" i="10" a="1"/>
  <c r="A41" i="10" s="1"/>
  <c r="A40" i="10" a="1"/>
  <c r="A40" i="10" s="1"/>
  <c r="A39" i="10" a="1"/>
  <c r="A39" i="10" s="1"/>
  <c r="A38" i="10" a="1"/>
  <c r="A38" i="10" s="1"/>
  <c r="A37" i="10" a="1"/>
  <c r="A37" i="10" s="1"/>
  <c r="A36" i="10" a="1"/>
  <c r="A36" i="10" s="1"/>
  <c r="A35" i="10" a="1"/>
  <c r="A35" i="10" s="1"/>
  <c r="A34" i="10" a="1"/>
  <c r="A34" i="10" s="1"/>
  <c r="A33" i="10" a="1"/>
  <c r="A33" i="10" s="1"/>
  <c r="A32" i="10" a="1"/>
  <c r="A32" i="10" s="1"/>
  <c r="A31" i="10" a="1"/>
  <c r="A31" i="10" s="1"/>
  <c r="A30" i="10" a="1"/>
  <c r="A30" i="10" s="1"/>
  <c r="A29" i="10" a="1"/>
  <c r="A29" i="10" s="1"/>
  <c r="A28" i="10" a="1"/>
  <c r="A28" i="10" s="1"/>
  <c r="A27" i="10" a="1"/>
  <c r="A27" i="10" s="1"/>
  <c r="A26" i="10" a="1"/>
  <c r="A26" i="10" s="1"/>
  <c r="A25" i="10" a="1"/>
  <c r="A25" i="10" s="1"/>
  <c r="A24" i="10" a="1"/>
  <c r="A24" i="10" s="1"/>
  <c r="A23" i="10" a="1"/>
  <c r="A23" i="10" s="1"/>
  <c r="A22" i="10" a="1"/>
  <c r="A22" i="10" s="1"/>
  <c r="A21" i="10" a="1"/>
  <c r="A21" i="10" s="1"/>
  <c r="A20" i="10" a="1"/>
  <c r="A20" i="10" s="1"/>
  <c r="A19" i="10" a="1"/>
  <c r="A19" i="10" s="1"/>
  <c r="A18" i="10" a="1"/>
  <c r="A18" i="10" s="1"/>
  <c r="A17" i="10" a="1"/>
  <c r="A17" i="10" s="1"/>
  <c r="A16" i="10" a="1"/>
  <c r="A16" i="10" s="1"/>
  <c r="A15" i="10" a="1"/>
  <c r="A15" i="10" s="1"/>
  <c r="A14" i="10" a="1"/>
  <c r="A14" i="10" s="1"/>
  <c r="A13" i="10" a="1"/>
  <c r="A13" i="10" s="1"/>
  <c r="A12" i="10" a="1"/>
  <c r="A12" i="10" s="1"/>
  <c r="A11" i="10" a="1"/>
  <c r="A11" i="10" s="1"/>
  <c r="A10" i="10" a="1"/>
  <c r="A10" i="10" s="1"/>
  <c r="A9" i="10" a="1"/>
  <c r="A9" i="10" s="1"/>
  <c r="A8" i="10" a="1"/>
  <c r="A8" i="10" s="1"/>
  <c r="A7" i="10" a="1"/>
  <c r="A7" i="10" s="1"/>
  <c r="A6" i="10" a="1"/>
  <c r="A6" i="10" s="1"/>
  <c r="A5" i="10"/>
  <c r="F43" i="9"/>
  <c r="H43" i="9" s="1"/>
  <c r="I43" i="9" s="1"/>
  <c r="F42" i="9"/>
  <c r="H42" i="9" s="1"/>
  <c r="I42" i="9" s="1"/>
  <c r="H41" i="9"/>
  <c r="I41" i="9" s="1"/>
  <c r="F41" i="9"/>
  <c r="F40" i="9"/>
  <c r="H40" i="9" s="1"/>
  <c r="I40" i="9" s="1"/>
  <c r="F39" i="9"/>
  <c r="H39" i="9" s="1"/>
  <c r="I39" i="9" s="1"/>
  <c r="F38" i="9"/>
  <c r="H38" i="9" s="1"/>
  <c r="I38" i="9" s="1"/>
  <c r="F37" i="9"/>
  <c r="H37" i="9" s="1"/>
  <c r="I37" i="9" s="1"/>
  <c r="F36" i="9"/>
  <c r="H36" i="9" s="1"/>
  <c r="I36" i="9" s="1"/>
  <c r="F35" i="9"/>
  <c r="H35" i="9" s="1"/>
  <c r="I35" i="9" s="1"/>
  <c r="F34" i="9"/>
  <c r="H34" i="9" s="1"/>
  <c r="I34" i="9" s="1"/>
  <c r="H33" i="9"/>
  <c r="I33" i="9" s="1"/>
  <c r="F33" i="9"/>
  <c r="F32" i="9"/>
  <c r="H32" i="9" s="1"/>
  <c r="I32" i="9" s="1"/>
  <c r="F31" i="9"/>
  <c r="H31" i="9" s="1"/>
  <c r="I31" i="9" s="1"/>
  <c r="F30" i="9"/>
  <c r="H30" i="9" s="1"/>
  <c r="I30" i="9" s="1"/>
  <c r="F29" i="9"/>
  <c r="H29" i="9" s="1"/>
  <c r="I29" i="9" s="1"/>
  <c r="F28" i="9"/>
  <c r="H28" i="9" s="1"/>
  <c r="I28" i="9" s="1"/>
  <c r="F27" i="9"/>
  <c r="H27" i="9" s="1"/>
  <c r="I27" i="9" s="1"/>
  <c r="F26" i="9"/>
  <c r="H26" i="9" s="1"/>
  <c r="I26" i="9" s="1"/>
  <c r="H25" i="9"/>
  <c r="I25" i="9" s="1"/>
  <c r="F25" i="9"/>
  <c r="F24" i="9"/>
  <c r="H24" i="9" s="1"/>
  <c r="I24" i="9" s="1"/>
  <c r="F23" i="9"/>
  <c r="H23" i="9" s="1"/>
  <c r="I23" i="9" s="1"/>
  <c r="F22" i="9"/>
  <c r="H22" i="9" s="1"/>
  <c r="I22" i="9" s="1"/>
  <c r="F21" i="9"/>
  <c r="H21" i="9" s="1"/>
  <c r="I21" i="9" s="1"/>
  <c r="F20" i="9"/>
  <c r="H20" i="9" s="1"/>
  <c r="I20" i="9" s="1"/>
  <c r="F19" i="9"/>
  <c r="H19" i="9" s="1"/>
  <c r="I19" i="9" s="1"/>
  <c r="F18" i="9"/>
  <c r="H18" i="9" s="1"/>
  <c r="I18" i="9" s="1"/>
  <c r="F17" i="9"/>
  <c r="H17" i="9" s="1"/>
  <c r="I17" i="9" s="1"/>
  <c r="F16" i="9"/>
  <c r="H16" i="9" s="1"/>
  <c r="I16" i="9" s="1"/>
  <c r="F15" i="9"/>
  <c r="H15" i="9" s="1"/>
  <c r="I15" i="9" s="1"/>
  <c r="F14" i="9"/>
  <c r="H14" i="9" s="1"/>
  <c r="I14" i="9" s="1"/>
  <c r="H13" i="9"/>
  <c r="I13" i="9" s="1"/>
  <c r="F13" i="9"/>
  <c r="F12" i="9"/>
  <c r="H12" i="9" s="1"/>
  <c r="I12" i="9" s="1"/>
  <c r="F11" i="9"/>
  <c r="H11" i="9" s="1"/>
  <c r="I11" i="9" s="1"/>
  <c r="F10" i="9"/>
  <c r="H10" i="9" s="1"/>
  <c r="I10" i="9" s="1"/>
  <c r="H9" i="9"/>
  <c r="I9" i="9" s="1"/>
  <c r="F9" i="9"/>
  <c r="F8" i="9"/>
  <c r="H8" i="9" s="1"/>
  <c r="I8" i="9" s="1"/>
  <c r="A43" i="9"/>
  <c r="C43" i="9" s="1"/>
  <c r="D43" i="9" s="1"/>
  <c r="A42" i="9"/>
  <c r="C42" i="9" s="1"/>
  <c r="D42" i="9" s="1"/>
  <c r="A41" i="9"/>
  <c r="C41" i="9" s="1"/>
  <c r="D41" i="9" s="1"/>
  <c r="A40" i="9"/>
  <c r="C40" i="9" s="1"/>
  <c r="D40" i="9" s="1"/>
  <c r="A39" i="9"/>
  <c r="C39" i="9" s="1"/>
  <c r="D39" i="9" s="1"/>
  <c r="A38" i="9"/>
  <c r="C38" i="9" s="1"/>
  <c r="D38" i="9" s="1"/>
  <c r="A37" i="9"/>
  <c r="C37" i="9" s="1"/>
  <c r="D37" i="9" s="1"/>
  <c r="A36" i="9"/>
  <c r="C36" i="9" s="1"/>
  <c r="D36" i="9" s="1"/>
  <c r="A35" i="9"/>
  <c r="C35" i="9" s="1"/>
  <c r="D35" i="9" s="1"/>
  <c r="A34" i="9"/>
  <c r="C34" i="9" s="1"/>
  <c r="D34" i="9" s="1"/>
  <c r="A33" i="9"/>
  <c r="C33" i="9" s="1"/>
  <c r="D33" i="9" s="1"/>
  <c r="A32" i="9"/>
  <c r="C32" i="9" s="1"/>
  <c r="D32" i="9" s="1"/>
  <c r="A31" i="9"/>
  <c r="C31" i="9" s="1"/>
  <c r="D31" i="9" s="1"/>
  <c r="A30" i="9"/>
  <c r="C30" i="9" s="1"/>
  <c r="D30" i="9" s="1"/>
  <c r="A29" i="9"/>
  <c r="C29" i="9" s="1"/>
  <c r="D29" i="9" s="1"/>
  <c r="A28" i="9"/>
  <c r="C28" i="9" s="1"/>
  <c r="D28" i="9" s="1"/>
  <c r="A27" i="9"/>
  <c r="C27" i="9" s="1"/>
  <c r="D27" i="9" s="1"/>
  <c r="A26" i="9"/>
  <c r="C26" i="9" s="1"/>
  <c r="D26" i="9" s="1"/>
  <c r="A25" i="9"/>
  <c r="C25" i="9" s="1"/>
  <c r="D25" i="9" s="1"/>
  <c r="A24" i="9"/>
  <c r="C24" i="9" s="1"/>
  <c r="D24" i="9" s="1"/>
  <c r="A23" i="9"/>
  <c r="C23" i="9" s="1"/>
  <c r="D23" i="9" s="1"/>
  <c r="A22" i="9"/>
  <c r="C22" i="9" s="1"/>
  <c r="D22" i="9" s="1"/>
  <c r="A21" i="9"/>
  <c r="C21" i="9" s="1"/>
  <c r="D21" i="9" s="1"/>
  <c r="A20" i="9"/>
  <c r="C20" i="9" s="1"/>
  <c r="D20" i="9" s="1"/>
  <c r="A19" i="9"/>
  <c r="C19" i="9" s="1"/>
  <c r="D19" i="9" s="1"/>
  <c r="A18" i="9"/>
  <c r="C18" i="9" s="1"/>
  <c r="D18" i="9" s="1"/>
  <c r="A17" i="9"/>
  <c r="C17" i="9" s="1"/>
  <c r="D17" i="9" s="1"/>
  <c r="A16" i="9"/>
  <c r="C16" i="9" s="1"/>
  <c r="D16" i="9" s="1"/>
  <c r="A15" i="9"/>
  <c r="C15" i="9" s="1"/>
  <c r="D15" i="9" s="1"/>
  <c r="A14" i="9"/>
  <c r="C14" i="9" s="1"/>
  <c r="D14" i="9" s="1"/>
  <c r="A13" i="9"/>
  <c r="C13" i="9" s="1"/>
  <c r="D13" i="9" s="1"/>
  <c r="A12" i="9"/>
  <c r="C12" i="9" s="1"/>
  <c r="D12" i="9" s="1"/>
  <c r="A11" i="9"/>
  <c r="C11" i="9" s="1"/>
  <c r="D11" i="9" s="1"/>
  <c r="A10" i="9"/>
  <c r="C10" i="9" s="1"/>
  <c r="D10" i="9" s="1"/>
  <c r="A9" i="9"/>
  <c r="C9" i="9" s="1"/>
  <c r="D9" i="9" s="1"/>
  <c r="A8" i="9"/>
  <c r="C8" i="9" s="1"/>
  <c r="D8" i="9" s="1"/>
  <c r="BG23" i="6"/>
  <c r="BG22" i="6"/>
  <c r="BG21" i="6"/>
  <c r="BG20" i="6"/>
  <c r="BG19" i="6"/>
  <c r="BG18" i="6"/>
  <c r="BG17" i="6"/>
  <c r="BG16" i="6"/>
  <c r="BG15" i="6"/>
  <c r="BG14" i="6"/>
  <c r="BG13" i="6"/>
  <c r="E36" i="7" s="1"/>
  <c r="BG12" i="6"/>
  <c r="BG11" i="6"/>
  <c r="BG10" i="6"/>
  <c r="BG9" i="6"/>
  <c r="BG8" i="6"/>
  <c r="BG7" i="6"/>
  <c r="BG6" i="6"/>
  <c r="BG5" i="6"/>
  <c r="BG4" i="6"/>
  <c r="BG3" i="6"/>
  <c r="AY23" i="6"/>
  <c r="AY22" i="6"/>
  <c r="AY21" i="6"/>
  <c r="AY20" i="6"/>
  <c r="AY19" i="6"/>
  <c r="AY18" i="6"/>
  <c r="AY17" i="6"/>
  <c r="AY16" i="6"/>
  <c r="AY15" i="6"/>
  <c r="AY14" i="6"/>
  <c r="AY13" i="6"/>
  <c r="E35" i="7" s="1"/>
  <c r="AY12" i="6"/>
  <c r="AY11" i="6"/>
  <c r="AY10" i="6"/>
  <c r="AY9" i="6"/>
  <c r="AY8" i="6"/>
  <c r="AY7" i="6"/>
  <c r="AY6" i="6"/>
  <c r="AY5" i="6"/>
  <c r="AY4" i="6"/>
  <c r="AY3" i="6"/>
  <c r="A3" i="6"/>
  <c r="A4" i="6"/>
  <c r="A5" i="6"/>
  <c r="A6" i="6"/>
  <c r="A7" i="6"/>
  <c r="A8" i="6"/>
  <c r="A9" i="6"/>
  <c r="A10" i="6"/>
  <c r="A11" i="6"/>
  <c r="A12" i="6"/>
  <c r="A13" i="6"/>
  <c r="A14" i="6"/>
  <c r="A15" i="6"/>
  <c r="A16" i="6"/>
  <c r="A17" i="6"/>
  <c r="A18" i="6"/>
  <c r="A19" i="6"/>
  <c r="A20" i="6"/>
  <c r="A21" i="6"/>
  <c r="A22" i="6"/>
  <c r="A23" i="6"/>
  <c r="A24" i="6"/>
  <c r="A25" i="6"/>
  <c r="A26" i="6"/>
  <c r="A27" i="6"/>
  <c r="A28" i="6"/>
  <c r="A29" i="6"/>
  <c r="A30" i="6"/>
  <c r="A31" i="6"/>
  <c r="A32" i="6"/>
  <c r="A33" i="6"/>
  <c r="A34" i="6"/>
  <c r="A35" i="6"/>
  <c r="A36" i="6"/>
  <c r="A37" i="6"/>
  <c r="A38" i="6"/>
  <c r="A39" i="6"/>
  <c r="A40" i="6"/>
  <c r="A41" i="6"/>
  <c r="A42" i="6"/>
  <c r="A43" i="6"/>
  <c r="A44" i="6"/>
  <c r="A45" i="6"/>
  <c r="A46" i="6"/>
  <c r="A47" i="6"/>
  <c r="A48" i="6"/>
  <c r="A49" i="6"/>
  <c r="A50" i="6"/>
  <c r="A51" i="6"/>
  <c r="A52" i="6"/>
  <c r="A53" i="6"/>
  <c r="A54" i="6"/>
  <c r="A55" i="6"/>
  <c r="A56" i="6"/>
  <c r="A57" i="6"/>
  <c r="A58" i="6"/>
  <c r="A59" i="6"/>
  <c r="A60" i="6"/>
  <c r="A61" i="6"/>
  <c r="A62" i="6"/>
  <c r="A63" i="6"/>
  <c r="A64" i="6"/>
  <c r="A65" i="6"/>
  <c r="A66" i="6"/>
  <c r="A67" i="6"/>
  <c r="A68" i="6"/>
  <c r="A69" i="6"/>
  <c r="A70" i="6"/>
  <c r="A71" i="6"/>
  <c r="A72" i="6"/>
  <c r="A73" i="6"/>
  <c r="A74" i="6"/>
  <c r="A75" i="6"/>
  <c r="A76" i="6"/>
  <c r="A77" i="6"/>
  <c r="A78" i="6"/>
  <c r="A79" i="6"/>
  <c r="A80" i="6"/>
  <c r="A81" i="6"/>
  <c r="A82" i="6"/>
  <c r="A83" i="6"/>
  <c r="A84" i="6"/>
  <c r="A85" i="6"/>
  <c r="A86" i="6"/>
  <c r="A87" i="6"/>
  <c r="A88" i="6"/>
  <c r="A89" i="6"/>
  <c r="A90" i="6"/>
  <c r="A91" i="6"/>
  <c r="A92" i="6"/>
  <c r="A93" i="6"/>
  <c r="A94" i="6"/>
  <c r="A95" i="6"/>
  <c r="A96" i="6"/>
  <c r="A97" i="6"/>
  <c r="A98" i="6"/>
  <c r="A99" i="6"/>
  <c r="A100" i="6"/>
  <c r="A101" i="6"/>
  <c r="A102" i="6"/>
  <c r="A103" i="6"/>
  <c r="A104" i="6"/>
  <c r="A105" i="6"/>
  <c r="A106" i="6"/>
  <c r="A107" i="6"/>
  <c r="A108" i="6"/>
  <c r="A109" i="6"/>
  <c r="A110" i="6"/>
  <c r="A111" i="6"/>
  <c r="A112" i="6"/>
  <c r="A113" i="6"/>
  <c r="A114" i="6"/>
  <c r="A115" i="6"/>
  <c r="A116" i="6"/>
  <c r="A117" i="6"/>
  <c r="A118" i="6"/>
  <c r="A119" i="6"/>
  <c r="A120" i="6"/>
  <c r="A121" i="6"/>
  <c r="A122" i="6"/>
  <c r="A123" i="6"/>
  <c r="A124" i="6"/>
  <c r="A125" i="6"/>
  <c r="A126" i="6"/>
  <c r="A127" i="6"/>
  <c r="A128" i="6"/>
  <c r="A129" i="6"/>
  <c r="A130" i="6"/>
  <c r="A131" i="6"/>
  <c r="A132" i="6"/>
  <c r="A133" i="6"/>
  <c r="A134" i="6"/>
  <c r="A135" i="6"/>
  <c r="A136" i="6"/>
  <c r="A137" i="6"/>
  <c r="A138" i="6"/>
  <c r="A139" i="6"/>
  <c r="A140" i="6"/>
  <c r="A141" i="6"/>
  <c r="A142" i="6"/>
  <c r="A143" i="6"/>
  <c r="A144" i="6"/>
  <c r="A145" i="6"/>
  <c r="A146" i="6"/>
  <c r="A147" i="6"/>
  <c r="A148" i="6"/>
  <c r="A149" i="6"/>
  <c r="A150" i="6"/>
  <c r="A151" i="6"/>
  <c r="A152" i="6"/>
  <c r="A153" i="6"/>
  <c r="A154" i="6"/>
  <c r="A155" i="6"/>
  <c r="A156" i="6"/>
  <c r="A157" i="6"/>
  <c r="A158" i="6"/>
  <c r="A159" i="6"/>
  <c r="A160" i="6"/>
  <c r="A161" i="6"/>
  <c r="A162" i="6"/>
  <c r="A163" i="6"/>
  <c r="A164" i="6"/>
  <c r="A165" i="6"/>
  <c r="A166" i="6"/>
  <c r="A167" i="6"/>
  <c r="A168" i="6"/>
  <c r="A169" i="6"/>
  <c r="A170" i="6"/>
  <c r="A171" i="6"/>
  <c r="A172" i="6"/>
  <c r="A173" i="6"/>
  <c r="A174" i="6"/>
  <c r="A175" i="6"/>
  <c r="A176" i="6"/>
  <c r="A177" i="6"/>
  <c r="A178" i="6"/>
  <c r="A179" i="6"/>
  <c r="A180" i="6"/>
  <c r="A181" i="6"/>
  <c r="A182" i="6"/>
  <c r="A183" i="6"/>
  <c r="A184" i="6"/>
  <c r="A185" i="6"/>
  <c r="A186" i="6"/>
  <c r="A187" i="6"/>
  <c r="A188" i="6"/>
  <c r="A189" i="6"/>
  <c r="A190" i="6"/>
  <c r="A191" i="6"/>
  <c r="A192" i="6"/>
  <c r="A193" i="6"/>
  <c r="A194" i="6"/>
  <c r="A195" i="6"/>
  <c r="A196" i="6"/>
  <c r="A197" i="6"/>
  <c r="A198" i="6"/>
  <c r="A199" i="6"/>
  <c r="A200" i="6"/>
  <c r="A201" i="6"/>
  <c r="A202" i="6"/>
  <c r="A203" i="6"/>
  <c r="A204" i="6"/>
  <c r="A205" i="6"/>
  <c r="A206" i="6"/>
  <c r="A207" i="6"/>
  <c r="A208" i="6"/>
  <c r="A209" i="6"/>
  <c r="A210" i="6"/>
  <c r="A211" i="6"/>
  <c r="A212" i="6"/>
  <c r="A213" i="6"/>
  <c r="A214" i="6"/>
  <c r="A215" i="6"/>
  <c r="A216" i="6"/>
  <c r="A217" i="6"/>
  <c r="A218" i="6"/>
  <c r="A219" i="6"/>
  <c r="A220" i="6"/>
  <c r="A221" i="6"/>
  <c r="A222" i="6"/>
  <c r="A223" i="6"/>
  <c r="A224" i="6"/>
  <c r="A225" i="6"/>
  <c r="A226" i="6"/>
  <c r="A227" i="6"/>
  <c r="A228" i="6"/>
  <c r="A229" i="6"/>
  <c r="A230" i="6"/>
  <c r="A231" i="6"/>
  <c r="A232" i="6"/>
  <c r="A233" i="6"/>
  <c r="A234" i="6"/>
  <c r="A235" i="6"/>
  <c r="A236" i="6"/>
  <c r="A237" i="6"/>
  <c r="A238" i="6"/>
  <c r="A239" i="6"/>
  <c r="A240" i="6"/>
  <c r="A241" i="6"/>
  <c r="A242" i="6"/>
  <c r="A243" i="6"/>
  <c r="A244" i="6"/>
  <c r="A245" i="6"/>
  <c r="A246" i="6"/>
  <c r="A247" i="6"/>
  <c r="A248" i="6"/>
  <c r="A249" i="6"/>
  <c r="A250" i="6"/>
  <c r="A251" i="6"/>
  <c r="A252" i="6"/>
  <c r="A253" i="6"/>
  <c r="A254" i="6"/>
  <c r="A255" i="6"/>
  <c r="A256" i="6"/>
  <c r="A257" i="6"/>
  <c r="A258" i="6"/>
  <c r="A259" i="6"/>
  <c r="A260" i="6"/>
  <c r="A261" i="6"/>
  <c r="A262" i="6"/>
  <c r="A263" i="6"/>
  <c r="A264" i="6"/>
  <c r="A265" i="6"/>
  <c r="A266" i="6"/>
  <c r="A267" i="6"/>
  <c r="A268" i="6"/>
  <c r="A269" i="6"/>
  <c r="A270" i="6"/>
  <c r="A271" i="6"/>
  <c r="A272" i="6"/>
  <c r="A273" i="6"/>
  <c r="A274" i="6"/>
  <c r="A275" i="6"/>
  <c r="A276" i="6"/>
  <c r="A277" i="6"/>
  <c r="A278" i="6"/>
  <c r="A279" i="6"/>
  <c r="A280" i="6"/>
  <c r="A281" i="6"/>
  <c r="A282" i="6"/>
  <c r="A283" i="6"/>
  <c r="A284" i="6"/>
  <c r="A285" i="6"/>
  <c r="A286" i="6"/>
  <c r="A287" i="6"/>
  <c r="A288" i="6"/>
  <c r="A289" i="6"/>
  <c r="A290" i="6"/>
  <c r="A291" i="6"/>
  <c r="A292" i="6"/>
  <c r="A293" i="6"/>
  <c r="A294" i="6"/>
  <c r="A295" i="6"/>
  <c r="A296" i="6"/>
  <c r="A297" i="6"/>
  <c r="A298" i="6"/>
  <c r="A299" i="6"/>
  <c r="A300" i="6"/>
  <c r="A301" i="6"/>
  <c r="A302" i="6"/>
  <c r="A303" i="6"/>
  <c r="A304" i="6"/>
  <c r="A305" i="6"/>
  <c r="A306" i="6"/>
  <c r="A307" i="6"/>
  <c r="A308" i="6"/>
  <c r="A309" i="6"/>
  <c r="A310" i="6"/>
  <c r="A311" i="6"/>
  <c r="A312" i="6"/>
  <c r="A313" i="6"/>
  <c r="A314" i="6"/>
  <c r="A315" i="6"/>
  <c r="A316" i="6"/>
  <c r="A317" i="6"/>
  <c r="A318" i="6"/>
  <c r="A319" i="6"/>
  <c r="A320" i="6"/>
  <c r="A321" i="6"/>
  <c r="A322" i="6"/>
  <c r="A323" i="6"/>
  <c r="A324" i="6"/>
  <c r="A325" i="6"/>
  <c r="A326" i="6"/>
  <c r="A327" i="6"/>
  <c r="A328" i="6"/>
  <c r="A329" i="6"/>
  <c r="A330" i="6"/>
  <c r="A331" i="6"/>
  <c r="A332" i="6"/>
  <c r="A333" i="6"/>
  <c r="A334" i="6"/>
  <c r="A335" i="6"/>
  <c r="A336" i="6"/>
  <c r="A337" i="6"/>
  <c r="A338" i="6"/>
  <c r="A339" i="6"/>
  <c r="A340" i="6"/>
  <c r="A341" i="6"/>
  <c r="A342" i="6"/>
  <c r="A343" i="6"/>
  <c r="A344" i="6"/>
  <c r="A345" i="6"/>
  <c r="A346" i="6"/>
  <c r="A347" i="6"/>
  <c r="A348" i="6"/>
  <c r="A349" i="6"/>
  <c r="A350" i="6"/>
  <c r="A351" i="6"/>
  <c r="A352" i="6"/>
  <c r="A353" i="6"/>
  <c r="A354" i="6"/>
  <c r="A355" i="6"/>
  <c r="A356" i="6"/>
  <c r="A357" i="6"/>
  <c r="A358" i="6"/>
  <c r="A359" i="6"/>
  <c r="A360" i="6"/>
  <c r="A361" i="6"/>
  <c r="A362" i="6"/>
  <c r="A363" i="6"/>
  <c r="A364" i="6"/>
  <c r="A365" i="6"/>
  <c r="A366" i="6"/>
  <c r="A367" i="6"/>
  <c r="A368" i="6"/>
  <c r="A369" i="6"/>
  <c r="A370" i="6"/>
  <c r="A371" i="6"/>
  <c r="A372" i="6"/>
  <c r="A373" i="6"/>
  <c r="A374" i="6"/>
  <c r="A375" i="6"/>
  <c r="A376" i="6"/>
  <c r="A377" i="6"/>
  <c r="A378" i="6"/>
  <c r="A379" i="6"/>
  <c r="A380" i="6"/>
  <c r="A381" i="6"/>
  <c r="A382" i="6"/>
  <c r="A383" i="6"/>
  <c r="A384" i="6"/>
  <c r="A385" i="6"/>
  <c r="A386" i="6"/>
  <c r="A387" i="6"/>
  <c r="A388" i="6"/>
  <c r="A389" i="6"/>
  <c r="A390" i="6"/>
  <c r="A391" i="6"/>
  <c r="A392" i="6"/>
  <c r="A393" i="6"/>
  <c r="A394" i="6"/>
  <c r="A395" i="6"/>
  <c r="A396" i="6"/>
  <c r="A397" i="6"/>
  <c r="A398" i="6"/>
  <c r="A399" i="6"/>
  <c r="A400" i="6"/>
  <c r="A401" i="6"/>
  <c r="A402" i="6"/>
  <c r="A403" i="6"/>
  <c r="A404" i="6"/>
  <c r="A405" i="6"/>
  <c r="A406" i="6"/>
  <c r="A407" i="6"/>
  <c r="A408" i="6"/>
  <c r="A409" i="6"/>
  <c r="A410" i="6"/>
  <c r="A411" i="6"/>
  <c r="A412" i="6"/>
  <c r="A413" i="6"/>
  <c r="A414" i="6"/>
  <c r="A415" i="6"/>
  <c r="A416" i="6"/>
  <c r="A417" i="6"/>
  <c r="A418" i="6"/>
  <c r="A419" i="6"/>
  <c r="A420" i="6"/>
  <c r="A421" i="6"/>
  <c r="A422" i="6"/>
  <c r="A423" i="6"/>
  <c r="A424" i="6"/>
  <c r="A425" i="6"/>
  <c r="A426" i="6"/>
  <c r="A427" i="6"/>
  <c r="A428" i="6"/>
  <c r="A429" i="6"/>
  <c r="A430" i="6"/>
  <c r="A431" i="6"/>
  <c r="A432" i="6"/>
  <c r="A433" i="6"/>
  <c r="A434" i="6"/>
  <c r="A435" i="6"/>
  <c r="A436" i="6"/>
  <c r="A437" i="6"/>
  <c r="A438" i="6"/>
  <c r="A439" i="6"/>
  <c r="A440" i="6"/>
  <c r="A441" i="6"/>
  <c r="A442" i="6"/>
  <c r="A443" i="6"/>
  <c r="A444" i="6"/>
  <c r="A445" i="6"/>
  <c r="A446" i="6"/>
  <c r="A447" i="6"/>
  <c r="A448" i="6"/>
  <c r="A449" i="6"/>
  <c r="A450" i="6"/>
  <c r="A451" i="6"/>
  <c r="A452" i="6"/>
  <c r="A453" i="6"/>
  <c r="A454" i="6"/>
  <c r="A455" i="6"/>
  <c r="A456" i="6"/>
  <c r="A457" i="6"/>
  <c r="A458" i="6"/>
  <c r="A459" i="6"/>
  <c r="A460" i="6"/>
  <c r="A461" i="6"/>
  <c r="A462" i="6"/>
  <c r="A463" i="6"/>
  <c r="A464" i="6"/>
  <c r="A465" i="6"/>
  <c r="A466" i="6"/>
  <c r="A467" i="6"/>
  <c r="A468" i="6"/>
  <c r="A469" i="6"/>
  <c r="A470" i="6"/>
  <c r="A471" i="6"/>
  <c r="A472" i="6"/>
  <c r="A473" i="6"/>
  <c r="A474" i="6"/>
  <c r="A475" i="6"/>
  <c r="A476" i="6"/>
  <c r="A477" i="6"/>
  <c r="A478" i="6"/>
  <c r="A479" i="6"/>
  <c r="A480" i="6"/>
  <c r="A481" i="6"/>
  <c r="A482" i="6"/>
  <c r="A483" i="6"/>
  <c r="A484" i="6"/>
  <c r="A485" i="6"/>
  <c r="A486" i="6"/>
  <c r="A487" i="6"/>
  <c r="A488" i="6"/>
  <c r="A489" i="6"/>
  <c r="A490" i="6"/>
  <c r="A491" i="6"/>
  <c r="A492" i="6"/>
  <c r="A493" i="6"/>
  <c r="A494" i="6"/>
  <c r="A495" i="6"/>
  <c r="A496" i="6"/>
  <c r="A497" i="6"/>
  <c r="A498" i="6"/>
  <c r="A499" i="6"/>
  <c r="A500" i="6"/>
  <c r="A501" i="6"/>
  <c r="A502" i="6"/>
  <c r="A503" i="6"/>
  <c r="A504" i="6"/>
  <c r="A505" i="6"/>
  <c r="A506" i="6"/>
  <c r="A507" i="6"/>
  <c r="A508" i="6"/>
  <c r="A509" i="6"/>
  <c r="A510" i="6"/>
  <c r="A511" i="6"/>
  <c r="A512" i="6"/>
  <c r="A513" i="6"/>
  <c r="A514" i="6"/>
  <c r="A515" i="6"/>
  <c r="A516" i="6"/>
  <c r="A517" i="6"/>
  <c r="A518" i="6"/>
  <c r="A519" i="6"/>
  <c r="A520" i="6"/>
  <c r="A521" i="6"/>
  <c r="A522" i="6"/>
  <c r="A523" i="6"/>
  <c r="A524" i="6"/>
  <c r="A525" i="6"/>
  <c r="A526" i="6"/>
  <c r="A527" i="6"/>
  <c r="A528" i="6"/>
  <c r="A529" i="6"/>
  <c r="A530" i="6"/>
  <c r="A531" i="6"/>
  <c r="A532" i="6"/>
  <c r="A533" i="6"/>
  <c r="A534" i="6"/>
  <c r="A535" i="6"/>
  <c r="A536" i="6"/>
  <c r="A537" i="6"/>
  <c r="A538" i="6"/>
  <c r="A539" i="6"/>
  <c r="A540" i="6"/>
  <c r="A541" i="6"/>
  <c r="A542" i="6"/>
  <c r="A543" i="6"/>
  <c r="A544" i="6"/>
  <c r="A545" i="6"/>
  <c r="A546" i="6"/>
  <c r="A547" i="6"/>
  <c r="A548" i="6"/>
  <c r="A549" i="6"/>
  <c r="A550" i="6"/>
  <c r="A551" i="6"/>
  <c r="A552" i="6"/>
  <c r="A553" i="6"/>
  <c r="A554" i="6"/>
  <c r="A555" i="6"/>
  <c r="A556" i="6"/>
  <c r="A557" i="6"/>
  <c r="A558" i="6"/>
  <c r="A559" i="6"/>
  <c r="A560" i="6"/>
  <c r="A561" i="6"/>
  <c r="A562" i="6"/>
  <c r="A563" i="6"/>
  <c r="A564" i="6"/>
  <c r="A565" i="6"/>
  <c r="A566" i="6"/>
  <c r="A567" i="6"/>
  <c r="A568" i="6"/>
  <c r="A569" i="6"/>
  <c r="A570" i="6"/>
  <c r="A571" i="6"/>
  <c r="A572" i="6"/>
  <c r="A573" i="6"/>
  <c r="A574" i="6"/>
  <c r="A575" i="6"/>
  <c r="A576" i="6"/>
  <c r="A577" i="6"/>
  <c r="A578" i="6"/>
  <c r="A579" i="6"/>
  <c r="A580" i="6"/>
  <c r="A581" i="6"/>
  <c r="A582" i="6"/>
  <c r="A583" i="6"/>
  <c r="A584" i="6"/>
  <c r="A585" i="6"/>
  <c r="A586" i="6"/>
  <c r="A587" i="6"/>
  <c r="A588" i="6"/>
  <c r="A589" i="6"/>
  <c r="A590" i="6"/>
  <c r="A591" i="6"/>
  <c r="A592" i="6"/>
  <c r="A593" i="6"/>
  <c r="A594" i="6"/>
  <c r="A595" i="6"/>
  <c r="A596" i="6"/>
  <c r="A597" i="6"/>
  <c r="A598" i="6"/>
  <c r="A599" i="6"/>
  <c r="A600" i="6"/>
  <c r="A601" i="6"/>
  <c r="A602" i="6"/>
  <c r="A603" i="6"/>
  <c r="A604" i="6"/>
  <c r="A605" i="6"/>
  <c r="A606" i="6"/>
  <c r="A607" i="6"/>
  <c r="A608" i="6"/>
  <c r="A609" i="6"/>
  <c r="A610" i="6"/>
  <c r="A611" i="6"/>
  <c r="A612" i="6"/>
  <c r="A613" i="6"/>
  <c r="A614" i="6"/>
  <c r="A615" i="6"/>
  <c r="A616" i="6"/>
  <c r="A617" i="6"/>
  <c r="A618" i="6"/>
  <c r="A619" i="6"/>
  <c r="A620" i="6"/>
  <c r="A621" i="6"/>
  <c r="A622" i="6"/>
  <c r="A623" i="6"/>
  <c r="A624" i="6"/>
  <c r="A625" i="6"/>
  <c r="A626" i="6"/>
  <c r="A627" i="6"/>
  <c r="A628" i="6"/>
  <c r="A629" i="6"/>
  <c r="A630" i="6"/>
  <c r="A631" i="6"/>
  <c r="A632" i="6"/>
  <c r="A633" i="6"/>
  <c r="A634" i="6"/>
  <c r="A635" i="6"/>
  <c r="A636" i="6"/>
  <c r="A637" i="6"/>
  <c r="A638" i="6"/>
  <c r="A639" i="6"/>
  <c r="A640" i="6"/>
  <c r="A641" i="6"/>
  <c r="A642" i="6"/>
  <c r="A643" i="6"/>
  <c r="A644" i="6"/>
  <c r="A645" i="6"/>
  <c r="A646" i="6"/>
  <c r="A647" i="6"/>
  <c r="A648" i="6"/>
  <c r="A649" i="6"/>
  <c r="A650" i="6"/>
  <c r="A651" i="6"/>
  <c r="A652" i="6"/>
  <c r="A653" i="6"/>
  <c r="A654" i="6"/>
  <c r="A655" i="6"/>
  <c r="A656" i="6"/>
  <c r="A657" i="6"/>
  <c r="A658" i="6"/>
  <c r="A659" i="6"/>
  <c r="A660" i="6"/>
  <c r="A661" i="6"/>
  <c r="A662" i="6"/>
  <c r="A663" i="6"/>
  <c r="A664" i="6"/>
  <c r="A665" i="6"/>
  <c r="A666" i="6"/>
  <c r="A667" i="6"/>
  <c r="A668" i="6"/>
  <c r="A669" i="6"/>
  <c r="A670" i="6"/>
  <c r="A671" i="6"/>
  <c r="A672" i="6"/>
  <c r="A673" i="6"/>
  <c r="A674" i="6"/>
  <c r="A675" i="6"/>
  <c r="A676" i="6"/>
  <c r="A677" i="6"/>
  <c r="A678" i="6"/>
  <c r="A679" i="6"/>
  <c r="A680" i="6"/>
  <c r="A681" i="6"/>
  <c r="A682" i="6"/>
  <c r="A683" i="6"/>
  <c r="A684" i="6"/>
  <c r="A685" i="6"/>
  <c r="A686" i="6"/>
  <c r="A687" i="6"/>
  <c r="A688" i="6"/>
  <c r="A689" i="6"/>
  <c r="A690" i="6"/>
  <c r="A691" i="6"/>
  <c r="A692" i="6"/>
  <c r="A693" i="6"/>
  <c r="A694" i="6"/>
  <c r="A695" i="6"/>
  <c r="A696" i="6"/>
  <c r="A697" i="6"/>
  <c r="A698" i="6"/>
  <c r="A699" i="6"/>
  <c r="A700" i="6"/>
  <c r="A701" i="6"/>
  <c r="A702" i="6"/>
  <c r="A703" i="6"/>
  <c r="A704" i="6"/>
  <c r="A705" i="6"/>
  <c r="A706" i="6"/>
  <c r="A707" i="6"/>
  <c r="A708" i="6"/>
  <c r="A709" i="6"/>
  <c r="A710" i="6"/>
  <c r="A711" i="6"/>
  <c r="A712" i="6"/>
  <c r="A713" i="6"/>
  <c r="A714" i="6"/>
  <c r="A715" i="6"/>
  <c r="A716" i="6"/>
  <c r="A717" i="6"/>
  <c r="A2" i="6"/>
  <c r="B303" i="5"/>
  <c r="B279" i="5"/>
  <c r="B255" i="5"/>
  <c r="B231" i="5"/>
  <c r="B207" i="5"/>
  <c r="B183" i="5"/>
  <c r="B159" i="5"/>
  <c r="B135" i="5"/>
  <c r="B111" i="5"/>
  <c r="B87" i="5"/>
  <c r="B63" i="5"/>
  <c r="B39" i="5"/>
  <c r="B303" i="4"/>
  <c r="B279" i="4"/>
  <c r="B255" i="4"/>
  <c r="B231" i="4"/>
  <c r="B207" i="4"/>
  <c r="B183" i="4"/>
  <c r="B159" i="4"/>
  <c r="B135" i="4"/>
  <c r="B111" i="4"/>
  <c r="B87" i="4"/>
  <c r="B63" i="4"/>
  <c r="B39" i="4"/>
  <c r="B25" i="5"/>
  <c r="J3" i="6" s="1"/>
  <c r="B26" i="5"/>
  <c r="M3" i="6" s="1"/>
  <c r="B27" i="5"/>
  <c r="P3" i="6" s="1"/>
  <c r="B28" i="5"/>
  <c r="S3" i="6" s="1"/>
  <c r="B29" i="5"/>
  <c r="V3" i="6" s="1"/>
  <c r="B30" i="5"/>
  <c r="Y3" i="6" s="1"/>
  <c r="B31" i="5"/>
  <c r="AB3" i="6" s="1"/>
  <c r="B32" i="5"/>
  <c r="AE3" i="6" s="1"/>
  <c r="B33" i="5"/>
  <c r="B34" i="5"/>
  <c r="AK3" i="6" s="1"/>
  <c r="B35" i="5"/>
  <c r="AN3" i="6" s="1"/>
  <c r="B36" i="5"/>
  <c r="A25" i="5"/>
  <c r="A26" i="5"/>
  <c r="A27" i="5"/>
  <c r="A28" i="5"/>
  <c r="A29" i="5"/>
  <c r="A30" i="5"/>
  <c r="A31" i="5"/>
  <c r="A32" i="5"/>
  <c r="A33" i="5"/>
  <c r="A34" i="5"/>
  <c r="A35" i="5"/>
  <c r="A36" i="5"/>
  <c r="B25" i="4"/>
  <c r="B26" i="4"/>
  <c r="B27" i="4"/>
  <c r="B28" i="4"/>
  <c r="R3" i="6" s="1"/>
  <c r="B29" i="4"/>
  <c r="U3" i="6" s="1"/>
  <c r="B30" i="4"/>
  <c r="X3" i="6" s="1"/>
  <c r="B31" i="4"/>
  <c r="AA3" i="6" s="1"/>
  <c r="B32" i="4"/>
  <c r="AD3" i="6" s="1"/>
  <c r="B33" i="4"/>
  <c r="B34" i="4"/>
  <c r="B35" i="4"/>
  <c r="B36" i="4"/>
  <c r="AP3" i="6" s="1"/>
  <c r="A25" i="4"/>
  <c r="A26" i="4"/>
  <c r="A27" i="4"/>
  <c r="A28" i="4"/>
  <c r="A29" i="4"/>
  <c r="A30" i="4"/>
  <c r="A31" i="4"/>
  <c r="A32" i="4"/>
  <c r="A33" i="4"/>
  <c r="A34" i="4"/>
  <c r="A35" i="4"/>
  <c r="A36" i="4"/>
  <c r="B303" i="3"/>
  <c r="B279" i="3"/>
  <c r="B255" i="3"/>
  <c r="B231" i="3"/>
  <c r="B207" i="3"/>
  <c r="B183" i="3"/>
  <c r="B159" i="3"/>
  <c r="B135" i="3"/>
  <c r="B111" i="3"/>
  <c r="B87" i="3"/>
  <c r="B63" i="3"/>
  <c r="H40" i="6" l="1" a="1"/>
  <c r="H40" i="6" s="1"/>
  <c r="H47" i="6" a="1"/>
  <c r="H47" i="6" s="1"/>
  <c r="I48" i="6" a="1"/>
  <c r="I48" i="6" s="1"/>
  <c r="C43" i="3"/>
  <c r="C41" i="3"/>
  <c r="I41" i="6" a="1"/>
  <c r="I41" i="6" s="1"/>
  <c r="H39" i="6" a="1"/>
  <c r="H39" i="6" s="1"/>
  <c r="H46" i="6" a="1"/>
  <c r="H46" i="6" s="1"/>
  <c r="H42" i="6" a="1"/>
  <c r="H42" i="6" s="1"/>
  <c r="I44" i="6" a="1"/>
  <c r="I44" i="6" s="1"/>
  <c r="H43" i="6" a="1"/>
  <c r="H43" i="6" s="1"/>
  <c r="H45" i="6" a="1"/>
  <c r="H45" i="6" s="1"/>
  <c r="H50" i="6" a="1"/>
  <c r="H50" i="6" s="1"/>
  <c r="C36" i="4"/>
  <c r="C31" i="4"/>
  <c r="C30" i="4"/>
  <c r="C29" i="4"/>
  <c r="C28" i="4"/>
  <c r="C32" i="4"/>
  <c r="D32" i="4" s="1"/>
  <c r="AM3" i="6"/>
  <c r="C35" i="4"/>
  <c r="D35" i="4" s="1"/>
  <c r="O3" i="6"/>
  <c r="C27" i="4"/>
  <c r="D27" i="4" s="1"/>
  <c r="AJ3" i="6"/>
  <c r="C34" i="4"/>
  <c r="D34" i="4" s="1"/>
  <c r="L3" i="6"/>
  <c r="C26" i="4"/>
  <c r="D26" i="4" s="1"/>
  <c r="AH3" i="6"/>
  <c r="C33" i="5"/>
  <c r="D33" i="5" s="1"/>
  <c r="AQ3" i="6"/>
  <c r="C36" i="5"/>
  <c r="D36" i="5" s="1"/>
  <c r="AG3" i="6"/>
  <c r="C33" i="4"/>
  <c r="D33" i="4" s="1"/>
  <c r="I3" i="6"/>
  <c r="C25" i="4"/>
  <c r="D25" i="4" s="1"/>
  <c r="C34" i="5"/>
  <c r="D34" i="5" s="1"/>
  <c r="C26" i="5"/>
  <c r="D26" i="5" s="1"/>
  <c r="C25" i="5"/>
  <c r="D25" i="5" s="1"/>
  <c r="C32" i="5"/>
  <c r="D32" i="5" s="1"/>
  <c r="C31" i="5"/>
  <c r="D31" i="5" s="1"/>
  <c r="C30" i="5"/>
  <c r="D30" i="5" s="1"/>
  <c r="C29" i="5"/>
  <c r="D29" i="5" s="1"/>
  <c r="C28" i="5"/>
  <c r="D28" i="5" s="1"/>
  <c r="C35" i="5"/>
  <c r="D35" i="5" s="1"/>
  <c r="C27" i="5"/>
  <c r="D27" i="5" s="1"/>
  <c r="B39" i="3"/>
  <c r="A36" i="3"/>
  <c r="A35" i="3"/>
  <c r="B34" i="3"/>
  <c r="A34" i="3"/>
  <c r="B33" i="3"/>
  <c r="A33" i="3"/>
  <c r="B32" i="3"/>
  <c r="A32" i="3"/>
  <c r="B31" i="3"/>
  <c r="A31" i="3"/>
  <c r="B30" i="3"/>
  <c r="A30" i="3"/>
  <c r="B29" i="3"/>
  <c r="A29" i="3"/>
  <c r="B28" i="3"/>
  <c r="A28" i="3"/>
  <c r="B27" i="3"/>
  <c r="A27" i="3"/>
  <c r="B26" i="3"/>
  <c r="A26" i="3"/>
  <c r="A25" i="3"/>
  <c r="I3" i="2"/>
  <c r="E3" i="6" s="1"/>
  <c r="I4" i="2"/>
  <c r="E4" i="6" s="1"/>
  <c r="I5" i="2"/>
  <c r="E5" i="6" s="1"/>
  <c r="I6" i="2"/>
  <c r="E6" i="6" s="1"/>
  <c r="I7" i="2"/>
  <c r="E7" i="6" s="1"/>
  <c r="I8" i="2"/>
  <c r="E8" i="6" s="1"/>
  <c r="I9" i="2"/>
  <c r="E9" i="6" s="1"/>
  <c r="I10" i="2"/>
  <c r="E10" i="6" s="1"/>
  <c r="I11" i="2"/>
  <c r="E11" i="6" s="1"/>
  <c r="I12" i="2"/>
  <c r="E12" i="6" s="1"/>
  <c r="I13" i="2"/>
  <c r="E13" i="6" s="1"/>
  <c r="I14" i="2"/>
  <c r="E14" i="6" s="1"/>
  <c r="I15" i="2"/>
  <c r="E15" i="6" s="1"/>
  <c r="I16" i="2"/>
  <c r="E16" i="6" s="1"/>
  <c r="I17" i="2"/>
  <c r="E17" i="6" s="1"/>
  <c r="I18" i="2"/>
  <c r="E18" i="6" s="1"/>
  <c r="I19" i="2"/>
  <c r="E19" i="6" s="1"/>
  <c r="I20" i="2"/>
  <c r="E20" i="6" s="1"/>
  <c r="I21" i="2"/>
  <c r="E21" i="6" s="1"/>
  <c r="I22" i="2"/>
  <c r="E22" i="6" s="1"/>
  <c r="I23" i="2"/>
  <c r="E23" i="6" s="1"/>
  <c r="I24" i="2"/>
  <c r="E24" i="6" s="1"/>
  <c r="I25" i="2"/>
  <c r="E25" i="6" s="1"/>
  <c r="I26" i="2"/>
  <c r="E26" i="6" s="1"/>
  <c r="I27" i="2"/>
  <c r="E27" i="6" s="1"/>
  <c r="I28" i="2"/>
  <c r="E28" i="6" s="1"/>
  <c r="I29" i="2"/>
  <c r="E29" i="6" s="1"/>
  <c r="I30" i="2"/>
  <c r="E30" i="6" s="1"/>
  <c r="I31" i="2"/>
  <c r="E31" i="6" s="1"/>
  <c r="I32" i="2"/>
  <c r="E32" i="6" s="1"/>
  <c r="I33" i="2"/>
  <c r="E33" i="6" s="1"/>
  <c r="I34" i="2"/>
  <c r="E34" i="6" s="1"/>
  <c r="I35" i="2"/>
  <c r="E35" i="6" s="1"/>
  <c r="I36" i="2"/>
  <c r="E36" i="6" s="1"/>
  <c r="I37" i="2"/>
  <c r="E37" i="6" s="1"/>
  <c r="I38" i="2"/>
  <c r="E38" i="6" s="1"/>
  <c r="I39" i="2"/>
  <c r="E39" i="6" s="1"/>
  <c r="I40" i="2"/>
  <c r="E40" i="6" s="1"/>
  <c r="I41" i="2"/>
  <c r="E41" i="6" s="1"/>
  <c r="I42" i="2"/>
  <c r="E42" i="6" s="1"/>
  <c r="I43" i="2"/>
  <c r="E43" i="6" s="1"/>
  <c r="I44" i="2"/>
  <c r="E44" i="6" s="1"/>
  <c r="I45" i="2"/>
  <c r="E45" i="6" s="1"/>
  <c r="I46" i="2"/>
  <c r="E46" i="6" s="1"/>
  <c r="I47" i="2"/>
  <c r="E47" i="6" s="1"/>
  <c r="I48" i="2"/>
  <c r="E48" i="6" s="1"/>
  <c r="I49" i="2"/>
  <c r="E49" i="6" s="1"/>
  <c r="I50" i="2"/>
  <c r="E50" i="6" s="1"/>
  <c r="I51" i="2"/>
  <c r="E51" i="6" s="1"/>
  <c r="I52" i="2"/>
  <c r="E52" i="6" s="1"/>
  <c r="I53" i="2"/>
  <c r="E53" i="6" s="1"/>
  <c r="I54" i="2"/>
  <c r="E54" i="6" s="1"/>
  <c r="I55" i="2"/>
  <c r="E55" i="6" s="1"/>
  <c r="I56" i="2"/>
  <c r="E56" i="6" s="1"/>
  <c r="I57" i="2"/>
  <c r="E57" i="6" s="1"/>
  <c r="I58" i="2"/>
  <c r="E58" i="6" s="1"/>
  <c r="I59" i="2"/>
  <c r="E59" i="6" s="1"/>
  <c r="I60" i="2"/>
  <c r="E60" i="6" s="1"/>
  <c r="I61" i="2"/>
  <c r="E61" i="6" s="1"/>
  <c r="I62" i="2"/>
  <c r="E62" i="6" s="1"/>
  <c r="I63" i="2"/>
  <c r="E63" i="6" s="1"/>
  <c r="I64" i="2"/>
  <c r="E64" i="6" s="1"/>
  <c r="I65" i="2"/>
  <c r="E65" i="6" s="1"/>
  <c r="I66" i="2"/>
  <c r="E66" i="6" s="1"/>
  <c r="I67" i="2"/>
  <c r="E67" i="6" s="1"/>
  <c r="I68" i="2"/>
  <c r="E68" i="6" s="1"/>
  <c r="I69" i="2"/>
  <c r="E69" i="6" s="1"/>
  <c r="I70" i="2"/>
  <c r="E70" i="6" s="1"/>
  <c r="I71" i="2"/>
  <c r="E71" i="6" s="1"/>
  <c r="I72" i="2"/>
  <c r="E72" i="6" s="1"/>
  <c r="I73" i="2"/>
  <c r="E73" i="6" s="1"/>
  <c r="I74" i="2"/>
  <c r="E74" i="6" s="1"/>
  <c r="I75" i="2"/>
  <c r="E75" i="6" s="1"/>
  <c r="I76" i="2"/>
  <c r="E76" i="6" s="1"/>
  <c r="I77" i="2"/>
  <c r="E77" i="6" s="1"/>
  <c r="I78" i="2"/>
  <c r="E78" i="6" s="1"/>
  <c r="I79" i="2"/>
  <c r="E79" i="6" s="1"/>
  <c r="I80" i="2"/>
  <c r="E80" i="6" s="1"/>
  <c r="I81" i="2"/>
  <c r="E81" i="6" s="1"/>
  <c r="I82" i="2"/>
  <c r="E82" i="6" s="1"/>
  <c r="I83" i="2"/>
  <c r="E83" i="6" s="1"/>
  <c r="I84" i="2"/>
  <c r="E84" i="6" s="1"/>
  <c r="I85" i="2"/>
  <c r="E85" i="6" s="1"/>
  <c r="I86" i="2"/>
  <c r="E86" i="6" s="1"/>
  <c r="I87" i="2"/>
  <c r="E87" i="6" s="1"/>
  <c r="I88" i="2"/>
  <c r="E88" i="6" s="1"/>
  <c r="I89" i="2"/>
  <c r="E89" i="6" s="1"/>
  <c r="I90" i="2"/>
  <c r="E90" i="6" s="1"/>
  <c r="I91" i="2"/>
  <c r="E91" i="6" s="1"/>
  <c r="I92" i="2"/>
  <c r="E92" i="6" s="1"/>
  <c r="I93" i="2"/>
  <c r="E93" i="6" s="1"/>
  <c r="I94" i="2"/>
  <c r="E94" i="6" s="1"/>
  <c r="I95" i="2"/>
  <c r="E95" i="6" s="1"/>
  <c r="I96" i="2"/>
  <c r="E96" i="6" s="1"/>
  <c r="I97" i="2"/>
  <c r="E97" i="6" s="1"/>
  <c r="I98" i="2"/>
  <c r="E98" i="6" s="1"/>
  <c r="I99" i="2"/>
  <c r="E99" i="6" s="1"/>
  <c r="I100" i="2"/>
  <c r="E100" i="6" s="1"/>
  <c r="I101" i="2"/>
  <c r="E101" i="6" s="1"/>
  <c r="I102" i="2"/>
  <c r="E102" i="6" s="1"/>
  <c r="I103" i="2"/>
  <c r="E103" i="6" s="1"/>
  <c r="I104" i="2"/>
  <c r="E104" i="6" s="1"/>
  <c r="I105" i="2"/>
  <c r="E105" i="6" s="1"/>
  <c r="I106" i="2"/>
  <c r="E106" i="6" s="1"/>
  <c r="I107" i="2"/>
  <c r="E107" i="6" s="1"/>
  <c r="I108" i="2"/>
  <c r="E108" i="6" s="1"/>
  <c r="I109" i="2"/>
  <c r="E109" i="6" s="1"/>
  <c r="I110" i="2"/>
  <c r="E110" i="6" s="1"/>
  <c r="I111" i="2"/>
  <c r="E111" i="6" s="1"/>
  <c r="I112" i="2"/>
  <c r="E112" i="6" s="1"/>
  <c r="I113" i="2"/>
  <c r="E113" i="6" s="1"/>
  <c r="I114" i="2"/>
  <c r="E114" i="6" s="1"/>
  <c r="I115" i="2"/>
  <c r="E115" i="6" s="1"/>
  <c r="I116" i="2"/>
  <c r="E116" i="6" s="1"/>
  <c r="I117" i="2"/>
  <c r="E117" i="6" s="1"/>
  <c r="I118" i="2"/>
  <c r="E118" i="6" s="1"/>
  <c r="I119" i="2"/>
  <c r="E119" i="6" s="1"/>
  <c r="I120" i="2"/>
  <c r="E120" i="6" s="1"/>
  <c r="I121" i="2"/>
  <c r="E121" i="6" s="1"/>
  <c r="I122" i="2"/>
  <c r="E122" i="6" s="1"/>
  <c r="I123" i="2"/>
  <c r="E123" i="6" s="1"/>
  <c r="I124" i="2"/>
  <c r="E124" i="6" s="1"/>
  <c r="I125" i="2"/>
  <c r="E125" i="6" s="1"/>
  <c r="I126" i="2"/>
  <c r="E126" i="6" s="1"/>
  <c r="I127" i="2"/>
  <c r="E127" i="6" s="1"/>
  <c r="I128" i="2"/>
  <c r="E128" i="6" s="1"/>
  <c r="I129" i="2"/>
  <c r="E129" i="6" s="1"/>
  <c r="I130" i="2"/>
  <c r="E130" i="6" s="1"/>
  <c r="I131" i="2"/>
  <c r="E131" i="6" s="1"/>
  <c r="I132" i="2"/>
  <c r="E132" i="6" s="1"/>
  <c r="I133" i="2"/>
  <c r="E133" i="6" s="1"/>
  <c r="I134" i="2"/>
  <c r="E134" i="6" s="1"/>
  <c r="I135" i="2"/>
  <c r="E135" i="6" s="1"/>
  <c r="I136" i="2"/>
  <c r="E136" i="6" s="1"/>
  <c r="I137" i="2"/>
  <c r="E137" i="6" s="1"/>
  <c r="I138" i="2"/>
  <c r="E138" i="6" s="1"/>
  <c r="I139" i="2"/>
  <c r="E139" i="6" s="1"/>
  <c r="I140" i="2"/>
  <c r="E140" i="6" s="1"/>
  <c r="I141" i="2"/>
  <c r="E141" i="6" s="1"/>
  <c r="I142" i="2"/>
  <c r="E142" i="6" s="1"/>
  <c r="I143" i="2"/>
  <c r="E143" i="6" s="1"/>
  <c r="I144" i="2"/>
  <c r="E144" i="6" s="1"/>
  <c r="I145" i="2"/>
  <c r="E145" i="6" s="1"/>
  <c r="I146" i="2"/>
  <c r="E146" i="6" s="1"/>
  <c r="I147" i="2"/>
  <c r="E147" i="6" s="1"/>
  <c r="I148" i="2"/>
  <c r="E148" i="6" s="1"/>
  <c r="I149" i="2"/>
  <c r="E149" i="6" s="1"/>
  <c r="I150" i="2"/>
  <c r="E150" i="6" s="1"/>
  <c r="I151" i="2"/>
  <c r="E151" i="6" s="1"/>
  <c r="I152" i="2"/>
  <c r="E152" i="6" s="1"/>
  <c r="I153" i="2"/>
  <c r="E153" i="6" s="1"/>
  <c r="I154" i="2"/>
  <c r="E154" i="6" s="1"/>
  <c r="I155" i="2"/>
  <c r="E155" i="6" s="1"/>
  <c r="I156" i="2"/>
  <c r="E156" i="6" s="1"/>
  <c r="I157" i="2"/>
  <c r="E157" i="6" s="1"/>
  <c r="I158" i="2"/>
  <c r="E158" i="6" s="1"/>
  <c r="I159" i="2"/>
  <c r="E159" i="6" s="1"/>
  <c r="I160" i="2"/>
  <c r="E160" i="6" s="1"/>
  <c r="I161" i="2"/>
  <c r="E161" i="6" s="1"/>
  <c r="I162" i="2"/>
  <c r="E162" i="6" s="1"/>
  <c r="I163" i="2"/>
  <c r="E163" i="6" s="1"/>
  <c r="I164" i="2"/>
  <c r="E164" i="6" s="1"/>
  <c r="I165" i="2"/>
  <c r="E165" i="6" s="1"/>
  <c r="I166" i="2"/>
  <c r="E166" i="6" s="1"/>
  <c r="I167" i="2"/>
  <c r="E167" i="6" s="1"/>
  <c r="I168" i="2"/>
  <c r="E168" i="6" s="1"/>
  <c r="I169" i="2"/>
  <c r="E169" i="6" s="1"/>
  <c r="I170" i="2"/>
  <c r="E170" i="6" s="1"/>
  <c r="I171" i="2"/>
  <c r="E171" i="6" s="1"/>
  <c r="I172" i="2"/>
  <c r="E172" i="6" s="1"/>
  <c r="I173" i="2"/>
  <c r="E173" i="6" s="1"/>
  <c r="I174" i="2"/>
  <c r="E174" i="6" s="1"/>
  <c r="I175" i="2"/>
  <c r="E175" i="6" s="1"/>
  <c r="I176" i="2"/>
  <c r="E176" i="6" s="1"/>
  <c r="I177" i="2"/>
  <c r="E177" i="6" s="1"/>
  <c r="I178" i="2"/>
  <c r="E178" i="6" s="1"/>
  <c r="I179" i="2"/>
  <c r="E179" i="6" s="1"/>
  <c r="I180" i="2"/>
  <c r="E180" i="6" s="1"/>
  <c r="I181" i="2"/>
  <c r="E181" i="6" s="1"/>
  <c r="I182" i="2"/>
  <c r="E182" i="6" s="1"/>
  <c r="I183" i="2"/>
  <c r="E183" i="6" s="1"/>
  <c r="I184" i="2"/>
  <c r="E184" i="6" s="1"/>
  <c r="I185" i="2"/>
  <c r="E185" i="6" s="1"/>
  <c r="I186" i="2"/>
  <c r="E186" i="6" s="1"/>
  <c r="I187" i="2"/>
  <c r="E187" i="6" s="1"/>
  <c r="I188" i="2"/>
  <c r="E188" i="6" s="1"/>
  <c r="I189" i="2"/>
  <c r="E189" i="6" s="1"/>
  <c r="I190" i="2"/>
  <c r="E190" i="6" s="1"/>
  <c r="I191" i="2"/>
  <c r="E191" i="6" s="1"/>
  <c r="I192" i="2"/>
  <c r="E192" i="6" s="1"/>
  <c r="I193" i="2"/>
  <c r="E193" i="6" s="1"/>
  <c r="I194" i="2"/>
  <c r="E194" i="6" s="1"/>
  <c r="I195" i="2"/>
  <c r="E195" i="6" s="1"/>
  <c r="I196" i="2"/>
  <c r="E196" i="6" s="1"/>
  <c r="I197" i="2"/>
  <c r="E197" i="6" s="1"/>
  <c r="I198" i="2"/>
  <c r="E198" i="6" s="1"/>
  <c r="I199" i="2"/>
  <c r="E199" i="6" s="1"/>
  <c r="I200" i="2"/>
  <c r="E200" i="6" s="1"/>
  <c r="I201" i="2"/>
  <c r="E201" i="6" s="1"/>
  <c r="I202" i="2"/>
  <c r="E202" i="6" s="1"/>
  <c r="I203" i="2"/>
  <c r="E203" i="6" s="1"/>
  <c r="I204" i="2"/>
  <c r="E204" i="6" s="1"/>
  <c r="I205" i="2"/>
  <c r="E205" i="6" s="1"/>
  <c r="I206" i="2"/>
  <c r="E206" i="6" s="1"/>
  <c r="I207" i="2"/>
  <c r="E207" i="6" s="1"/>
  <c r="I208" i="2"/>
  <c r="E208" i="6" s="1"/>
  <c r="I209" i="2"/>
  <c r="E209" i="6" s="1"/>
  <c r="I210" i="2"/>
  <c r="E210" i="6" s="1"/>
  <c r="I211" i="2"/>
  <c r="E211" i="6" s="1"/>
  <c r="I212" i="2"/>
  <c r="E212" i="6" s="1"/>
  <c r="I213" i="2"/>
  <c r="E213" i="6" s="1"/>
  <c r="I214" i="2"/>
  <c r="E214" i="6" s="1"/>
  <c r="I215" i="2"/>
  <c r="E215" i="6" s="1"/>
  <c r="I216" i="2"/>
  <c r="E216" i="6" s="1"/>
  <c r="I217" i="2"/>
  <c r="E217" i="6" s="1"/>
  <c r="I218" i="2"/>
  <c r="E218" i="6" s="1"/>
  <c r="I219" i="2"/>
  <c r="E219" i="6" s="1"/>
  <c r="I220" i="2"/>
  <c r="E220" i="6" s="1"/>
  <c r="I221" i="2"/>
  <c r="E221" i="6" s="1"/>
  <c r="I222" i="2"/>
  <c r="E222" i="6" s="1"/>
  <c r="I223" i="2"/>
  <c r="E223" i="6" s="1"/>
  <c r="I224" i="2"/>
  <c r="E224" i="6" s="1"/>
  <c r="I225" i="2"/>
  <c r="E225" i="6" s="1"/>
  <c r="I226" i="2"/>
  <c r="E226" i="6" s="1"/>
  <c r="I227" i="2"/>
  <c r="E227" i="6" s="1"/>
  <c r="I228" i="2"/>
  <c r="E228" i="6" s="1"/>
  <c r="I229" i="2"/>
  <c r="E229" i="6" s="1"/>
  <c r="I230" i="2"/>
  <c r="E230" i="6" s="1"/>
  <c r="I231" i="2"/>
  <c r="E231" i="6" s="1"/>
  <c r="I232" i="2"/>
  <c r="E232" i="6" s="1"/>
  <c r="I233" i="2"/>
  <c r="E233" i="6" s="1"/>
  <c r="I234" i="2"/>
  <c r="E234" i="6" s="1"/>
  <c r="I235" i="2"/>
  <c r="E235" i="6" s="1"/>
  <c r="I236" i="2"/>
  <c r="E236" i="6" s="1"/>
  <c r="I237" i="2"/>
  <c r="E237" i="6" s="1"/>
  <c r="I238" i="2"/>
  <c r="E238" i="6" s="1"/>
  <c r="I239" i="2"/>
  <c r="E239" i="6" s="1"/>
  <c r="I240" i="2"/>
  <c r="E240" i="6" s="1"/>
  <c r="I241" i="2"/>
  <c r="E241" i="6" s="1"/>
  <c r="I242" i="2"/>
  <c r="E242" i="6" s="1"/>
  <c r="I243" i="2"/>
  <c r="E243" i="6" s="1"/>
  <c r="I244" i="2"/>
  <c r="E244" i="6" s="1"/>
  <c r="I245" i="2"/>
  <c r="E245" i="6" s="1"/>
  <c r="I246" i="2"/>
  <c r="E246" i="6" s="1"/>
  <c r="I247" i="2"/>
  <c r="E247" i="6" s="1"/>
  <c r="I248" i="2"/>
  <c r="E248" i="6" s="1"/>
  <c r="I249" i="2"/>
  <c r="E249" i="6" s="1"/>
  <c r="I250" i="2"/>
  <c r="E250" i="6" s="1"/>
  <c r="I251" i="2"/>
  <c r="E251" i="6" s="1"/>
  <c r="I252" i="2"/>
  <c r="E252" i="6" s="1"/>
  <c r="I253" i="2"/>
  <c r="E253" i="6" s="1"/>
  <c r="I254" i="2"/>
  <c r="E254" i="6" s="1"/>
  <c r="I255" i="2"/>
  <c r="E255" i="6" s="1"/>
  <c r="I256" i="2"/>
  <c r="E256" i="6" s="1"/>
  <c r="I257" i="2"/>
  <c r="E257" i="6" s="1"/>
  <c r="I258" i="2"/>
  <c r="E258" i="6" s="1"/>
  <c r="I259" i="2"/>
  <c r="E259" i="6" s="1"/>
  <c r="I260" i="2"/>
  <c r="E260" i="6" s="1"/>
  <c r="I261" i="2"/>
  <c r="E261" i="6" s="1"/>
  <c r="I262" i="2"/>
  <c r="E262" i="6" s="1"/>
  <c r="I263" i="2"/>
  <c r="E263" i="6" s="1"/>
  <c r="I264" i="2"/>
  <c r="E264" i="6" s="1"/>
  <c r="I265" i="2"/>
  <c r="E265" i="6" s="1"/>
  <c r="I266" i="2"/>
  <c r="E266" i="6" s="1"/>
  <c r="I267" i="2"/>
  <c r="E267" i="6" s="1"/>
  <c r="I268" i="2"/>
  <c r="E268" i="6" s="1"/>
  <c r="I269" i="2"/>
  <c r="E269" i="6" s="1"/>
  <c r="I270" i="2"/>
  <c r="E270" i="6" s="1"/>
  <c r="I271" i="2"/>
  <c r="E271" i="6" s="1"/>
  <c r="I272" i="2"/>
  <c r="E272" i="6" s="1"/>
  <c r="I273" i="2"/>
  <c r="E273" i="6" s="1"/>
  <c r="I274" i="2"/>
  <c r="E274" i="6" s="1"/>
  <c r="I275" i="2"/>
  <c r="E275" i="6" s="1"/>
  <c r="I276" i="2"/>
  <c r="E276" i="6" s="1"/>
  <c r="I277" i="2"/>
  <c r="E277" i="6" s="1"/>
  <c r="I278" i="2"/>
  <c r="E278" i="6" s="1"/>
  <c r="I279" i="2"/>
  <c r="E279" i="6" s="1"/>
  <c r="I280" i="2"/>
  <c r="E280" i="6" s="1"/>
  <c r="I281" i="2"/>
  <c r="E281" i="6" s="1"/>
  <c r="I282" i="2"/>
  <c r="E282" i="6" s="1"/>
  <c r="I283" i="2"/>
  <c r="E283" i="6" s="1"/>
  <c r="I284" i="2"/>
  <c r="E284" i="6" s="1"/>
  <c r="I285" i="2"/>
  <c r="E285" i="6" s="1"/>
  <c r="I286" i="2"/>
  <c r="E286" i="6" s="1"/>
  <c r="I287" i="2"/>
  <c r="E287" i="6" s="1"/>
  <c r="I288" i="2"/>
  <c r="E288" i="6" s="1"/>
  <c r="I289" i="2"/>
  <c r="E289" i="6" s="1"/>
  <c r="I290" i="2"/>
  <c r="E290" i="6" s="1"/>
  <c r="I291" i="2"/>
  <c r="E291" i="6" s="1"/>
  <c r="I292" i="2"/>
  <c r="E292" i="6" s="1"/>
  <c r="I293" i="2"/>
  <c r="E293" i="6" s="1"/>
  <c r="I294" i="2"/>
  <c r="E294" i="6" s="1"/>
  <c r="I295" i="2"/>
  <c r="E295" i="6" s="1"/>
  <c r="I296" i="2"/>
  <c r="E296" i="6" s="1"/>
  <c r="I297" i="2"/>
  <c r="E297" i="6" s="1"/>
  <c r="I298" i="2"/>
  <c r="E298" i="6" s="1"/>
  <c r="I299" i="2"/>
  <c r="E299" i="6" s="1"/>
  <c r="I300" i="2"/>
  <c r="E300" i="6" s="1"/>
  <c r="I301" i="2"/>
  <c r="E301" i="6" s="1"/>
  <c r="I302" i="2"/>
  <c r="E302" i="6" s="1"/>
  <c r="I303" i="2"/>
  <c r="E303" i="6" s="1"/>
  <c r="I304" i="2"/>
  <c r="E304" i="6" s="1"/>
  <c r="I305" i="2"/>
  <c r="E305" i="6" s="1"/>
  <c r="I306" i="2"/>
  <c r="E306" i="6" s="1"/>
  <c r="I307" i="2"/>
  <c r="E307" i="6" s="1"/>
  <c r="I308" i="2"/>
  <c r="E308" i="6" s="1"/>
  <c r="I309" i="2"/>
  <c r="E309" i="6" s="1"/>
  <c r="I310" i="2"/>
  <c r="E310" i="6" s="1"/>
  <c r="I311" i="2"/>
  <c r="E311" i="6" s="1"/>
  <c r="I312" i="2"/>
  <c r="E312" i="6" s="1"/>
  <c r="I313" i="2"/>
  <c r="E313" i="6" s="1"/>
  <c r="I314" i="2"/>
  <c r="E314" i="6" s="1"/>
  <c r="I315" i="2"/>
  <c r="E315" i="6" s="1"/>
  <c r="I316" i="2"/>
  <c r="E316" i="6" s="1"/>
  <c r="I317" i="2"/>
  <c r="E317" i="6" s="1"/>
  <c r="I318" i="2"/>
  <c r="E318" i="6" s="1"/>
  <c r="I319" i="2"/>
  <c r="E319" i="6" s="1"/>
  <c r="I320" i="2"/>
  <c r="E320" i="6" s="1"/>
  <c r="I321" i="2"/>
  <c r="E321" i="6" s="1"/>
  <c r="I322" i="2"/>
  <c r="E322" i="6" s="1"/>
  <c r="I323" i="2"/>
  <c r="E323" i="6" s="1"/>
  <c r="I324" i="2"/>
  <c r="E324" i="6" s="1"/>
  <c r="I325" i="2"/>
  <c r="E325" i="6" s="1"/>
  <c r="I326" i="2"/>
  <c r="E326" i="6" s="1"/>
  <c r="I327" i="2"/>
  <c r="E327" i="6" s="1"/>
  <c r="I328" i="2"/>
  <c r="E328" i="6" s="1"/>
  <c r="I329" i="2"/>
  <c r="E329" i="6" s="1"/>
  <c r="I330" i="2"/>
  <c r="E330" i="6" s="1"/>
  <c r="I331" i="2"/>
  <c r="E331" i="6" s="1"/>
  <c r="I332" i="2"/>
  <c r="E332" i="6" s="1"/>
  <c r="I333" i="2"/>
  <c r="E333" i="6" s="1"/>
  <c r="I334" i="2"/>
  <c r="E334" i="6" s="1"/>
  <c r="I335" i="2"/>
  <c r="E335" i="6" s="1"/>
  <c r="I336" i="2"/>
  <c r="E336" i="6" s="1"/>
  <c r="I337" i="2"/>
  <c r="E337" i="6" s="1"/>
  <c r="I338" i="2"/>
  <c r="E338" i="6" s="1"/>
  <c r="I339" i="2"/>
  <c r="E339" i="6" s="1"/>
  <c r="I340" i="2"/>
  <c r="E340" i="6" s="1"/>
  <c r="I341" i="2"/>
  <c r="E341" i="6" s="1"/>
  <c r="I342" i="2"/>
  <c r="E342" i="6" s="1"/>
  <c r="I343" i="2"/>
  <c r="E343" i="6" s="1"/>
  <c r="I344" i="2"/>
  <c r="E344" i="6" s="1"/>
  <c r="I345" i="2"/>
  <c r="E345" i="6" s="1"/>
  <c r="I346" i="2"/>
  <c r="E346" i="6" s="1"/>
  <c r="I347" i="2"/>
  <c r="E347" i="6" s="1"/>
  <c r="I348" i="2"/>
  <c r="E348" i="6" s="1"/>
  <c r="I349" i="2"/>
  <c r="E349" i="6" s="1"/>
  <c r="I350" i="2"/>
  <c r="E350" i="6" s="1"/>
  <c r="I351" i="2"/>
  <c r="E351" i="6" s="1"/>
  <c r="I352" i="2"/>
  <c r="E352" i="6" s="1"/>
  <c r="I353" i="2"/>
  <c r="E353" i="6" s="1"/>
  <c r="I354" i="2"/>
  <c r="E354" i="6" s="1"/>
  <c r="I355" i="2"/>
  <c r="E355" i="6" s="1"/>
  <c r="I356" i="2"/>
  <c r="E356" i="6" s="1"/>
  <c r="I357" i="2"/>
  <c r="E357" i="6" s="1"/>
  <c r="I358" i="2"/>
  <c r="E358" i="6" s="1"/>
  <c r="I359" i="2"/>
  <c r="E359" i="6" s="1"/>
  <c r="I360" i="2"/>
  <c r="E360" i="6" s="1"/>
  <c r="I361" i="2"/>
  <c r="E361" i="6" s="1"/>
  <c r="I362" i="2"/>
  <c r="E362" i="6" s="1"/>
  <c r="I363" i="2"/>
  <c r="E363" i="6" s="1"/>
  <c r="I364" i="2"/>
  <c r="E364" i="6" s="1"/>
  <c r="I365" i="2"/>
  <c r="E365" i="6" s="1"/>
  <c r="I366" i="2"/>
  <c r="E366" i="6" s="1"/>
  <c r="I367" i="2"/>
  <c r="E367" i="6" s="1"/>
  <c r="I368" i="2"/>
  <c r="E368" i="6" s="1"/>
  <c r="I369" i="2"/>
  <c r="E369" i="6" s="1"/>
  <c r="I370" i="2"/>
  <c r="E370" i="6" s="1"/>
  <c r="I371" i="2"/>
  <c r="E371" i="6" s="1"/>
  <c r="I372" i="2"/>
  <c r="E372" i="6" s="1"/>
  <c r="I373" i="2"/>
  <c r="E373" i="6" s="1"/>
  <c r="I374" i="2"/>
  <c r="E374" i="6" s="1"/>
  <c r="I375" i="2"/>
  <c r="E375" i="6" s="1"/>
  <c r="I376" i="2"/>
  <c r="E376" i="6" s="1"/>
  <c r="I377" i="2"/>
  <c r="E377" i="6" s="1"/>
  <c r="I378" i="2"/>
  <c r="E378" i="6" s="1"/>
  <c r="I379" i="2"/>
  <c r="E379" i="6" s="1"/>
  <c r="I380" i="2"/>
  <c r="E380" i="6" s="1"/>
  <c r="I381" i="2"/>
  <c r="E381" i="6" s="1"/>
  <c r="I382" i="2"/>
  <c r="E382" i="6" s="1"/>
  <c r="I383" i="2"/>
  <c r="E383" i="6" s="1"/>
  <c r="I384" i="2"/>
  <c r="E384" i="6" s="1"/>
  <c r="I385" i="2"/>
  <c r="E385" i="6" s="1"/>
  <c r="I386" i="2"/>
  <c r="E386" i="6" s="1"/>
  <c r="I387" i="2"/>
  <c r="E387" i="6" s="1"/>
  <c r="I388" i="2"/>
  <c r="E388" i="6" s="1"/>
  <c r="I389" i="2"/>
  <c r="E389" i="6" s="1"/>
  <c r="I390" i="2"/>
  <c r="E390" i="6" s="1"/>
  <c r="I391" i="2"/>
  <c r="E391" i="6" s="1"/>
  <c r="I392" i="2"/>
  <c r="E392" i="6" s="1"/>
  <c r="I393" i="2"/>
  <c r="E393" i="6" s="1"/>
  <c r="I394" i="2"/>
  <c r="E394" i="6" s="1"/>
  <c r="I395" i="2"/>
  <c r="E395" i="6" s="1"/>
  <c r="I396" i="2"/>
  <c r="E396" i="6" s="1"/>
  <c r="I397" i="2"/>
  <c r="E397" i="6" s="1"/>
  <c r="I398" i="2"/>
  <c r="E398" i="6" s="1"/>
  <c r="I399" i="2"/>
  <c r="E399" i="6" s="1"/>
  <c r="I400" i="2"/>
  <c r="E400" i="6" s="1"/>
  <c r="I401" i="2"/>
  <c r="E401" i="6" s="1"/>
  <c r="I402" i="2"/>
  <c r="E402" i="6" s="1"/>
  <c r="I403" i="2"/>
  <c r="E403" i="6" s="1"/>
  <c r="I404" i="2"/>
  <c r="E404" i="6" s="1"/>
  <c r="I405" i="2"/>
  <c r="E405" i="6" s="1"/>
  <c r="I406" i="2"/>
  <c r="E406" i="6" s="1"/>
  <c r="I407" i="2"/>
  <c r="E407" i="6" s="1"/>
  <c r="I408" i="2"/>
  <c r="E408" i="6" s="1"/>
  <c r="I409" i="2"/>
  <c r="E409" i="6" s="1"/>
  <c r="I410" i="2"/>
  <c r="E410" i="6" s="1"/>
  <c r="I411" i="2"/>
  <c r="E411" i="6" s="1"/>
  <c r="I412" i="2"/>
  <c r="E412" i="6" s="1"/>
  <c r="I413" i="2"/>
  <c r="E413" i="6" s="1"/>
  <c r="I414" i="2"/>
  <c r="E414" i="6" s="1"/>
  <c r="I415" i="2"/>
  <c r="E415" i="6" s="1"/>
  <c r="I416" i="2"/>
  <c r="E416" i="6" s="1"/>
  <c r="I417" i="2"/>
  <c r="E417" i="6" s="1"/>
  <c r="I418" i="2"/>
  <c r="E418" i="6" s="1"/>
  <c r="I419" i="2"/>
  <c r="E419" i="6" s="1"/>
  <c r="I420" i="2"/>
  <c r="E420" i="6" s="1"/>
  <c r="I421" i="2"/>
  <c r="E421" i="6" s="1"/>
  <c r="I422" i="2"/>
  <c r="E422" i="6" s="1"/>
  <c r="I423" i="2"/>
  <c r="E423" i="6" s="1"/>
  <c r="I424" i="2"/>
  <c r="E424" i="6" s="1"/>
  <c r="I425" i="2"/>
  <c r="E425" i="6" s="1"/>
  <c r="I426" i="2"/>
  <c r="E426" i="6" s="1"/>
  <c r="I427" i="2"/>
  <c r="E427" i="6" s="1"/>
  <c r="I428" i="2"/>
  <c r="E428" i="6" s="1"/>
  <c r="I429" i="2"/>
  <c r="E429" i="6" s="1"/>
  <c r="I430" i="2"/>
  <c r="E430" i="6" s="1"/>
  <c r="I431" i="2"/>
  <c r="E431" i="6" s="1"/>
  <c r="I432" i="2"/>
  <c r="E432" i="6" s="1"/>
  <c r="I433" i="2"/>
  <c r="E433" i="6" s="1"/>
  <c r="I434" i="2"/>
  <c r="E434" i="6" s="1"/>
  <c r="I435" i="2"/>
  <c r="E435" i="6" s="1"/>
  <c r="I436" i="2"/>
  <c r="E436" i="6" s="1"/>
  <c r="I437" i="2"/>
  <c r="E437" i="6" s="1"/>
  <c r="I438" i="2"/>
  <c r="E438" i="6" s="1"/>
  <c r="I439" i="2"/>
  <c r="E439" i="6" s="1"/>
  <c r="I440" i="2"/>
  <c r="E440" i="6" s="1"/>
  <c r="I441" i="2"/>
  <c r="E441" i="6" s="1"/>
  <c r="I442" i="2"/>
  <c r="E442" i="6" s="1"/>
  <c r="I443" i="2"/>
  <c r="E443" i="6" s="1"/>
  <c r="I444" i="2"/>
  <c r="E444" i="6" s="1"/>
  <c r="I445" i="2"/>
  <c r="E445" i="6" s="1"/>
  <c r="I446" i="2"/>
  <c r="E446" i="6" s="1"/>
  <c r="I447" i="2"/>
  <c r="E447" i="6" s="1"/>
  <c r="I448" i="2"/>
  <c r="E448" i="6" s="1"/>
  <c r="I449" i="2"/>
  <c r="E449" i="6" s="1"/>
  <c r="I450" i="2"/>
  <c r="E450" i="6" s="1"/>
  <c r="I451" i="2"/>
  <c r="E451" i="6" s="1"/>
  <c r="I452" i="2"/>
  <c r="E452" i="6" s="1"/>
  <c r="I453" i="2"/>
  <c r="E453" i="6" s="1"/>
  <c r="I454" i="2"/>
  <c r="E454" i="6" s="1"/>
  <c r="I455" i="2"/>
  <c r="E455" i="6" s="1"/>
  <c r="I456" i="2"/>
  <c r="E456" i="6" s="1"/>
  <c r="I457" i="2"/>
  <c r="E457" i="6" s="1"/>
  <c r="I458" i="2"/>
  <c r="E458" i="6" s="1"/>
  <c r="I459" i="2"/>
  <c r="E459" i="6" s="1"/>
  <c r="I460" i="2"/>
  <c r="E460" i="6" s="1"/>
  <c r="I461" i="2"/>
  <c r="E461" i="6" s="1"/>
  <c r="I462" i="2"/>
  <c r="E462" i="6" s="1"/>
  <c r="I463" i="2"/>
  <c r="E463" i="6" s="1"/>
  <c r="I464" i="2"/>
  <c r="E464" i="6" s="1"/>
  <c r="I465" i="2"/>
  <c r="E465" i="6" s="1"/>
  <c r="I466" i="2"/>
  <c r="E466" i="6" s="1"/>
  <c r="I467" i="2"/>
  <c r="E467" i="6" s="1"/>
  <c r="I468" i="2"/>
  <c r="E468" i="6" s="1"/>
  <c r="I469" i="2"/>
  <c r="E469" i="6" s="1"/>
  <c r="I470" i="2"/>
  <c r="E470" i="6" s="1"/>
  <c r="I471" i="2"/>
  <c r="E471" i="6" s="1"/>
  <c r="I472" i="2"/>
  <c r="E472" i="6" s="1"/>
  <c r="I473" i="2"/>
  <c r="E473" i="6" s="1"/>
  <c r="I474" i="2"/>
  <c r="E474" i="6" s="1"/>
  <c r="I475" i="2"/>
  <c r="E475" i="6" s="1"/>
  <c r="I476" i="2"/>
  <c r="E476" i="6" s="1"/>
  <c r="I477" i="2"/>
  <c r="E477" i="6" s="1"/>
  <c r="I478" i="2"/>
  <c r="E478" i="6" s="1"/>
  <c r="I479" i="2"/>
  <c r="E479" i="6" s="1"/>
  <c r="I480" i="2"/>
  <c r="E480" i="6" s="1"/>
  <c r="I481" i="2"/>
  <c r="E481" i="6" s="1"/>
  <c r="I482" i="2"/>
  <c r="E482" i="6" s="1"/>
  <c r="I483" i="2"/>
  <c r="E483" i="6" s="1"/>
  <c r="I484" i="2"/>
  <c r="E484" i="6" s="1"/>
  <c r="I485" i="2"/>
  <c r="E485" i="6" s="1"/>
  <c r="I486" i="2"/>
  <c r="E486" i="6" s="1"/>
  <c r="I487" i="2"/>
  <c r="E487" i="6" s="1"/>
  <c r="I488" i="2"/>
  <c r="E488" i="6" s="1"/>
  <c r="I489" i="2"/>
  <c r="E489" i="6" s="1"/>
  <c r="I490" i="2"/>
  <c r="E490" i="6" s="1"/>
  <c r="I491" i="2"/>
  <c r="E491" i="6" s="1"/>
  <c r="I492" i="2"/>
  <c r="E492" i="6" s="1"/>
  <c r="I493" i="2"/>
  <c r="E493" i="6" s="1"/>
  <c r="I494" i="2"/>
  <c r="E494" i="6" s="1"/>
  <c r="I495" i="2"/>
  <c r="E495" i="6" s="1"/>
  <c r="I496" i="2"/>
  <c r="E496" i="6" s="1"/>
  <c r="I497" i="2"/>
  <c r="E497" i="6" s="1"/>
  <c r="I498" i="2"/>
  <c r="E498" i="6" s="1"/>
  <c r="I499" i="2"/>
  <c r="E499" i="6" s="1"/>
  <c r="I500" i="2"/>
  <c r="E500" i="6" s="1"/>
  <c r="I501" i="2"/>
  <c r="E501" i="6" s="1"/>
  <c r="I502" i="2"/>
  <c r="E502" i="6" s="1"/>
  <c r="I503" i="2"/>
  <c r="E503" i="6" s="1"/>
  <c r="I504" i="2"/>
  <c r="E504" i="6" s="1"/>
  <c r="I505" i="2"/>
  <c r="E505" i="6" s="1"/>
  <c r="I506" i="2"/>
  <c r="E506" i="6" s="1"/>
  <c r="I507" i="2"/>
  <c r="E507" i="6" s="1"/>
  <c r="I508" i="2"/>
  <c r="E508" i="6" s="1"/>
  <c r="I509" i="2"/>
  <c r="E509" i="6" s="1"/>
  <c r="I510" i="2"/>
  <c r="E510" i="6" s="1"/>
  <c r="I511" i="2"/>
  <c r="E511" i="6" s="1"/>
  <c r="I512" i="2"/>
  <c r="E512" i="6" s="1"/>
  <c r="I513" i="2"/>
  <c r="E513" i="6" s="1"/>
  <c r="I514" i="2"/>
  <c r="E514" i="6" s="1"/>
  <c r="I515" i="2"/>
  <c r="E515" i="6" s="1"/>
  <c r="I516" i="2"/>
  <c r="E516" i="6" s="1"/>
  <c r="I517" i="2"/>
  <c r="E517" i="6" s="1"/>
  <c r="I518" i="2"/>
  <c r="E518" i="6" s="1"/>
  <c r="I519" i="2"/>
  <c r="E519" i="6" s="1"/>
  <c r="I520" i="2"/>
  <c r="E520" i="6" s="1"/>
  <c r="I521" i="2"/>
  <c r="E521" i="6" s="1"/>
  <c r="I522" i="2"/>
  <c r="E522" i="6" s="1"/>
  <c r="I523" i="2"/>
  <c r="E523" i="6" s="1"/>
  <c r="I524" i="2"/>
  <c r="E524" i="6" s="1"/>
  <c r="I525" i="2"/>
  <c r="E525" i="6" s="1"/>
  <c r="I526" i="2"/>
  <c r="E526" i="6" s="1"/>
  <c r="I527" i="2"/>
  <c r="E527" i="6" s="1"/>
  <c r="I528" i="2"/>
  <c r="E528" i="6" s="1"/>
  <c r="I529" i="2"/>
  <c r="E529" i="6" s="1"/>
  <c r="I530" i="2"/>
  <c r="E530" i="6" s="1"/>
  <c r="I531" i="2"/>
  <c r="E531" i="6" s="1"/>
  <c r="I532" i="2"/>
  <c r="E532" i="6" s="1"/>
  <c r="I533" i="2"/>
  <c r="E533" i="6" s="1"/>
  <c r="I534" i="2"/>
  <c r="E534" i="6" s="1"/>
  <c r="I535" i="2"/>
  <c r="E535" i="6" s="1"/>
  <c r="I536" i="2"/>
  <c r="E536" i="6" s="1"/>
  <c r="I537" i="2"/>
  <c r="E537" i="6" s="1"/>
  <c r="I538" i="2"/>
  <c r="E538" i="6" s="1"/>
  <c r="I539" i="2"/>
  <c r="E539" i="6" s="1"/>
  <c r="I540" i="2"/>
  <c r="E540" i="6" s="1"/>
  <c r="I541" i="2"/>
  <c r="E541" i="6" s="1"/>
  <c r="I542" i="2"/>
  <c r="E542" i="6" s="1"/>
  <c r="I543" i="2"/>
  <c r="E543" i="6" s="1"/>
  <c r="I544" i="2"/>
  <c r="E544" i="6" s="1"/>
  <c r="I545" i="2"/>
  <c r="E545" i="6" s="1"/>
  <c r="I546" i="2"/>
  <c r="E546" i="6" s="1"/>
  <c r="I547" i="2"/>
  <c r="E547" i="6" s="1"/>
  <c r="I548" i="2"/>
  <c r="E548" i="6" s="1"/>
  <c r="I549" i="2"/>
  <c r="E549" i="6" s="1"/>
  <c r="I550" i="2"/>
  <c r="E550" i="6" s="1"/>
  <c r="I551" i="2"/>
  <c r="E551" i="6" s="1"/>
  <c r="I552" i="2"/>
  <c r="E552" i="6" s="1"/>
  <c r="I553" i="2"/>
  <c r="E553" i="6" s="1"/>
  <c r="I554" i="2"/>
  <c r="E554" i="6" s="1"/>
  <c r="I555" i="2"/>
  <c r="E555" i="6" s="1"/>
  <c r="I556" i="2"/>
  <c r="E556" i="6" s="1"/>
  <c r="I557" i="2"/>
  <c r="E557" i="6" s="1"/>
  <c r="I558" i="2"/>
  <c r="E558" i="6" s="1"/>
  <c r="I559" i="2"/>
  <c r="E559" i="6" s="1"/>
  <c r="I560" i="2"/>
  <c r="E560" i="6" s="1"/>
  <c r="I561" i="2"/>
  <c r="E561" i="6" s="1"/>
  <c r="I562" i="2"/>
  <c r="E562" i="6" s="1"/>
  <c r="I563" i="2"/>
  <c r="E563" i="6" s="1"/>
  <c r="I564" i="2"/>
  <c r="E564" i="6" s="1"/>
  <c r="I565" i="2"/>
  <c r="E565" i="6" s="1"/>
  <c r="I566" i="2"/>
  <c r="E566" i="6" s="1"/>
  <c r="I567" i="2"/>
  <c r="E567" i="6" s="1"/>
  <c r="I568" i="2"/>
  <c r="E568" i="6" s="1"/>
  <c r="I569" i="2"/>
  <c r="E569" i="6" s="1"/>
  <c r="I570" i="2"/>
  <c r="E570" i="6" s="1"/>
  <c r="I571" i="2"/>
  <c r="E571" i="6" s="1"/>
  <c r="I572" i="2"/>
  <c r="E572" i="6" s="1"/>
  <c r="I573" i="2"/>
  <c r="E573" i="6" s="1"/>
  <c r="I574" i="2"/>
  <c r="E574" i="6" s="1"/>
  <c r="I575" i="2"/>
  <c r="E575" i="6" s="1"/>
  <c r="I576" i="2"/>
  <c r="E576" i="6" s="1"/>
  <c r="I577" i="2"/>
  <c r="E577" i="6" s="1"/>
  <c r="I578" i="2"/>
  <c r="E578" i="6" s="1"/>
  <c r="I579" i="2"/>
  <c r="E579" i="6" s="1"/>
  <c r="I580" i="2"/>
  <c r="E580" i="6" s="1"/>
  <c r="I581" i="2"/>
  <c r="E581" i="6" s="1"/>
  <c r="I582" i="2"/>
  <c r="E582" i="6" s="1"/>
  <c r="I583" i="2"/>
  <c r="E583" i="6" s="1"/>
  <c r="I584" i="2"/>
  <c r="E584" i="6" s="1"/>
  <c r="I585" i="2"/>
  <c r="E585" i="6" s="1"/>
  <c r="I586" i="2"/>
  <c r="E586" i="6" s="1"/>
  <c r="I587" i="2"/>
  <c r="E587" i="6" s="1"/>
  <c r="I588" i="2"/>
  <c r="E588" i="6" s="1"/>
  <c r="I589" i="2"/>
  <c r="E589" i="6" s="1"/>
  <c r="I590" i="2"/>
  <c r="E590" i="6" s="1"/>
  <c r="I591" i="2"/>
  <c r="E591" i="6" s="1"/>
  <c r="I592" i="2"/>
  <c r="E592" i="6" s="1"/>
  <c r="I593" i="2"/>
  <c r="E593" i="6" s="1"/>
  <c r="I594" i="2"/>
  <c r="E594" i="6" s="1"/>
  <c r="I595" i="2"/>
  <c r="E595" i="6" s="1"/>
  <c r="I596" i="2"/>
  <c r="E596" i="6" s="1"/>
  <c r="I597" i="2"/>
  <c r="E597" i="6" s="1"/>
  <c r="I598" i="2"/>
  <c r="E598" i="6" s="1"/>
  <c r="I599" i="2"/>
  <c r="E599" i="6" s="1"/>
  <c r="I600" i="2"/>
  <c r="E600" i="6" s="1"/>
  <c r="I601" i="2"/>
  <c r="E601" i="6" s="1"/>
  <c r="I602" i="2"/>
  <c r="E602" i="6" s="1"/>
  <c r="I603" i="2"/>
  <c r="E603" i="6" s="1"/>
  <c r="I604" i="2"/>
  <c r="E604" i="6" s="1"/>
  <c r="I605" i="2"/>
  <c r="E605" i="6" s="1"/>
  <c r="I606" i="2"/>
  <c r="E606" i="6" s="1"/>
  <c r="I607" i="2"/>
  <c r="E607" i="6" s="1"/>
  <c r="I608" i="2"/>
  <c r="E608" i="6" s="1"/>
  <c r="I609" i="2"/>
  <c r="E609" i="6" s="1"/>
  <c r="I610" i="2"/>
  <c r="E610" i="6" s="1"/>
  <c r="I611" i="2"/>
  <c r="E611" i="6" s="1"/>
  <c r="I612" i="2"/>
  <c r="E612" i="6" s="1"/>
  <c r="I613" i="2"/>
  <c r="E613" i="6" s="1"/>
  <c r="I614" i="2"/>
  <c r="E614" i="6" s="1"/>
  <c r="I615" i="2"/>
  <c r="E615" i="6" s="1"/>
  <c r="I616" i="2"/>
  <c r="E616" i="6" s="1"/>
  <c r="I617" i="2"/>
  <c r="E617" i="6" s="1"/>
  <c r="I618" i="2"/>
  <c r="E618" i="6" s="1"/>
  <c r="I619" i="2"/>
  <c r="E619" i="6" s="1"/>
  <c r="I620" i="2"/>
  <c r="E620" i="6" s="1"/>
  <c r="I621" i="2"/>
  <c r="E621" i="6" s="1"/>
  <c r="I622" i="2"/>
  <c r="E622" i="6" s="1"/>
  <c r="I623" i="2"/>
  <c r="E623" i="6" s="1"/>
  <c r="I624" i="2"/>
  <c r="E624" i="6" s="1"/>
  <c r="I625" i="2"/>
  <c r="E625" i="6" s="1"/>
  <c r="I626" i="2"/>
  <c r="E626" i="6" s="1"/>
  <c r="I627" i="2"/>
  <c r="E627" i="6" s="1"/>
  <c r="I628" i="2"/>
  <c r="E628" i="6" s="1"/>
  <c r="I629" i="2"/>
  <c r="E629" i="6" s="1"/>
  <c r="I630" i="2"/>
  <c r="E630" i="6" s="1"/>
  <c r="I631" i="2"/>
  <c r="E631" i="6" s="1"/>
  <c r="I632" i="2"/>
  <c r="E632" i="6" s="1"/>
  <c r="I633" i="2"/>
  <c r="E633" i="6" s="1"/>
  <c r="I634" i="2"/>
  <c r="E634" i="6" s="1"/>
  <c r="I635" i="2"/>
  <c r="E635" i="6" s="1"/>
  <c r="I636" i="2"/>
  <c r="E636" i="6" s="1"/>
  <c r="I637" i="2"/>
  <c r="E637" i="6" s="1"/>
  <c r="I638" i="2"/>
  <c r="E638" i="6" s="1"/>
  <c r="I639" i="2"/>
  <c r="E639" i="6" s="1"/>
  <c r="I640" i="2"/>
  <c r="E640" i="6" s="1"/>
  <c r="I641" i="2"/>
  <c r="E641" i="6" s="1"/>
  <c r="I642" i="2"/>
  <c r="E642" i="6" s="1"/>
  <c r="I643" i="2"/>
  <c r="E643" i="6" s="1"/>
  <c r="I644" i="2"/>
  <c r="E644" i="6" s="1"/>
  <c r="I645" i="2"/>
  <c r="E645" i="6" s="1"/>
  <c r="I646" i="2"/>
  <c r="E646" i="6" s="1"/>
  <c r="I647" i="2"/>
  <c r="E647" i="6" s="1"/>
  <c r="I648" i="2"/>
  <c r="E648" i="6" s="1"/>
  <c r="I649" i="2"/>
  <c r="E649" i="6" s="1"/>
  <c r="I650" i="2"/>
  <c r="E650" i="6" s="1"/>
  <c r="I651" i="2"/>
  <c r="E651" i="6" s="1"/>
  <c r="I652" i="2"/>
  <c r="E652" i="6" s="1"/>
  <c r="I653" i="2"/>
  <c r="E653" i="6" s="1"/>
  <c r="I654" i="2"/>
  <c r="E654" i="6" s="1"/>
  <c r="I655" i="2"/>
  <c r="E655" i="6" s="1"/>
  <c r="I656" i="2"/>
  <c r="E656" i="6" s="1"/>
  <c r="I657" i="2"/>
  <c r="E657" i="6" s="1"/>
  <c r="I658" i="2"/>
  <c r="E658" i="6" s="1"/>
  <c r="I659" i="2"/>
  <c r="E659" i="6" s="1"/>
  <c r="I660" i="2"/>
  <c r="E660" i="6" s="1"/>
  <c r="I661" i="2"/>
  <c r="E661" i="6" s="1"/>
  <c r="I662" i="2"/>
  <c r="E662" i="6" s="1"/>
  <c r="I663" i="2"/>
  <c r="E663" i="6" s="1"/>
  <c r="I664" i="2"/>
  <c r="E664" i="6" s="1"/>
  <c r="I665" i="2"/>
  <c r="E665" i="6" s="1"/>
  <c r="I666" i="2"/>
  <c r="E666" i="6" s="1"/>
  <c r="I667" i="2"/>
  <c r="E667" i="6" s="1"/>
  <c r="I668" i="2"/>
  <c r="E668" i="6" s="1"/>
  <c r="I669" i="2"/>
  <c r="E669" i="6" s="1"/>
  <c r="I670" i="2"/>
  <c r="E670" i="6" s="1"/>
  <c r="I671" i="2"/>
  <c r="E671" i="6" s="1"/>
  <c r="I672" i="2"/>
  <c r="E672" i="6" s="1"/>
  <c r="I673" i="2"/>
  <c r="E673" i="6" s="1"/>
  <c r="I674" i="2"/>
  <c r="E674" i="6" s="1"/>
  <c r="I675" i="2"/>
  <c r="E675" i="6" s="1"/>
  <c r="I676" i="2"/>
  <c r="E676" i="6" s="1"/>
  <c r="I677" i="2"/>
  <c r="E677" i="6" s="1"/>
  <c r="I678" i="2"/>
  <c r="E678" i="6" s="1"/>
  <c r="I679" i="2"/>
  <c r="E679" i="6" s="1"/>
  <c r="I680" i="2"/>
  <c r="E680" i="6" s="1"/>
  <c r="I681" i="2"/>
  <c r="E681" i="6" s="1"/>
  <c r="I682" i="2"/>
  <c r="E682" i="6" s="1"/>
  <c r="I683" i="2"/>
  <c r="E683" i="6" s="1"/>
  <c r="I684" i="2"/>
  <c r="E684" i="6" s="1"/>
  <c r="I685" i="2"/>
  <c r="E685" i="6" s="1"/>
  <c r="I686" i="2"/>
  <c r="E686" i="6" s="1"/>
  <c r="I687" i="2"/>
  <c r="E687" i="6" s="1"/>
  <c r="I688" i="2"/>
  <c r="E688" i="6" s="1"/>
  <c r="I689" i="2"/>
  <c r="E689" i="6" s="1"/>
  <c r="I690" i="2"/>
  <c r="E690" i="6" s="1"/>
  <c r="I691" i="2"/>
  <c r="E691" i="6" s="1"/>
  <c r="I692" i="2"/>
  <c r="E692" i="6" s="1"/>
  <c r="I693" i="2"/>
  <c r="E693" i="6" s="1"/>
  <c r="I694" i="2"/>
  <c r="E694" i="6" s="1"/>
  <c r="I695" i="2"/>
  <c r="E695" i="6" s="1"/>
  <c r="I696" i="2"/>
  <c r="E696" i="6" s="1"/>
  <c r="I697" i="2"/>
  <c r="E697" i="6" s="1"/>
  <c r="I698" i="2"/>
  <c r="E698" i="6" s="1"/>
  <c r="I699" i="2"/>
  <c r="E699" i="6" s="1"/>
  <c r="I700" i="2"/>
  <c r="E700" i="6" s="1"/>
  <c r="I701" i="2"/>
  <c r="E701" i="6" s="1"/>
  <c r="I702" i="2"/>
  <c r="E702" i="6" s="1"/>
  <c r="I703" i="2"/>
  <c r="E703" i="6" s="1"/>
  <c r="I704" i="2"/>
  <c r="E704" i="6" s="1"/>
  <c r="I705" i="2"/>
  <c r="E705" i="6" s="1"/>
  <c r="I706" i="2"/>
  <c r="E706" i="6" s="1"/>
  <c r="I707" i="2"/>
  <c r="E707" i="6" s="1"/>
  <c r="I708" i="2"/>
  <c r="E708" i="6" s="1"/>
  <c r="I709" i="2"/>
  <c r="E709" i="6" s="1"/>
  <c r="I710" i="2"/>
  <c r="E710" i="6" s="1"/>
  <c r="I711" i="2"/>
  <c r="E711" i="6" s="1"/>
  <c r="I712" i="2"/>
  <c r="E712" i="6" s="1"/>
  <c r="I713" i="2"/>
  <c r="E713" i="6" s="1"/>
  <c r="I714" i="2"/>
  <c r="E714" i="6" s="1"/>
  <c r="I715" i="2"/>
  <c r="E715" i="6" s="1"/>
  <c r="I716" i="2"/>
  <c r="E716" i="6" s="1"/>
  <c r="I717" i="2"/>
  <c r="H3" i="2"/>
  <c r="D3" i="6" s="1"/>
  <c r="H4" i="2"/>
  <c r="D4" i="6" s="1"/>
  <c r="H5" i="2"/>
  <c r="D5" i="6" s="1"/>
  <c r="H6" i="2"/>
  <c r="D6" i="6" s="1"/>
  <c r="H7" i="2"/>
  <c r="D7" i="6" s="1"/>
  <c r="H8" i="2"/>
  <c r="D8" i="6" s="1"/>
  <c r="H9" i="2"/>
  <c r="D9" i="6" s="1"/>
  <c r="H10" i="2"/>
  <c r="H11" i="2"/>
  <c r="H12" i="2"/>
  <c r="D12" i="6" s="1"/>
  <c r="H13" i="2"/>
  <c r="H14" i="2"/>
  <c r="D14" i="6" s="1"/>
  <c r="H15" i="2"/>
  <c r="D15" i="6" s="1"/>
  <c r="H16" i="2"/>
  <c r="D16" i="6" s="1"/>
  <c r="H17" i="2"/>
  <c r="D17" i="6" s="1"/>
  <c r="H18" i="2"/>
  <c r="H19" i="2"/>
  <c r="D19" i="6" s="1"/>
  <c r="H20" i="2"/>
  <c r="D20" i="6" s="1"/>
  <c r="H21" i="2"/>
  <c r="D21" i="6" s="1"/>
  <c r="H22" i="2"/>
  <c r="H23" i="2"/>
  <c r="D23" i="6" s="1"/>
  <c r="H24" i="2"/>
  <c r="D24" i="6" s="1"/>
  <c r="H25" i="2"/>
  <c r="D25" i="6" s="1"/>
  <c r="H26" i="2"/>
  <c r="H27" i="2"/>
  <c r="D27" i="6" s="1"/>
  <c r="H28" i="2"/>
  <c r="D28" i="6" s="1"/>
  <c r="H29" i="2"/>
  <c r="D29" i="6" s="1"/>
  <c r="H30" i="2"/>
  <c r="D30" i="6" s="1"/>
  <c r="H31" i="2"/>
  <c r="D31" i="6" s="1"/>
  <c r="H32" i="2"/>
  <c r="D32" i="6" s="1"/>
  <c r="H33" i="2"/>
  <c r="D33" i="6" s="1"/>
  <c r="H34" i="2"/>
  <c r="D34" i="6" s="1"/>
  <c r="H35" i="2"/>
  <c r="D35" i="6" s="1"/>
  <c r="H36" i="2"/>
  <c r="D36" i="6" s="1"/>
  <c r="H37" i="2"/>
  <c r="D37" i="6" s="1"/>
  <c r="H38" i="2"/>
  <c r="D38" i="6" s="1"/>
  <c r="H39" i="2"/>
  <c r="D39" i="6" s="1"/>
  <c r="H40" i="2"/>
  <c r="D40" i="6" s="1"/>
  <c r="H41" i="2"/>
  <c r="D41" i="6" s="1"/>
  <c r="H42" i="2"/>
  <c r="D42" i="6" s="1"/>
  <c r="H43" i="2"/>
  <c r="D43" i="6" s="1"/>
  <c r="H44" i="2"/>
  <c r="D44" i="6" s="1"/>
  <c r="H45" i="2"/>
  <c r="D45" i="6" s="1"/>
  <c r="H46" i="2"/>
  <c r="D46" i="6" s="1"/>
  <c r="H47" i="2"/>
  <c r="D47" i="6" s="1"/>
  <c r="H48" i="2"/>
  <c r="D48" i="6" s="1"/>
  <c r="H49" i="2"/>
  <c r="D49" i="6" s="1"/>
  <c r="H50" i="2"/>
  <c r="D50" i="6" s="1"/>
  <c r="H51" i="2"/>
  <c r="D51" i="6" s="1"/>
  <c r="H52" i="2"/>
  <c r="D52" i="6" s="1"/>
  <c r="H53" i="2"/>
  <c r="D53" i="6" s="1"/>
  <c r="H54" i="2"/>
  <c r="D54" i="6" s="1"/>
  <c r="H55" i="2"/>
  <c r="D55" i="6" s="1"/>
  <c r="H56" i="2"/>
  <c r="D56" i="6" s="1"/>
  <c r="H57" i="2"/>
  <c r="D57" i="6" s="1"/>
  <c r="H58" i="2"/>
  <c r="D58" i="6" s="1"/>
  <c r="H59" i="2"/>
  <c r="D59" i="6" s="1"/>
  <c r="H60" i="2"/>
  <c r="D60" i="6" s="1"/>
  <c r="H61" i="2"/>
  <c r="D61" i="6" s="1"/>
  <c r="H62" i="2"/>
  <c r="D62" i="6" s="1"/>
  <c r="H63" i="2"/>
  <c r="D63" i="6" s="1"/>
  <c r="H64" i="2"/>
  <c r="D64" i="6" s="1"/>
  <c r="H65" i="2"/>
  <c r="D65" i="6" s="1"/>
  <c r="H66" i="2"/>
  <c r="D66" i="6" s="1"/>
  <c r="H67" i="2"/>
  <c r="D67" i="6" s="1"/>
  <c r="H68" i="2"/>
  <c r="D68" i="6" s="1"/>
  <c r="H69" i="2"/>
  <c r="D69" i="6" s="1"/>
  <c r="H70" i="2"/>
  <c r="D70" i="6" s="1"/>
  <c r="H71" i="2"/>
  <c r="D71" i="6" s="1"/>
  <c r="H72" i="2"/>
  <c r="D72" i="6" s="1"/>
  <c r="H73" i="2"/>
  <c r="D73" i="6" s="1"/>
  <c r="H74" i="2"/>
  <c r="D74" i="6" s="1"/>
  <c r="H75" i="2"/>
  <c r="D75" i="6" s="1"/>
  <c r="H76" i="2"/>
  <c r="D76" i="6" s="1"/>
  <c r="H77" i="2"/>
  <c r="D77" i="6" s="1"/>
  <c r="H78" i="2"/>
  <c r="D78" i="6" s="1"/>
  <c r="H79" i="2"/>
  <c r="D79" i="6" s="1"/>
  <c r="H80" i="2"/>
  <c r="D80" i="6" s="1"/>
  <c r="H81" i="2"/>
  <c r="D81" i="6" s="1"/>
  <c r="H82" i="2"/>
  <c r="D82" i="6" s="1"/>
  <c r="H83" i="2"/>
  <c r="D83" i="6" s="1"/>
  <c r="H84" i="2"/>
  <c r="D84" i="6" s="1"/>
  <c r="H85" i="2"/>
  <c r="D85" i="6" s="1"/>
  <c r="H86" i="2"/>
  <c r="D86" i="6" s="1"/>
  <c r="H87" i="2"/>
  <c r="D87" i="6" s="1"/>
  <c r="H88" i="2"/>
  <c r="D88" i="6" s="1"/>
  <c r="H89" i="2"/>
  <c r="D89" i="6" s="1"/>
  <c r="H90" i="2"/>
  <c r="D90" i="6" s="1"/>
  <c r="H91" i="2"/>
  <c r="D91" i="6" s="1"/>
  <c r="H92" i="2"/>
  <c r="D92" i="6" s="1"/>
  <c r="H93" i="2"/>
  <c r="D93" i="6" s="1"/>
  <c r="H94" i="2"/>
  <c r="D94" i="6" s="1"/>
  <c r="H95" i="2"/>
  <c r="D95" i="6" s="1"/>
  <c r="H96" i="2"/>
  <c r="D96" i="6" s="1"/>
  <c r="H97" i="2"/>
  <c r="D97" i="6" s="1"/>
  <c r="H98" i="2"/>
  <c r="D98" i="6" s="1"/>
  <c r="H99" i="2"/>
  <c r="D99" i="6" s="1"/>
  <c r="H100" i="2"/>
  <c r="D100" i="6" s="1"/>
  <c r="H101" i="2"/>
  <c r="D101" i="6" s="1"/>
  <c r="H102" i="2"/>
  <c r="D102" i="6" s="1"/>
  <c r="H103" i="2"/>
  <c r="D103" i="6" s="1"/>
  <c r="H104" i="2"/>
  <c r="D104" i="6" s="1"/>
  <c r="H105" i="2"/>
  <c r="D105" i="6" s="1"/>
  <c r="H106" i="2"/>
  <c r="D106" i="6" s="1"/>
  <c r="H107" i="2"/>
  <c r="D107" i="6" s="1"/>
  <c r="H108" i="2"/>
  <c r="D108" i="6" s="1"/>
  <c r="H109" i="2"/>
  <c r="D109" i="6" s="1"/>
  <c r="H110" i="2"/>
  <c r="D110" i="6" s="1"/>
  <c r="H111" i="2"/>
  <c r="D111" i="6" s="1"/>
  <c r="H112" i="2"/>
  <c r="D112" i="6" s="1"/>
  <c r="H113" i="2"/>
  <c r="D113" i="6" s="1"/>
  <c r="H114" i="2"/>
  <c r="D114" i="6" s="1"/>
  <c r="H115" i="2"/>
  <c r="D115" i="6" s="1"/>
  <c r="H116" i="2"/>
  <c r="D116" i="6" s="1"/>
  <c r="H117" i="2"/>
  <c r="D117" i="6" s="1"/>
  <c r="H118" i="2"/>
  <c r="D118" i="6" s="1"/>
  <c r="H119" i="2"/>
  <c r="D119" i="6" s="1"/>
  <c r="H120" i="2"/>
  <c r="D120" i="6" s="1"/>
  <c r="H121" i="2"/>
  <c r="D121" i="6" s="1"/>
  <c r="H122" i="2"/>
  <c r="D122" i="6" s="1"/>
  <c r="H123" i="2"/>
  <c r="D123" i="6" s="1"/>
  <c r="H124" i="2"/>
  <c r="D124" i="6" s="1"/>
  <c r="H125" i="2"/>
  <c r="D125" i="6" s="1"/>
  <c r="H126" i="2"/>
  <c r="D126" i="6" s="1"/>
  <c r="H127" i="2"/>
  <c r="D127" i="6" s="1"/>
  <c r="H128" i="2"/>
  <c r="D128" i="6" s="1"/>
  <c r="H129" i="2"/>
  <c r="D129" i="6" s="1"/>
  <c r="H130" i="2"/>
  <c r="D130" i="6" s="1"/>
  <c r="H131" i="2"/>
  <c r="D131" i="6" s="1"/>
  <c r="H132" i="2"/>
  <c r="D132" i="6" s="1"/>
  <c r="H133" i="2"/>
  <c r="D133" i="6" s="1"/>
  <c r="H134" i="2"/>
  <c r="D134" i="6" s="1"/>
  <c r="H135" i="2"/>
  <c r="D135" i="6" s="1"/>
  <c r="H136" i="2"/>
  <c r="D136" i="6" s="1"/>
  <c r="H137" i="2"/>
  <c r="D137" i="6" s="1"/>
  <c r="H138" i="2"/>
  <c r="D138" i="6" s="1"/>
  <c r="H139" i="2"/>
  <c r="D139" i="6" s="1"/>
  <c r="H140" i="2"/>
  <c r="D140" i="6" s="1"/>
  <c r="H141" i="2"/>
  <c r="D141" i="6" s="1"/>
  <c r="H142" i="2"/>
  <c r="D142" i="6" s="1"/>
  <c r="H143" i="2"/>
  <c r="D143" i="6" s="1"/>
  <c r="H144" i="2"/>
  <c r="D144" i="6" s="1"/>
  <c r="H145" i="2"/>
  <c r="D145" i="6" s="1"/>
  <c r="H146" i="2"/>
  <c r="D146" i="6" s="1"/>
  <c r="H147" i="2"/>
  <c r="D147" i="6" s="1"/>
  <c r="H148" i="2"/>
  <c r="D148" i="6" s="1"/>
  <c r="H149" i="2"/>
  <c r="D149" i="6" s="1"/>
  <c r="H150" i="2"/>
  <c r="D150" i="6" s="1"/>
  <c r="H151" i="2"/>
  <c r="D151" i="6" s="1"/>
  <c r="H152" i="2"/>
  <c r="D152" i="6" s="1"/>
  <c r="H153" i="2"/>
  <c r="D153" i="6" s="1"/>
  <c r="H154" i="2"/>
  <c r="D154" i="6" s="1"/>
  <c r="H155" i="2"/>
  <c r="D155" i="6" s="1"/>
  <c r="H156" i="2"/>
  <c r="D156" i="6" s="1"/>
  <c r="H157" i="2"/>
  <c r="D157" i="6" s="1"/>
  <c r="H158" i="2"/>
  <c r="D158" i="6" s="1"/>
  <c r="H159" i="2"/>
  <c r="D159" i="6" s="1"/>
  <c r="H160" i="2"/>
  <c r="D160" i="6" s="1"/>
  <c r="H161" i="2"/>
  <c r="D161" i="6" s="1"/>
  <c r="H162" i="2"/>
  <c r="D162" i="6" s="1"/>
  <c r="H163" i="2"/>
  <c r="D163" i="6" s="1"/>
  <c r="H164" i="2"/>
  <c r="D164" i="6" s="1"/>
  <c r="H165" i="2"/>
  <c r="D165" i="6" s="1"/>
  <c r="H166" i="2"/>
  <c r="D166" i="6" s="1"/>
  <c r="H167" i="2"/>
  <c r="D167" i="6" s="1"/>
  <c r="H168" i="2"/>
  <c r="D168" i="6" s="1"/>
  <c r="H169" i="2"/>
  <c r="D169" i="6" s="1"/>
  <c r="H170" i="2"/>
  <c r="D170" i="6" s="1"/>
  <c r="H171" i="2"/>
  <c r="D171" i="6" s="1"/>
  <c r="H172" i="2"/>
  <c r="D172" i="6" s="1"/>
  <c r="H173" i="2"/>
  <c r="D173" i="6" s="1"/>
  <c r="H174" i="2"/>
  <c r="D174" i="6" s="1"/>
  <c r="H175" i="2"/>
  <c r="D175" i="6" s="1"/>
  <c r="H176" i="2"/>
  <c r="D176" i="6" s="1"/>
  <c r="H177" i="2"/>
  <c r="D177" i="6" s="1"/>
  <c r="H178" i="2"/>
  <c r="D178" i="6" s="1"/>
  <c r="H179" i="2"/>
  <c r="D179" i="6" s="1"/>
  <c r="H180" i="2"/>
  <c r="D180" i="6" s="1"/>
  <c r="H181" i="2"/>
  <c r="D181" i="6" s="1"/>
  <c r="H182" i="2"/>
  <c r="D182" i="6" s="1"/>
  <c r="H183" i="2"/>
  <c r="D183" i="6" s="1"/>
  <c r="H184" i="2"/>
  <c r="D184" i="6" s="1"/>
  <c r="H185" i="2"/>
  <c r="D185" i="6" s="1"/>
  <c r="H186" i="2"/>
  <c r="D186" i="6" s="1"/>
  <c r="H187" i="2"/>
  <c r="D187" i="6" s="1"/>
  <c r="H188" i="2"/>
  <c r="D188" i="6" s="1"/>
  <c r="H189" i="2"/>
  <c r="D189" i="6" s="1"/>
  <c r="H190" i="2"/>
  <c r="D190" i="6" s="1"/>
  <c r="H191" i="2"/>
  <c r="D191" i="6" s="1"/>
  <c r="H192" i="2"/>
  <c r="D192" i="6" s="1"/>
  <c r="H193" i="2"/>
  <c r="D193" i="6" s="1"/>
  <c r="H194" i="2"/>
  <c r="D194" i="6" s="1"/>
  <c r="H195" i="2"/>
  <c r="D195" i="6" s="1"/>
  <c r="H196" i="2"/>
  <c r="D196" i="6" s="1"/>
  <c r="H197" i="2"/>
  <c r="D197" i="6" s="1"/>
  <c r="H198" i="2"/>
  <c r="D198" i="6" s="1"/>
  <c r="H199" i="2"/>
  <c r="D199" i="6" s="1"/>
  <c r="H200" i="2"/>
  <c r="D200" i="6" s="1"/>
  <c r="H201" i="2"/>
  <c r="D201" i="6" s="1"/>
  <c r="H202" i="2"/>
  <c r="D202" i="6" s="1"/>
  <c r="H203" i="2"/>
  <c r="D203" i="6" s="1"/>
  <c r="H204" i="2"/>
  <c r="D204" i="6" s="1"/>
  <c r="H205" i="2"/>
  <c r="D205" i="6" s="1"/>
  <c r="H206" i="2"/>
  <c r="D206" i="6" s="1"/>
  <c r="H207" i="2"/>
  <c r="D207" i="6" s="1"/>
  <c r="H208" i="2"/>
  <c r="D208" i="6" s="1"/>
  <c r="H209" i="2"/>
  <c r="D209" i="6" s="1"/>
  <c r="H210" i="2"/>
  <c r="D210" i="6" s="1"/>
  <c r="H211" i="2"/>
  <c r="D211" i="6" s="1"/>
  <c r="H212" i="2"/>
  <c r="D212" i="6" s="1"/>
  <c r="H213" i="2"/>
  <c r="D213" i="6" s="1"/>
  <c r="H214" i="2"/>
  <c r="D214" i="6" s="1"/>
  <c r="H215" i="2"/>
  <c r="D215" i="6" s="1"/>
  <c r="H216" i="2"/>
  <c r="D216" i="6" s="1"/>
  <c r="H217" i="2"/>
  <c r="D217" i="6" s="1"/>
  <c r="H218" i="2"/>
  <c r="D218" i="6" s="1"/>
  <c r="H219" i="2"/>
  <c r="D219" i="6" s="1"/>
  <c r="H220" i="2"/>
  <c r="D220" i="6" s="1"/>
  <c r="H221" i="2"/>
  <c r="D221" i="6" s="1"/>
  <c r="H222" i="2"/>
  <c r="D222" i="6" s="1"/>
  <c r="H223" i="2"/>
  <c r="D223" i="6" s="1"/>
  <c r="H224" i="2"/>
  <c r="D224" i="6" s="1"/>
  <c r="H225" i="2"/>
  <c r="D225" i="6" s="1"/>
  <c r="H226" i="2"/>
  <c r="D226" i="6" s="1"/>
  <c r="H227" i="2"/>
  <c r="D227" i="6" s="1"/>
  <c r="H228" i="2"/>
  <c r="D228" i="6" s="1"/>
  <c r="H229" i="2"/>
  <c r="D229" i="6" s="1"/>
  <c r="H230" i="2"/>
  <c r="D230" i="6" s="1"/>
  <c r="H231" i="2"/>
  <c r="D231" i="6" s="1"/>
  <c r="H232" i="2"/>
  <c r="D232" i="6" s="1"/>
  <c r="H233" i="2"/>
  <c r="D233" i="6" s="1"/>
  <c r="H234" i="2"/>
  <c r="D234" i="6" s="1"/>
  <c r="H235" i="2"/>
  <c r="D235" i="6" s="1"/>
  <c r="H236" i="2"/>
  <c r="D236" i="6" s="1"/>
  <c r="H237" i="2"/>
  <c r="D237" i="6" s="1"/>
  <c r="H238" i="2"/>
  <c r="D238" i="6" s="1"/>
  <c r="H239" i="2"/>
  <c r="D239" i="6" s="1"/>
  <c r="H240" i="2"/>
  <c r="D240" i="6" s="1"/>
  <c r="H241" i="2"/>
  <c r="D241" i="6" s="1"/>
  <c r="H242" i="2"/>
  <c r="D242" i="6" s="1"/>
  <c r="H243" i="2"/>
  <c r="D243" i="6" s="1"/>
  <c r="H244" i="2"/>
  <c r="D244" i="6" s="1"/>
  <c r="H245" i="2"/>
  <c r="D245" i="6" s="1"/>
  <c r="H246" i="2"/>
  <c r="D246" i="6" s="1"/>
  <c r="H247" i="2"/>
  <c r="D247" i="6" s="1"/>
  <c r="H248" i="2"/>
  <c r="D248" i="6" s="1"/>
  <c r="H249" i="2"/>
  <c r="D249" i="6" s="1"/>
  <c r="H250" i="2"/>
  <c r="D250" i="6" s="1"/>
  <c r="H251" i="2"/>
  <c r="D251" i="6" s="1"/>
  <c r="H252" i="2"/>
  <c r="D252" i="6" s="1"/>
  <c r="H253" i="2"/>
  <c r="D253" i="6" s="1"/>
  <c r="H254" i="2"/>
  <c r="D254" i="6" s="1"/>
  <c r="H255" i="2"/>
  <c r="D255" i="6" s="1"/>
  <c r="H256" i="2"/>
  <c r="D256" i="6" s="1"/>
  <c r="H257" i="2"/>
  <c r="D257" i="6" s="1"/>
  <c r="H258" i="2"/>
  <c r="D258" i="6" s="1"/>
  <c r="H259" i="2"/>
  <c r="D259" i="6" s="1"/>
  <c r="H260" i="2"/>
  <c r="D260" i="6" s="1"/>
  <c r="H261" i="2"/>
  <c r="D261" i="6" s="1"/>
  <c r="H262" i="2"/>
  <c r="D262" i="6" s="1"/>
  <c r="H263" i="2"/>
  <c r="D263" i="6" s="1"/>
  <c r="H264" i="2"/>
  <c r="D264" i="6" s="1"/>
  <c r="H265" i="2"/>
  <c r="D265" i="6" s="1"/>
  <c r="H266" i="2"/>
  <c r="D266" i="6" s="1"/>
  <c r="H267" i="2"/>
  <c r="D267" i="6" s="1"/>
  <c r="H268" i="2"/>
  <c r="D268" i="6" s="1"/>
  <c r="H269" i="2"/>
  <c r="D269" i="6" s="1"/>
  <c r="H270" i="2"/>
  <c r="D270" i="6" s="1"/>
  <c r="H271" i="2"/>
  <c r="H272" i="2"/>
  <c r="H273" i="2"/>
  <c r="D273" i="6" s="1"/>
  <c r="H274" i="2"/>
  <c r="H275" i="2"/>
  <c r="H276" i="2"/>
  <c r="D276" i="6" s="1"/>
  <c r="H277" i="2"/>
  <c r="D277" i="6" s="1"/>
  <c r="H278" i="2"/>
  <c r="D278" i="6" s="1"/>
  <c r="H279" i="2"/>
  <c r="D279" i="6" s="1"/>
  <c r="H280" i="2"/>
  <c r="H281" i="2"/>
  <c r="D281" i="6" s="1"/>
  <c r="H282" i="2"/>
  <c r="D282" i="6" s="1"/>
  <c r="H283" i="2"/>
  <c r="D283" i="6" s="1"/>
  <c r="H284" i="2"/>
  <c r="D284" i="6" s="1"/>
  <c r="H285" i="2"/>
  <c r="D285" i="6" s="1"/>
  <c r="H286" i="2"/>
  <c r="D286" i="6" s="1"/>
  <c r="H287" i="2"/>
  <c r="D287" i="6" s="1"/>
  <c r="H288" i="2"/>
  <c r="D288" i="6" s="1"/>
  <c r="H289" i="2"/>
  <c r="D289" i="6" s="1"/>
  <c r="H290" i="2"/>
  <c r="D290" i="6" s="1"/>
  <c r="H291" i="2"/>
  <c r="H292" i="2"/>
  <c r="D292" i="6" s="1"/>
  <c r="H293" i="2"/>
  <c r="H294" i="2"/>
  <c r="D294" i="6" s="1"/>
  <c r="H295" i="2"/>
  <c r="D295" i="6" s="1"/>
  <c r="H296" i="2"/>
  <c r="D296" i="6" s="1"/>
  <c r="H297" i="2"/>
  <c r="D297" i="6" s="1"/>
  <c r="H298" i="2"/>
  <c r="H299" i="2"/>
  <c r="H300" i="2"/>
  <c r="D300" i="6" s="1"/>
  <c r="H301" i="2"/>
  <c r="H302" i="2"/>
  <c r="D302" i="6" s="1"/>
  <c r="H303" i="2"/>
  <c r="D303" i="6" s="1"/>
  <c r="H304" i="2"/>
  <c r="D304" i="6" s="1"/>
  <c r="H305" i="2"/>
  <c r="D305" i="6" s="1"/>
  <c r="H306" i="2"/>
  <c r="D306" i="6" s="1"/>
  <c r="H307" i="2"/>
  <c r="D307" i="6" s="1"/>
  <c r="H308" i="2"/>
  <c r="H309" i="2"/>
  <c r="D309" i="6" s="1"/>
  <c r="H310" i="2"/>
  <c r="D310" i="6" s="1"/>
  <c r="H311" i="2"/>
  <c r="D311" i="6" s="1"/>
  <c r="H312" i="2"/>
  <c r="D312" i="6" s="1"/>
  <c r="H313" i="2"/>
  <c r="D313" i="6" s="1"/>
  <c r="H314" i="2"/>
  <c r="D314" i="6" s="1"/>
  <c r="H315" i="2"/>
  <c r="D315" i="6" s="1"/>
  <c r="H316" i="2"/>
  <c r="D316" i="6" s="1"/>
  <c r="H317" i="2"/>
  <c r="D317" i="6" s="1"/>
  <c r="H318" i="2"/>
  <c r="D318" i="6" s="1"/>
  <c r="H319" i="2"/>
  <c r="H320" i="2"/>
  <c r="H321" i="2"/>
  <c r="D321" i="6" s="1"/>
  <c r="H322" i="2"/>
  <c r="H323" i="2"/>
  <c r="D323" i="6" s="1"/>
  <c r="H324" i="2"/>
  <c r="D324" i="6" s="1"/>
  <c r="H325" i="2"/>
  <c r="D325" i="6" s="1"/>
  <c r="H326" i="2"/>
  <c r="H327" i="2"/>
  <c r="D327" i="6" s="1"/>
  <c r="H328" i="2"/>
  <c r="D328" i="6" s="1"/>
  <c r="H329" i="2"/>
  <c r="D329" i="6" s="1"/>
  <c r="H330" i="2"/>
  <c r="H331" i="2"/>
  <c r="D331" i="6" s="1"/>
  <c r="H332" i="2"/>
  <c r="D332" i="6" s="1"/>
  <c r="H333" i="2"/>
  <c r="D333" i="6" s="1"/>
  <c r="H334" i="2"/>
  <c r="H335" i="2"/>
  <c r="D335" i="6" s="1"/>
  <c r="H336" i="2"/>
  <c r="D336" i="6" s="1"/>
  <c r="H337" i="2"/>
  <c r="D337" i="6" s="1"/>
  <c r="H338" i="2"/>
  <c r="D338" i="6" s="1"/>
  <c r="H339" i="2"/>
  <c r="D339" i="6" s="1"/>
  <c r="H340" i="2"/>
  <c r="D340" i="6" s="1"/>
  <c r="H341" i="2"/>
  <c r="D341" i="6" s="1"/>
  <c r="H342" i="2"/>
  <c r="D342" i="6" s="1"/>
  <c r="H343" i="2"/>
  <c r="D343" i="6" s="1"/>
  <c r="H344" i="2"/>
  <c r="D344" i="6" s="1"/>
  <c r="H345" i="2"/>
  <c r="D345" i="6" s="1"/>
  <c r="H346" i="2"/>
  <c r="D346" i="6" s="1"/>
  <c r="H347" i="2"/>
  <c r="D347" i="6" s="1"/>
  <c r="H348" i="2"/>
  <c r="D348" i="6" s="1"/>
  <c r="H349" i="2"/>
  <c r="D349" i="6" s="1"/>
  <c r="H350" i="2"/>
  <c r="D350" i="6" s="1"/>
  <c r="H351" i="2"/>
  <c r="D351" i="6" s="1"/>
  <c r="H352" i="2"/>
  <c r="D352" i="6" s="1"/>
  <c r="H353" i="2"/>
  <c r="H354" i="2"/>
  <c r="D354" i="6" s="1"/>
  <c r="H355" i="2"/>
  <c r="H356" i="2"/>
  <c r="D356" i="6" s="1"/>
  <c r="H357" i="2"/>
  <c r="D357" i="6" s="1"/>
  <c r="H358" i="2"/>
  <c r="D358" i="6" s="1"/>
  <c r="H359" i="2"/>
  <c r="H360" i="2"/>
  <c r="H361" i="2"/>
  <c r="D361" i="6" s="1"/>
  <c r="H362" i="2"/>
  <c r="H363" i="2"/>
  <c r="H364" i="2"/>
  <c r="D364" i="6" s="1"/>
  <c r="H365" i="2"/>
  <c r="D365" i="6" s="1"/>
  <c r="H366" i="2"/>
  <c r="D366" i="6" s="1"/>
  <c r="H367" i="2"/>
  <c r="D367" i="6" s="1"/>
  <c r="H368" i="2"/>
  <c r="H369" i="2"/>
  <c r="D369" i="6" s="1"/>
  <c r="H370" i="2"/>
  <c r="D370" i="6" s="1"/>
  <c r="H371" i="2"/>
  <c r="D371" i="6" s="1"/>
  <c r="H372" i="2"/>
  <c r="D372" i="6" s="1"/>
  <c r="H373" i="2"/>
  <c r="D373" i="6" s="1"/>
  <c r="H374" i="2"/>
  <c r="D374" i="6" s="1"/>
  <c r="H375" i="2"/>
  <c r="D375" i="6" s="1"/>
  <c r="H376" i="2"/>
  <c r="D376" i="6" s="1"/>
  <c r="H377" i="2"/>
  <c r="D377" i="6" s="1"/>
  <c r="H378" i="2"/>
  <c r="D378" i="6" s="1"/>
  <c r="H379" i="2"/>
  <c r="D379" i="6" s="1"/>
  <c r="H380" i="2"/>
  <c r="D380" i="6" s="1"/>
  <c r="H381" i="2"/>
  <c r="D381" i="6" s="1"/>
  <c r="H382" i="2"/>
  <c r="D382" i="6" s="1"/>
  <c r="H383" i="2"/>
  <c r="D383" i="6" s="1"/>
  <c r="H384" i="2"/>
  <c r="D384" i="6" s="1"/>
  <c r="H385" i="2"/>
  <c r="D385" i="6" s="1"/>
  <c r="H386" i="2"/>
  <c r="D386" i="6" s="1"/>
  <c r="H387" i="2"/>
  <c r="D387" i="6" s="1"/>
  <c r="H388" i="2"/>
  <c r="D388" i="6" s="1"/>
  <c r="H389" i="2"/>
  <c r="D389" i="6" s="1"/>
  <c r="H390" i="2"/>
  <c r="D390" i="6" s="1"/>
  <c r="H391" i="2"/>
  <c r="D391" i="6" s="1"/>
  <c r="H392" i="2"/>
  <c r="D392" i="6" s="1"/>
  <c r="H393" i="2"/>
  <c r="D393" i="6" s="1"/>
  <c r="H394" i="2"/>
  <c r="D394" i="6" s="1"/>
  <c r="H395" i="2"/>
  <c r="D395" i="6" s="1"/>
  <c r="H396" i="2"/>
  <c r="D396" i="6" s="1"/>
  <c r="H397" i="2"/>
  <c r="D397" i="6" s="1"/>
  <c r="H398" i="2"/>
  <c r="D398" i="6" s="1"/>
  <c r="H399" i="2"/>
  <c r="D399" i="6" s="1"/>
  <c r="H400" i="2"/>
  <c r="D400" i="6" s="1"/>
  <c r="H401" i="2"/>
  <c r="D401" i="6" s="1"/>
  <c r="H402" i="2"/>
  <c r="D402" i="6" s="1"/>
  <c r="H403" i="2"/>
  <c r="D403" i="6" s="1"/>
  <c r="H404" i="2"/>
  <c r="D404" i="6" s="1"/>
  <c r="H405" i="2"/>
  <c r="D405" i="6" s="1"/>
  <c r="H406" i="2"/>
  <c r="D406" i="6" s="1"/>
  <c r="H407" i="2"/>
  <c r="D407" i="6" s="1"/>
  <c r="H408" i="2"/>
  <c r="D408" i="6" s="1"/>
  <c r="H409" i="2"/>
  <c r="D409" i="6" s="1"/>
  <c r="H410" i="2"/>
  <c r="D410" i="6" s="1"/>
  <c r="H411" i="2"/>
  <c r="D411" i="6" s="1"/>
  <c r="H412" i="2"/>
  <c r="D412" i="6" s="1"/>
  <c r="H413" i="2"/>
  <c r="D413" i="6" s="1"/>
  <c r="H414" i="2"/>
  <c r="D414" i="6" s="1"/>
  <c r="H415" i="2"/>
  <c r="D415" i="6" s="1"/>
  <c r="H416" i="2"/>
  <c r="D416" i="6" s="1"/>
  <c r="H417" i="2"/>
  <c r="D417" i="6" s="1"/>
  <c r="H418" i="2"/>
  <c r="D418" i="6" s="1"/>
  <c r="H419" i="2"/>
  <c r="D419" i="6" s="1"/>
  <c r="H420" i="2"/>
  <c r="D420" i="6" s="1"/>
  <c r="H421" i="2"/>
  <c r="D421" i="6" s="1"/>
  <c r="H422" i="2"/>
  <c r="D422" i="6" s="1"/>
  <c r="H423" i="2"/>
  <c r="D423" i="6" s="1"/>
  <c r="H424" i="2"/>
  <c r="D424" i="6" s="1"/>
  <c r="H425" i="2"/>
  <c r="D425" i="6" s="1"/>
  <c r="H426" i="2"/>
  <c r="D426" i="6" s="1"/>
  <c r="H427" i="2"/>
  <c r="D427" i="6" s="1"/>
  <c r="H428" i="2"/>
  <c r="D428" i="6" s="1"/>
  <c r="H429" i="2"/>
  <c r="D429" i="6" s="1"/>
  <c r="H430" i="2"/>
  <c r="D430" i="6" s="1"/>
  <c r="H431" i="2"/>
  <c r="D431" i="6" s="1"/>
  <c r="H432" i="2"/>
  <c r="D432" i="6" s="1"/>
  <c r="H433" i="2"/>
  <c r="D433" i="6" s="1"/>
  <c r="H434" i="2"/>
  <c r="D434" i="6" s="1"/>
  <c r="H435" i="2"/>
  <c r="D435" i="6" s="1"/>
  <c r="H436" i="2"/>
  <c r="D436" i="6" s="1"/>
  <c r="H437" i="2"/>
  <c r="D437" i="6" s="1"/>
  <c r="H438" i="2"/>
  <c r="D438" i="6" s="1"/>
  <c r="H439" i="2"/>
  <c r="D439" i="6" s="1"/>
  <c r="H440" i="2"/>
  <c r="D440" i="6" s="1"/>
  <c r="H441" i="2"/>
  <c r="D441" i="6" s="1"/>
  <c r="H442" i="2"/>
  <c r="D442" i="6" s="1"/>
  <c r="H443" i="2"/>
  <c r="D443" i="6" s="1"/>
  <c r="H444" i="2"/>
  <c r="D444" i="6" s="1"/>
  <c r="H445" i="2"/>
  <c r="D445" i="6" s="1"/>
  <c r="H446" i="2"/>
  <c r="D446" i="6" s="1"/>
  <c r="H447" i="2"/>
  <c r="D447" i="6" s="1"/>
  <c r="H448" i="2"/>
  <c r="D448" i="6" s="1"/>
  <c r="H449" i="2"/>
  <c r="D449" i="6" s="1"/>
  <c r="H450" i="2"/>
  <c r="D450" i="6" s="1"/>
  <c r="H451" i="2"/>
  <c r="D451" i="6" s="1"/>
  <c r="H452" i="2"/>
  <c r="D452" i="6" s="1"/>
  <c r="H453" i="2"/>
  <c r="D453" i="6" s="1"/>
  <c r="H454" i="2"/>
  <c r="D454" i="6" s="1"/>
  <c r="H455" i="2"/>
  <c r="D455" i="6" s="1"/>
  <c r="H456" i="2"/>
  <c r="D456" i="6" s="1"/>
  <c r="H457" i="2"/>
  <c r="D457" i="6" s="1"/>
  <c r="H458" i="2"/>
  <c r="D458" i="6" s="1"/>
  <c r="H459" i="2"/>
  <c r="D459" i="6" s="1"/>
  <c r="H460" i="2"/>
  <c r="D460" i="6" s="1"/>
  <c r="H461" i="2"/>
  <c r="D461" i="6" s="1"/>
  <c r="H462" i="2"/>
  <c r="D462" i="6" s="1"/>
  <c r="H463" i="2"/>
  <c r="D463" i="6" s="1"/>
  <c r="H464" i="2"/>
  <c r="D464" i="6" s="1"/>
  <c r="H465" i="2"/>
  <c r="D465" i="6" s="1"/>
  <c r="H466" i="2"/>
  <c r="D466" i="6" s="1"/>
  <c r="H467" i="2"/>
  <c r="D467" i="6" s="1"/>
  <c r="H468" i="2"/>
  <c r="D468" i="6" s="1"/>
  <c r="H469" i="2"/>
  <c r="D469" i="6" s="1"/>
  <c r="H470" i="2"/>
  <c r="D470" i="6" s="1"/>
  <c r="H471" i="2"/>
  <c r="D471" i="6" s="1"/>
  <c r="H472" i="2"/>
  <c r="D472" i="6" s="1"/>
  <c r="H473" i="2"/>
  <c r="D473" i="6" s="1"/>
  <c r="H474" i="2"/>
  <c r="D474" i="6" s="1"/>
  <c r="H475" i="2"/>
  <c r="D475" i="6" s="1"/>
  <c r="H476" i="2"/>
  <c r="D476" i="6" s="1"/>
  <c r="H477" i="2"/>
  <c r="D477" i="6" s="1"/>
  <c r="H478" i="2"/>
  <c r="D478" i="6" s="1"/>
  <c r="H479" i="2"/>
  <c r="D479" i="6" s="1"/>
  <c r="H480" i="2"/>
  <c r="D480" i="6" s="1"/>
  <c r="H481" i="2"/>
  <c r="D481" i="6" s="1"/>
  <c r="H482" i="2"/>
  <c r="D482" i="6" s="1"/>
  <c r="H483" i="2"/>
  <c r="D483" i="6" s="1"/>
  <c r="H484" i="2"/>
  <c r="D484" i="6" s="1"/>
  <c r="H485" i="2"/>
  <c r="D485" i="6" s="1"/>
  <c r="H486" i="2"/>
  <c r="D486" i="6" s="1"/>
  <c r="H487" i="2"/>
  <c r="D487" i="6" s="1"/>
  <c r="H488" i="2"/>
  <c r="D488" i="6" s="1"/>
  <c r="H489" i="2"/>
  <c r="D489" i="6" s="1"/>
  <c r="H490" i="2"/>
  <c r="D490" i="6" s="1"/>
  <c r="H491" i="2"/>
  <c r="D491" i="6" s="1"/>
  <c r="H492" i="2"/>
  <c r="D492" i="6" s="1"/>
  <c r="H493" i="2"/>
  <c r="D493" i="6" s="1"/>
  <c r="H494" i="2"/>
  <c r="D494" i="6" s="1"/>
  <c r="H495" i="2"/>
  <c r="D495" i="6" s="1"/>
  <c r="H496" i="2"/>
  <c r="D496" i="6" s="1"/>
  <c r="H497" i="2"/>
  <c r="D497" i="6" s="1"/>
  <c r="H498" i="2"/>
  <c r="D498" i="6" s="1"/>
  <c r="H499" i="2"/>
  <c r="D499" i="6" s="1"/>
  <c r="H500" i="2"/>
  <c r="D500" i="6" s="1"/>
  <c r="H501" i="2"/>
  <c r="D501" i="6" s="1"/>
  <c r="H502" i="2"/>
  <c r="D502" i="6" s="1"/>
  <c r="H503" i="2"/>
  <c r="D503" i="6" s="1"/>
  <c r="H504" i="2"/>
  <c r="D504" i="6" s="1"/>
  <c r="H505" i="2"/>
  <c r="D505" i="6" s="1"/>
  <c r="H506" i="2"/>
  <c r="D506" i="6" s="1"/>
  <c r="H507" i="2"/>
  <c r="D507" i="6" s="1"/>
  <c r="H508" i="2"/>
  <c r="D508" i="6" s="1"/>
  <c r="H509" i="2"/>
  <c r="D509" i="6" s="1"/>
  <c r="H510" i="2"/>
  <c r="D510" i="6" s="1"/>
  <c r="H511" i="2"/>
  <c r="D511" i="6" s="1"/>
  <c r="H512" i="2"/>
  <c r="D512" i="6" s="1"/>
  <c r="H513" i="2"/>
  <c r="D513" i="6" s="1"/>
  <c r="H514" i="2"/>
  <c r="D514" i="6" s="1"/>
  <c r="H515" i="2"/>
  <c r="D515" i="6" s="1"/>
  <c r="H516" i="2"/>
  <c r="D516" i="6" s="1"/>
  <c r="H517" i="2"/>
  <c r="D517" i="6" s="1"/>
  <c r="H518" i="2"/>
  <c r="D518" i="6" s="1"/>
  <c r="H519" i="2"/>
  <c r="D519" i="6" s="1"/>
  <c r="H520" i="2"/>
  <c r="D520" i="6" s="1"/>
  <c r="H521" i="2"/>
  <c r="D521" i="6" s="1"/>
  <c r="H522" i="2"/>
  <c r="D522" i="6" s="1"/>
  <c r="H523" i="2"/>
  <c r="D523" i="6" s="1"/>
  <c r="H524" i="2"/>
  <c r="D524" i="6" s="1"/>
  <c r="H525" i="2"/>
  <c r="D525" i="6" s="1"/>
  <c r="H526" i="2"/>
  <c r="D526" i="6" s="1"/>
  <c r="H527" i="2"/>
  <c r="D527" i="6" s="1"/>
  <c r="H528" i="2"/>
  <c r="D528" i="6" s="1"/>
  <c r="H529" i="2"/>
  <c r="D529" i="6" s="1"/>
  <c r="H530" i="2"/>
  <c r="D530" i="6" s="1"/>
  <c r="H531" i="2"/>
  <c r="D531" i="6" s="1"/>
  <c r="H532" i="2"/>
  <c r="D532" i="6" s="1"/>
  <c r="H533" i="2"/>
  <c r="D533" i="6" s="1"/>
  <c r="H534" i="2"/>
  <c r="D534" i="6" s="1"/>
  <c r="H535" i="2"/>
  <c r="D535" i="6" s="1"/>
  <c r="H536" i="2"/>
  <c r="D536" i="6" s="1"/>
  <c r="H537" i="2"/>
  <c r="D537" i="6" s="1"/>
  <c r="H538" i="2"/>
  <c r="D538" i="6" s="1"/>
  <c r="H539" i="2"/>
  <c r="D539" i="6" s="1"/>
  <c r="H540" i="2"/>
  <c r="D540" i="6" s="1"/>
  <c r="H541" i="2"/>
  <c r="D541" i="6" s="1"/>
  <c r="H542" i="2"/>
  <c r="D542" i="6" s="1"/>
  <c r="H543" i="2"/>
  <c r="D543" i="6" s="1"/>
  <c r="H544" i="2"/>
  <c r="D544" i="6" s="1"/>
  <c r="H545" i="2"/>
  <c r="D545" i="6" s="1"/>
  <c r="H546" i="2"/>
  <c r="D546" i="6" s="1"/>
  <c r="H547" i="2"/>
  <c r="D547" i="6" s="1"/>
  <c r="H548" i="2"/>
  <c r="D548" i="6" s="1"/>
  <c r="H549" i="2"/>
  <c r="D549" i="6" s="1"/>
  <c r="H550" i="2"/>
  <c r="D550" i="6" s="1"/>
  <c r="H551" i="2"/>
  <c r="D551" i="6" s="1"/>
  <c r="H552" i="2"/>
  <c r="D552" i="6" s="1"/>
  <c r="H553" i="2"/>
  <c r="D553" i="6" s="1"/>
  <c r="H554" i="2"/>
  <c r="D554" i="6" s="1"/>
  <c r="H555" i="2"/>
  <c r="D555" i="6" s="1"/>
  <c r="H556" i="2"/>
  <c r="D556" i="6" s="1"/>
  <c r="H557" i="2"/>
  <c r="D557" i="6" s="1"/>
  <c r="H558" i="2"/>
  <c r="D558" i="6" s="1"/>
  <c r="H559" i="2"/>
  <c r="D559" i="6" s="1"/>
  <c r="H560" i="2"/>
  <c r="D560" i="6" s="1"/>
  <c r="H561" i="2"/>
  <c r="D561" i="6" s="1"/>
  <c r="H562" i="2"/>
  <c r="D562" i="6" s="1"/>
  <c r="H563" i="2"/>
  <c r="D563" i="6" s="1"/>
  <c r="H564" i="2"/>
  <c r="D564" i="6" s="1"/>
  <c r="H565" i="2"/>
  <c r="D565" i="6" s="1"/>
  <c r="H566" i="2"/>
  <c r="D566" i="6" s="1"/>
  <c r="H567" i="2"/>
  <c r="D567" i="6" s="1"/>
  <c r="H568" i="2"/>
  <c r="D568" i="6" s="1"/>
  <c r="H569" i="2"/>
  <c r="D569" i="6" s="1"/>
  <c r="H570" i="2"/>
  <c r="D570" i="6" s="1"/>
  <c r="H571" i="2"/>
  <c r="D571" i="6" s="1"/>
  <c r="H572" i="2"/>
  <c r="D572" i="6" s="1"/>
  <c r="H573" i="2"/>
  <c r="D573" i="6" s="1"/>
  <c r="H574" i="2"/>
  <c r="D574" i="6" s="1"/>
  <c r="H575" i="2"/>
  <c r="D575" i="6" s="1"/>
  <c r="H576" i="2"/>
  <c r="D576" i="6" s="1"/>
  <c r="H577" i="2"/>
  <c r="D577" i="6" s="1"/>
  <c r="H578" i="2"/>
  <c r="D578" i="6" s="1"/>
  <c r="H579" i="2"/>
  <c r="D579" i="6" s="1"/>
  <c r="H580" i="2"/>
  <c r="D580" i="6" s="1"/>
  <c r="H581" i="2"/>
  <c r="D581" i="6" s="1"/>
  <c r="H582" i="2"/>
  <c r="D582" i="6" s="1"/>
  <c r="H583" i="2"/>
  <c r="D583" i="6" s="1"/>
  <c r="H584" i="2"/>
  <c r="D584" i="6" s="1"/>
  <c r="H585" i="2"/>
  <c r="D585" i="6" s="1"/>
  <c r="H586" i="2"/>
  <c r="D586" i="6" s="1"/>
  <c r="H587" i="2"/>
  <c r="D587" i="6" s="1"/>
  <c r="H588" i="2"/>
  <c r="D588" i="6" s="1"/>
  <c r="H589" i="2"/>
  <c r="D589" i="6" s="1"/>
  <c r="H590" i="2"/>
  <c r="D590" i="6" s="1"/>
  <c r="H591" i="2"/>
  <c r="D591" i="6" s="1"/>
  <c r="H592" i="2"/>
  <c r="D592" i="6" s="1"/>
  <c r="H593" i="2"/>
  <c r="D593" i="6" s="1"/>
  <c r="H594" i="2"/>
  <c r="D594" i="6" s="1"/>
  <c r="H595" i="2"/>
  <c r="D595" i="6" s="1"/>
  <c r="H596" i="2"/>
  <c r="D596" i="6" s="1"/>
  <c r="H597" i="2"/>
  <c r="D597" i="6" s="1"/>
  <c r="H598" i="2"/>
  <c r="D598" i="6" s="1"/>
  <c r="H599" i="2"/>
  <c r="D599" i="6" s="1"/>
  <c r="H600" i="2"/>
  <c r="D600" i="6" s="1"/>
  <c r="H601" i="2"/>
  <c r="D601" i="6" s="1"/>
  <c r="H602" i="2"/>
  <c r="D602" i="6" s="1"/>
  <c r="H603" i="2"/>
  <c r="D603" i="6" s="1"/>
  <c r="H604" i="2"/>
  <c r="D604" i="6" s="1"/>
  <c r="H605" i="2"/>
  <c r="D605" i="6" s="1"/>
  <c r="H606" i="2"/>
  <c r="D606" i="6" s="1"/>
  <c r="H607" i="2"/>
  <c r="D607" i="6" s="1"/>
  <c r="H608" i="2"/>
  <c r="D608" i="6" s="1"/>
  <c r="H609" i="2"/>
  <c r="D609" i="6" s="1"/>
  <c r="H610" i="2"/>
  <c r="D610" i="6" s="1"/>
  <c r="H611" i="2"/>
  <c r="D611" i="6" s="1"/>
  <c r="H612" i="2"/>
  <c r="D612" i="6" s="1"/>
  <c r="H613" i="2"/>
  <c r="D613" i="6" s="1"/>
  <c r="H614" i="2"/>
  <c r="D614" i="6" s="1"/>
  <c r="H615" i="2"/>
  <c r="D615" i="6" s="1"/>
  <c r="H616" i="2"/>
  <c r="D616" i="6" s="1"/>
  <c r="H617" i="2"/>
  <c r="D617" i="6" s="1"/>
  <c r="H618" i="2"/>
  <c r="D618" i="6" s="1"/>
  <c r="H619" i="2"/>
  <c r="D619" i="6" s="1"/>
  <c r="H620" i="2"/>
  <c r="D620" i="6" s="1"/>
  <c r="H621" i="2"/>
  <c r="D621" i="6" s="1"/>
  <c r="H622" i="2"/>
  <c r="D622" i="6" s="1"/>
  <c r="H623" i="2"/>
  <c r="D623" i="6" s="1"/>
  <c r="H624" i="2"/>
  <c r="D624" i="6" s="1"/>
  <c r="H625" i="2"/>
  <c r="D625" i="6" s="1"/>
  <c r="H626" i="2"/>
  <c r="D626" i="6" s="1"/>
  <c r="H627" i="2"/>
  <c r="D627" i="6" s="1"/>
  <c r="H628" i="2"/>
  <c r="D628" i="6" s="1"/>
  <c r="H629" i="2"/>
  <c r="D629" i="6" s="1"/>
  <c r="H630" i="2"/>
  <c r="D630" i="6" s="1"/>
  <c r="H631" i="2"/>
  <c r="D631" i="6" s="1"/>
  <c r="H632" i="2"/>
  <c r="D632" i="6" s="1"/>
  <c r="H633" i="2"/>
  <c r="D633" i="6" s="1"/>
  <c r="H634" i="2"/>
  <c r="D634" i="6" s="1"/>
  <c r="H635" i="2"/>
  <c r="D635" i="6" s="1"/>
  <c r="H636" i="2"/>
  <c r="D636" i="6" s="1"/>
  <c r="H637" i="2"/>
  <c r="D637" i="6" s="1"/>
  <c r="H638" i="2"/>
  <c r="D638" i="6" s="1"/>
  <c r="H639" i="2"/>
  <c r="D639" i="6" s="1"/>
  <c r="H640" i="2"/>
  <c r="D640" i="6" s="1"/>
  <c r="H641" i="2"/>
  <c r="D641" i="6" s="1"/>
  <c r="H642" i="2"/>
  <c r="D642" i="6" s="1"/>
  <c r="H643" i="2"/>
  <c r="D643" i="6" s="1"/>
  <c r="H644" i="2"/>
  <c r="D644" i="6" s="1"/>
  <c r="H645" i="2"/>
  <c r="D645" i="6" s="1"/>
  <c r="H646" i="2"/>
  <c r="D646" i="6" s="1"/>
  <c r="H647" i="2"/>
  <c r="D647" i="6" s="1"/>
  <c r="H648" i="2"/>
  <c r="D648" i="6" s="1"/>
  <c r="H649" i="2"/>
  <c r="D649" i="6" s="1"/>
  <c r="H650" i="2"/>
  <c r="D650" i="6" s="1"/>
  <c r="H651" i="2"/>
  <c r="D651" i="6" s="1"/>
  <c r="H652" i="2"/>
  <c r="D652" i="6" s="1"/>
  <c r="H653" i="2"/>
  <c r="D653" i="6" s="1"/>
  <c r="H654" i="2"/>
  <c r="D654" i="6" s="1"/>
  <c r="H655" i="2"/>
  <c r="D655" i="6" s="1"/>
  <c r="H656" i="2"/>
  <c r="D656" i="6" s="1"/>
  <c r="H657" i="2"/>
  <c r="D657" i="6" s="1"/>
  <c r="H658" i="2"/>
  <c r="D658" i="6" s="1"/>
  <c r="H659" i="2"/>
  <c r="D659" i="6" s="1"/>
  <c r="H660" i="2"/>
  <c r="D660" i="6" s="1"/>
  <c r="H661" i="2"/>
  <c r="D661" i="6" s="1"/>
  <c r="H662" i="2"/>
  <c r="D662" i="6" s="1"/>
  <c r="H663" i="2"/>
  <c r="D663" i="6" s="1"/>
  <c r="H664" i="2"/>
  <c r="D664" i="6" s="1"/>
  <c r="H665" i="2"/>
  <c r="D665" i="6" s="1"/>
  <c r="H666" i="2"/>
  <c r="D666" i="6" s="1"/>
  <c r="H667" i="2"/>
  <c r="D667" i="6" s="1"/>
  <c r="H668" i="2"/>
  <c r="D668" i="6" s="1"/>
  <c r="H669" i="2"/>
  <c r="D669" i="6" s="1"/>
  <c r="H670" i="2"/>
  <c r="D670" i="6" s="1"/>
  <c r="H671" i="2"/>
  <c r="D671" i="6" s="1"/>
  <c r="H672" i="2"/>
  <c r="D672" i="6" s="1"/>
  <c r="H673" i="2"/>
  <c r="D673" i="6" s="1"/>
  <c r="H674" i="2"/>
  <c r="D674" i="6" s="1"/>
  <c r="H675" i="2"/>
  <c r="D675" i="6" s="1"/>
  <c r="H676" i="2"/>
  <c r="D676" i="6" s="1"/>
  <c r="H677" i="2"/>
  <c r="D677" i="6" s="1"/>
  <c r="H678" i="2"/>
  <c r="D678" i="6" s="1"/>
  <c r="H679" i="2"/>
  <c r="D679" i="6" s="1"/>
  <c r="H680" i="2"/>
  <c r="D680" i="6" s="1"/>
  <c r="H681" i="2"/>
  <c r="D681" i="6" s="1"/>
  <c r="H682" i="2"/>
  <c r="D682" i="6" s="1"/>
  <c r="H683" i="2"/>
  <c r="D683" i="6" s="1"/>
  <c r="H684" i="2"/>
  <c r="D684" i="6" s="1"/>
  <c r="H685" i="2"/>
  <c r="D685" i="6" s="1"/>
  <c r="H686" i="2"/>
  <c r="D686" i="6" s="1"/>
  <c r="H687" i="2"/>
  <c r="D687" i="6" s="1"/>
  <c r="H688" i="2"/>
  <c r="D688" i="6" s="1"/>
  <c r="H689" i="2"/>
  <c r="D689" i="6" s="1"/>
  <c r="H690" i="2"/>
  <c r="D690" i="6" s="1"/>
  <c r="H691" i="2"/>
  <c r="D691" i="6" s="1"/>
  <c r="H692" i="2"/>
  <c r="D692" i="6" s="1"/>
  <c r="H693" i="2"/>
  <c r="D693" i="6" s="1"/>
  <c r="H694" i="2"/>
  <c r="D694" i="6" s="1"/>
  <c r="H695" i="2"/>
  <c r="D695" i="6" s="1"/>
  <c r="H696" i="2"/>
  <c r="D696" i="6" s="1"/>
  <c r="H697" i="2"/>
  <c r="D697" i="6" s="1"/>
  <c r="H698" i="2"/>
  <c r="D698" i="6" s="1"/>
  <c r="H699" i="2"/>
  <c r="D699" i="6" s="1"/>
  <c r="H700" i="2"/>
  <c r="D700" i="6" s="1"/>
  <c r="H701" i="2"/>
  <c r="D701" i="6" s="1"/>
  <c r="H702" i="2"/>
  <c r="D702" i="6" s="1"/>
  <c r="H703" i="2"/>
  <c r="D703" i="6" s="1"/>
  <c r="H704" i="2"/>
  <c r="D704" i="6" s="1"/>
  <c r="H705" i="2"/>
  <c r="D705" i="6" s="1"/>
  <c r="H706" i="2"/>
  <c r="D706" i="6" s="1"/>
  <c r="H707" i="2"/>
  <c r="D707" i="6" s="1"/>
  <c r="H708" i="2"/>
  <c r="D708" i="6" s="1"/>
  <c r="H709" i="2"/>
  <c r="D709" i="6" s="1"/>
  <c r="H710" i="2"/>
  <c r="D710" i="6" s="1"/>
  <c r="H711" i="2"/>
  <c r="D711" i="6" s="1"/>
  <c r="H712" i="2"/>
  <c r="D712" i="6" s="1"/>
  <c r="H713" i="2"/>
  <c r="D713" i="6" s="1"/>
  <c r="H714" i="2"/>
  <c r="D714" i="6" s="1"/>
  <c r="H715" i="2"/>
  <c r="D715" i="6" s="1"/>
  <c r="H716" i="2"/>
  <c r="D716" i="6" s="1"/>
  <c r="H717" i="2"/>
  <c r="G3" i="2"/>
  <c r="C3" i="6" s="1"/>
  <c r="G4" i="2"/>
  <c r="C4" i="6" s="1"/>
  <c r="G5" i="2"/>
  <c r="C5" i="6" s="1"/>
  <c r="G6" i="2"/>
  <c r="C6" i="6" s="1"/>
  <c r="G7" i="2"/>
  <c r="C7" i="6" s="1"/>
  <c r="G8" i="2"/>
  <c r="C8" i="6" s="1"/>
  <c r="G9" i="2"/>
  <c r="C9" i="6" s="1"/>
  <c r="G10" i="2"/>
  <c r="C10" i="6" s="1"/>
  <c r="G11" i="2"/>
  <c r="C11" i="6" s="1"/>
  <c r="G12" i="2"/>
  <c r="C12" i="6" s="1"/>
  <c r="G13" i="2"/>
  <c r="C13" i="6" s="1"/>
  <c r="G14" i="2"/>
  <c r="C14" i="6" s="1"/>
  <c r="G15" i="2"/>
  <c r="C15" i="6" s="1"/>
  <c r="G16" i="2"/>
  <c r="C16" i="6" s="1"/>
  <c r="G17" i="2"/>
  <c r="C17" i="6" s="1"/>
  <c r="G18" i="2"/>
  <c r="C18" i="6" s="1"/>
  <c r="G19" i="2"/>
  <c r="C19" i="6" s="1"/>
  <c r="G20" i="2"/>
  <c r="C20" i="6" s="1"/>
  <c r="G21" i="2"/>
  <c r="C21" i="6" s="1"/>
  <c r="G22" i="2"/>
  <c r="C22" i="6" s="1"/>
  <c r="G23" i="2"/>
  <c r="C23" i="6" s="1"/>
  <c r="G24" i="2"/>
  <c r="C24" i="6" s="1"/>
  <c r="G25" i="2"/>
  <c r="C25" i="6" s="1"/>
  <c r="G26" i="2"/>
  <c r="C26" i="6" s="1"/>
  <c r="G27" i="2"/>
  <c r="C27" i="6" s="1"/>
  <c r="G28" i="2"/>
  <c r="C28" i="6" s="1"/>
  <c r="G29" i="2"/>
  <c r="C29" i="6" s="1"/>
  <c r="G30" i="2"/>
  <c r="C30" i="6" s="1"/>
  <c r="G31" i="2"/>
  <c r="C31" i="6" s="1"/>
  <c r="G32" i="2"/>
  <c r="C32" i="6" s="1"/>
  <c r="G33" i="2"/>
  <c r="C33" i="6" s="1"/>
  <c r="G34" i="2"/>
  <c r="C34" i="6" s="1"/>
  <c r="G35" i="2"/>
  <c r="C35" i="6" s="1"/>
  <c r="G36" i="2"/>
  <c r="C36" i="6" s="1"/>
  <c r="G37" i="2"/>
  <c r="C37" i="6" s="1"/>
  <c r="G38" i="2"/>
  <c r="C38" i="6" s="1"/>
  <c r="G39" i="2"/>
  <c r="C39" i="6" s="1"/>
  <c r="G40" i="2"/>
  <c r="C40" i="6" s="1"/>
  <c r="G41" i="2"/>
  <c r="C41" i="6" s="1"/>
  <c r="G42" i="2"/>
  <c r="C42" i="6" s="1"/>
  <c r="G43" i="2"/>
  <c r="C43" i="6" s="1"/>
  <c r="G44" i="2"/>
  <c r="C44" i="6" s="1"/>
  <c r="G45" i="2"/>
  <c r="C45" i="6" s="1"/>
  <c r="G46" i="2"/>
  <c r="C46" i="6" s="1"/>
  <c r="G47" i="2"/>
  <c r="C47" i="6" s="1"/>
  <c r="G48" i="2"/>
  <c r="C48" i="6" s="1"/>
  <c r="G49" i="2"/>
  <c r="C49" i="6" s="1"/>
  <c r="G50" i="2"/>
  <c r="C50" i="6" s="1"/>
  <c r="G51" i="2"/>
  <c r="C51" i="6" s="1"/>
  <c r="G52" i="2"/>
  <c r="C52" i="6" s="1"/>
  <c r="G53" i="2"/>
  <c r="C53" i="6" s="1"/>
  <c r="G54" i="2"/>
  <c r="C54" i="6" s="1"/>
  <c r="G55" i="2"/>
  <c r="C55" i="6" s="1"/>
  <c r="G56" i="2"/>
  <c r="C56" i="6" s="1"/>
  <c r="G57" i="2"/>
  <c r="C57" i="6" s="1"/>
  <c r="G58" i="2"/>
  <c r="C58" i="6" s="1"/>
  <c r="G59" i="2"/>
  <c r="C59" i="6" s="1"/>
  <c r="G60" i="2"/>
  <c r="C60" i="6" s="1"/>
  <c r="G61" i="2"/>
  <c r="C61" i="6" s="1"/>
  <c r="G62" i="2"/>
  <c r="C62" i="6" s="1"/>
  <c r="G63" i="2"/>
  <c r="C63" i="6" s="1"/>
  <c r="G64" i="2"/>
  <c r="C64" i="6" s="1"/>
  <c r="G65" i="2"/>
  <c r="C65" i="6" s="1"/>
  <c r="G66" i="2"/>
  <c r="C66" i="6" s="1"/>
  <c r="G67" i="2"/>
  <c r="C67" i="6" s="1"/>
  <c r="G68" i="2"/>
  <c r="C68" i="6" s="1"/>
  <c r="G69" i="2"/>
  <c r="C69" i="6" s="1"/>
  <c r="G70" i="2"/>
  <c r="C70" i="6" s="1"/>
  <c r="G71" i="2"/>
  <c r="C71" i="6" s="1"/>
  <c r="G72" i="2"/>
  <c r="C72" i="6" s="1"/>
  <c r="G73" i="2"/>
  <c r="C73" i="6" s="1"/>
  <c r="G74" i="2"/>
  <c r="C74" i="6" s="1"/>
  <c r="G75" i="2"/>
  <c r="C75" i="6" s="1"/>
  <c r="G76" i="2"/>
  <c r="C76" i="6" s="1"/>
  <c r="G77" i="2"/>
  <c r="C77" i="6" s="1"/>
  <c r="G78" i="2"/>
  <c r="C78" i="6" s="1"/>
  <c r="G79" i="2"/>
  <c r="C79" i="6" s="1"/>
  <c r="G80" i="2"/>
  <c r="C80" i="6" s="1"/>
  <c r="G81" i="2"/>
  <c r="C81" i="6" s="1"/>
  <c r="G82" i="2"/>
  <c r="C82" i="6" s="1"/>
  <c r="G83" i="2"/>
  <c r="C83" i="6" s="1"/>
  <c r="G84" i="2"/>
  <c r="C84" i="6" s="1"/>
  <c r="G85" i="2"/>
  <c r="C85" i="6" s="1"/>
  <c r="G86" i="2"/>
  <c r="C86" i="6" s="1"/>
  <c r="G87" i="2"/>
  <c r="C87" i="6" s="1"/>
  <c r="G88" i="2"/>
  <c r="C88" i="6" s="1"/>
  <c r="G89" i="2"/>
  <c r="C89" i="6" s="1"/>
  <c r="G90" i="2"/>
  <c r="C90" i="6" s="1"/>
  <c r="G91" i="2"/>
  <c r="C91" i="6" s="1"/>
  <c r="G92" i="2"/>
  <c r="C92" i="6" s="1"/>
  <c r="G93" i="2"/>
  <c r="C93" i="6" s="1"/>
  <c r="G94" i="2"/>
  <c r="C94" i="6" s="1"/>
  <c r="G95" i="2"/>
  <c r="C95" i="6" s="1"/>
  <c r="G96" i="2"/>
  <c r="C96" i="6" s="1"/>
  <c r="G97" i="2"/>
  <c r="C97" i="6" s="1"/>
  <c r="G98" i="2"/>
  <c r="C98" i="6" s="1"/>
  <c r="G99" i="2"/>
  <c r="C99" i="6" s="1"/>
  <c r="G100" i="2"/>
  <c r="C100" i="6" s="1"/>
  <c r="G101" i="2"/>
  <c r="C101" i="6" s="1"/>
  <c r="G102" i="2"/>
  <c r="C102" i="6" s="1"/>
  <c r="G103" i="2"/>
  <c r="C103" i="6" s="1"/>
  <c r="G104" i="2"/>
  <c r="C104" i="6" s="1"/>
  <c r="G105" i="2"/>
  <c r="C105" i="6" s="1"/>
  <c r="G106" i="2"/>
  <c r="C106" i="6" s="1"/>
  <c r="G107" i="2"/>
  <c r="C107" i="6" s="1"/>
  <c r="G108" i="2"/>
  <c r="C108" i="6" s="1"/>
  <c r="G109" i="2"/>
  <c r="C109" i="6" s="1"/>
  <c r="G110" i="2"/>
  <c r="C110" i="6" s="1"/>
  <c r="G111" i="2"/>
  <c r="C111" i="6" s="1"/>
  <c r="G112" i="2"/>
  <c r="C112" i="6" s="1"/>
  <c r="G113" i="2"/>
  <c r="C113" i="6" s="1"/>
  <c r="G114" i="2"/>
  <c r="C114" i="6" s="1"/>
  <c r="G115" i="2"/>
  <c r="C115" i="6" s="1"/>
  <c r="G116" i="2"/>
  <c r="C116" i="6" s="1"/>
  <c r="G117" i="2"/>
  <c r="C117" i="6" s="1"/>
  <c r="G118" i="2"/>
  <c r="C118" i="6" s="1"/>
  <c r="G119" i="2"/>
  <c r="C119" i="6" s="1"/>
  <c r="G120" i="2"/>
  <c r="C120" i="6" s="1"/>
  <c r="G121" i="2"/>
  <c r="C121" i="6" s="1"/>
  <c r="G122" i="2"/>
  <c r="C122" i="6" s="1"/>
  <c r="G123" i="2"/>
  <c r="C123" i="6" s="1"/>
  <c r="G124" i="2"/>
  <c r="C124" i="6" s="1"/>
  <c r="G125" i="2"/>
  <c r="C125" i="6" s="1"/>
  <c r="G126" i="2"/>
  <c r="C126" i="6" s="1"/>
  <c r="G127" i="2"/>
  <c r="C127" i="6" s="1"/>
  <c r="G128" i="2"/>
  <c r="C128" i="6" s="1"/>
  <c r="G129" i="2"/>
  <c r="C129" i="6" s="1"/>
  <c r="G130" i="2"/>
  <c r="C130" i="6" s="1"/>
  <c r="G131" i="2"/>
  <c r="C131" i="6" s="1"/>
  <c r="G132" i="2"/>
  <c r="C132" i="6" s="1"/>
  <c r="G133" i="2"/>
  <c r="C133" i="6" s="1"/>
  <c r="G134" i="2"/>
  <c r="C134" i="6" s="1"/>
  <c r="G135" i="2"/>
  <c r="C135" i="6" s="1"/>
  <c r="G136" i="2"/>
  <c r="C136" i="6" s="1"/>
  <c r="G137" i="2"/>
  <c r="C137" i="6" s="1"/>
  <c r="G138" i="2"/>
  <c r="C138" i="6" s="1"/>
  <c r="G139" i="2"/>
  <c r="C139" i="6" s="1"/>
  <c r="G140" i="2"/>
  <c r="C140" i="6" s="1"/>
  <c r="G141" i="2"/>
  <c r="C141" i="6" s="1"/>
  <c r="G142" i="2"/>
  <c r="C142" i="6" s="1"/>
  <c r="G143" i="2"/>
  <c r="C143" i="6" s="1"/>
  <c r="G144" i="2"/>
  <c r="C144" i="6" s="1"/>
  <c r="G145" i="2"/>
  <c r="C145" i="6" s="1"/>
  <c r="G146" i="2"/>
  <c r="C146" i="6" s="1"/>
  <c r="G147" i="2"/>
  <c r="C147" i="6" s="1"/>
  <c r="G148" i="2"/>
  <c r="C148" i="6" s="1"/>
  <c r="G149" i="2"/>
  <c r="C149" i="6" s="1"/>
  <c r="G150" i="2"/>
  <c r="C150" i="6" s="1"/>
  <c r="G151" i="2"/>
  <c r="C151" i="6" s="1"/>
  <c r="G152" i="2"/>
  <c r="C152" i="6" s="1"/>
  <c r="G153" i="2"/>
  <c r="C153" i="6" s="1"/>
  <c r="G154" i="2"/>
  <c r="C154" i="6" s="1"/>
  <c r="G155" i="2"/>
  <c r="C155" i="6" s="1"/>
  <c r="G156" i="2"/>
  <c r="C156" i="6" s="1"/>
  <c r="G157" i="2"/>
  <c r="C157" i="6" s="1"/>
  <c r="G158" i="2"/>
  <c r="C158" i="6" s="1"/>
  <c r="G159" i="2"/>
  <c r="C159" i="6" s="1"/>
  <c r="G160" i="2"/>
  <c r="C160" i="6" s="1"/>
  <c r="G161" i="2"/>
  <c r="C161" i="6" s="1"/>
  <c r="G162" i="2"/>
  <c r="C162" i="6" s="1"/>
  <c r="G163" i="2"/>
  <c r="C163" i="6" s="1"/>
  <c r="G164" i="2"/>
  <c r="C164" i="6" s="1"/>
  <c r="G165" i="2"/>
  <c r="C165" i="6" s="1"/>
  <c r="G166" i="2"/>
  <c r="C166" i="6" s="1"/>
  <c r="G167" i="2"/>
  <c r="C167" i="6" s="1"/>
  <c r="G168" i="2"/>
  <c r="C168" i="6" s="1"/>
  <c r="G169" i="2"/>
  <c r="C169" i="6" s="1"/>
  <c r="G170" i="2"/>
  <c r="C170" i="6" s="1"/>
  <c r="G171" i="2"/>
  <c r="C171" i="6" s="1"/>
  <c r="G172" i="2"/>
  <c r="C172" i="6" s="1"/>
  <c r="G173" i="2"/>
  <c r="C173" i="6" s="1"/>
  <c r="G174" i="2"/>
  <c r="C174" i="6" s="1"/>
  <c r="G175" i="2"/>
  <c r="C175" i="6" s="1"/>
  <c r="G176" i="2"/>
  <c r="C176" i="6" s="1"/>
  <c r="G177" i="2"/>
  <c r="C177" i="6" s="1"/>
  <c r="G178" i="2"/>
  <c r="C178" i="6" s="1"/>
  <c r="G179" i="2"/>
  <c r="C179" i="6" s="1"/>
  <c r="G180" i="2"/>
  <c r="C180" i="6" s="1"/>
  <c r="G181" i="2"/>
  <c r="C181" i="6" s="1"/>
  <c r="G182" i="2"/>
  <c r="C182" i="6" s="1"/>
  <c r="G183" i="2"/>
  <c r="C183" i="6" s="1"/>
  <c r="G184" i="2"/>
  <c r="C184" i="6" s="1"/>
  <c r="G185" i="2"/>
  <c r="C185" i="6" s="1"/>
  <c r="G186" i="2"/>
  <c r="C186" i="6" s="1"/>
  <c r="G187" i="2"/>
  <c r="C187" i="6" s="1"/>
  <c r="G188" i="2"/>
  <c r="C188" i="6" s="1"/>
  <c r="G189" i="2"/>
  <c r="C189" i="6" s="1"/>
  <c r="G190" i="2"/>
  <c r="C190" i="6" s="1"/>
  <c r="G191" i="2"/>
  <c r="C191" i="6" s="1"/>
  <c r="G192" i="2"/>
  <c r="C192" i="6" s="1"/>
  <c r="G193" i="2"/>
  <c r="C193" i="6" s="1"/>
  <c r="G194" i="2"/>
  <c r="C194" i="6" s="1"/>
  <c r="G195" i="2"/>
  <c r="C195" i="6" s="1"/>
  <c r="G196" i="2"/>
  <c r="C196" i="6" s="1"/>
  <c r="G197" i="2"/>
  <c r="C197" i="6" s="1"/>
  <c r="G198" i="2"/>
  <c r="C198" i="6" s="1"/>
  <c r="G199" i="2"/>
  <c r="C199" i="6" s="1"/>
  <c r="G200" i="2"/>
  <c r="C200" i="6" s="1"/>
  <c r="G201" i="2"/>
  <c r="C201" i="6" s="1"/>
  <c r="G202" i="2"/>
  <c r="C202" i="6" s="1"/>
  <c r="G203" i="2"/>
  <c r="C203" i="6" s="1"/>
  <c r="G204" i="2"/>
  <c r="C204" i="6" s="1"/>
  <c r="G205" i="2"/>
  <c r="C205" i="6" s="1"/>
  <c r="G206" i="2"/>
  <c r="C206" i="6" s="1"/>
  <c r="G207" i="2"/>
  <c r="C207" i="6" s="1"/>
  <c r="G208" i="2"/>
  <c r="C208" i="6" s="1"/>
  <c r="G209" i="2"/>
  <c r="C209" i="6" s="1"/>
  <c r="G210" i="2"/>
  <c r="C210" i="6" s="1"/>
  <c r="G211" i="2"/>
  <c r="C211" i="6" s="1"/>
  <c r="G212" i="2"/>
  <c r="C212" i="6" s="1"/>
  <c r="G213" i="2"/>
  <c r="C213" i="6" s="1"/>
  <c r="G214" i="2"/>
  <c r="C214" i="6" s="1"/>
  <c r="G215" i="2"/>
  <c r="C215" i="6" s="1"/>
  <c r="G216" i="2"/>
  <c r="C216" i="6" s="1"/>
  <c r="G217" i="2"/>
  <c r="C217" i="6" s="1"/>
  <c r="G218" i="2"/>
  <c r="C218" i="6" s="1"/>
  <c r="G219" i="2"/>
  <c r="C219" i="6" s="1"/>
  <c r="G220" i="2"/>
  <c r="C220" i="6" s="1"/>
  <c r="G221" i="2"/>
  <c r="C221" i="6" s="1"/>
  <c r="G222" i="2"/>
  <c r="C222" i="6" s="1"/>
  <c r="G223" i="2"/>
  <c r="C223" i="6" s="1"/>
  <c r="G224" i="2"/>
  <c r="C224" i="6" s="1"/>
  <c r="G225" i="2"/>
  <c r="C225" i="6" s="1"/>
  <c r="G226" i="2"/>
  <c r="C226" i="6" s="1"/>
  <c r="G227" i="2"/>
  <c r="C227" i="6" s="1"/>
  <c r="G228" i="2"/>
  <c r="C228" i="6" s="1"/>
  <c r="G229" i="2"/>
  <c r="C229" i="6" s="1"/>
  <c r="G230" i="2"/>
  <c r="C230" i="6" s="1"/>
  <c r="G231" i="2"/>
  <c r="C231" i="6" s="1"/>
  <c r="G232" i="2"/>
  <c r="C232" i="6" s="1"/>
  <c r="G233" i="2"/>
  <c r="C233" i="6" s="1"/>
  <c r="G234" i="2"/>
  <c r="C234" i="6" s="1"/>
  <c r="G235" i="2"/>
  <c r="C235" i="6" s="1"/>
  <c r="G236" i="2"/>
  <c r="C236" i="6" s="1"/>
  <c r="G237" i="2"/>
  <c r="C237" i="6" s="1"/>
  <c r="G238" i="2"/>
  <c r="C238" i="6" s="1"/>
  <c r="G239" i="2"/>
  <c r="C239" i="6" s="1"/>
  <c r="G240" i="2"/>
  <c r="C240" i="6" s="1"/>
  <c r="G241" i="2"/>
  <c r="C241" i="6" s="1"/>
  <c r="G242" i="2"/>
  <c r="C242" i="6" s="1"/>
  <c r="G243" i="2"/>
  <c r="C243" i="6" s="1"/>
  <c r="G244" i="2"/>
  <c r="C244" i="6" s="1"/>
  <c r="G245" i="2"/>
  <c r="C245" i="6" s="1"/>
  <c r="G246" i="2"/>
  <c r="C246" i="6" s="1"/>
  <c r="G247" i="2"/>
  <c r="C247" i="6" s="1"/>
  <c r="G248" i="2"/>
  <c r="C248" i="6" s="1"/>
  <c r="G249" i="2"/>
  <c r="C249" i="6" s="1"/>
  <c r="G250" i="2"/>
  <c r="C250" i="6" s="1"/>
  <c r="G251" i="2"/>
  <c r="C251" i="6" s="1"/>
  <c r="G252" i="2"/>
  <c r="C252" i="6" s="1"/>
  <c r="G253" i="2"/>
  <c r="C253" i="6" s="1"/>
  <c r="G254" i="2"/>
  <c r="C254" i="6" s="1"/>
  <c r="G255" i="2"/>
  <c r="C255" i="6" s="1"/>
  <c r="G256" i="2"/>
  <c r="C256" i="6" s="1"/>
  <c r="G257" i="2"/>
  <c r="C257" i="6" s="1"/>
  <c r="G258" i="2"/>
  <c r="C258" i="6" s="1"/>
  <c r="G259" i="2"/>
  <c r="C259" i="6" s="1"/>
  <c r="G260" i="2"/>
  <c r="C260" i="6" s="1"/>
  <c r="G261" i="2"/>
  <c r="C261" i="6" s="1"/>
  <c r="G262" i="2"/>
  <c r="C262" i="6" s="1"/>
  <c r="G263" i="2"/>
  <c r="C263" i="6" s="1"/>
  <c r="G264" i="2"/>
  <c r="C264" i="6" s="1"/>
  <c r="G265" i="2"/>
  <c r="C265" i="6" s="1"/>
  <c r="G266" i="2"/>
  <c r="C266" i="6" s="1"/>
  <c r="G267" i="2"/>
  <c r="C267" i="6" s="1"/>
  <c r="G268" i="2"/>
  <c r="C268" i="6" s="1"/>
  <c r="G269" i="2"/>
  <c r="C269" i="6" s="1"/>
  <c r="G270" i="2"/>
  <c r="C270" i="6" s="1"/>
  <c r="G271" i="2"/>
  <c r="C271" i="6" s="1"/>
  <c r="G272" i="2"/>
  <c r="C272" i="6" s="1"/>
  <c r="G273" i="2"/>
  <c r="C273" i="6" s="1"/>
  <c r="G274" i="2"/>
  <c r="C274" i="6" s="1"/>
  <c r="G275" i="2"/>
  <c r="C275" i="6" s="1"/>
  <c r="G276" i="2"/>
  <c r="C276" i="6" s="1"/>
  <c r="G277" i="2"/>
  <c r="C277" i="6" s="1"/>
  <c r="G278" i="2"/>
  <c r="C278" i="6" s="1"/>
  <c r="G279" i="2"/>
  <c r="C279" i="6" s="1"/>
  <c r="G280" i="2"/>
  <c r="C280" i="6" s="1"/>
  <c r="G281" i="2"/>
  <c r="C281" i="6" s="1"/>
  <c r="G282" i="2"/>
  <c r="C282" i="6" s="1"/>
  <c r="G283" i="2"/>
  <c r="C283" i="6" s="1"/>
  <c r="G284" i="2"/>
  <c r="C284" i="6" s="1"/>
  <c r="G285" i="2"/>
  <c r="C285" i="6" s="1"/>
  <c r="G286" i="2"/>
  <c r="C286" i="6" s="1"/>
  <c r="G287" i="2"/>
  <c r="C287" i="6" s="1"/>
  <c r="G288" i="2"/>
  <c r="C288" i="6" s="1"/>
  <c r="G289" i="2"/>
  <c r="C289" i="6" s="1"/>
  <c r="G290" i="2"/>
  <c r="C290" i="6" s="1"/>
  <c r="G291" i="2"/>
  <c r="C291" i="6" s="1"/>
  <c r="G292" i="2"/>
  <c r="C292" i="6" s="1"/>
  <c r="G293" i="2"/>
  <c r="C293" i="6" s="1"/>
  <c r="G294" i="2"/>
  <c r="C294" i="6" s="1"/>
  <c r="G295" i="2"/>
  <c r="C295" i="6" s="1"/>
  <c r="G296" i="2"/>
  <c r="C296" i="6" s="1"/>
  <c r="G297" i="2"/>
  <c r="C297" i="6" s="1"/>
  <c r="G298" i="2"/>
  <c r="C298" i="6" s="1"/>
  <c r="G299" i="2"/>
  <c r="C299" i="6" s="1"/>
  <c r="G300" i="2"/>
  <c r="C300" i="6" s="1"/>
  <c r="G301" i="2"/>
  <c r="C301" i="6" s="1"/>
  <c r="G302" i="2"/>
  <c r="C302" i="6" s="1"/>
  <c r="G303" i="2"/>
  <c r="C303" i="6" s="1"/>
  <c r="G304" i="2"/>
  <c r="C304" i="6" s="1"/>
  <c r="G305" i="2"/>
  <c r="C305" i="6" s="1"/>
  <c r="G306" i="2"/>
  <c r="C306" i="6" s="1"/>
  <c r="G307" i="2"/>
  <c r="C307" i="6" s="1"/>
  <c r="G308" i="2"/>
  <c r="C308" i="6" s="1"/>
  <c r="G309" i="2"/>
  <c r="C309" i="6" s="1"/>
  <c r="G310" i="2"/>
  <c r="C310" i="6" s="1"/>
  <c r="G311" i="2"/>
  <c r="C311" i="6" s="1"/>
  <c r="G312" i="2"/>
  <c r="C312" i="6" s="1"/>
  <c r="G313" i="2"/>
  <c r="C313" i="6" s="1"/>
  <c r="G314" i="2"/>
  <c r="C314" i="6" s="1"/>
  <c r="G315" i="2"/>
  <c r="C315" i="6" s="1"/>
  <c r="G316" i="2"/>
  <c r="C316" i="6" s="1"/>
  <c r="G317" i="2"/>
  <c r="C317" i="6" s="1"/>
  <c r="G318" i="2"/>
  <c r="C318" i="6" s="1"/>
  <c r="G319" i="2"/>
  <c r="C319" i="6" s="1"/>
  <c r="G320" i="2"/>
  <c r="C320" i="6" s="1"/>
  <c r="G321" i="2"/>
  <c r="C321" i="6" s="1"/>
  <c r="G322" i="2"/>
  <c r="C322" i="6" s="1"/>
  <c r="G323" i="2"/>
  <c r="C323" i="6" s="1"/>
  <c r="G324" i="2"/>
  <c r="C324" i="6" s="1"/>
  <c r="G325" i="2"/>
  <c r="C325" i="6" s="1"/>
  <c r="G326" i="2"/>
  <c r="C326" i="6" s="1"/>
  <c r="G327" i="2"/>
  <c r="C327" i="6" s="1"/>
  <c r="G328" i="2"/>
  <c r="C328" i="6" s="1"/>
  <c r="G329" i="2"/>
  <c r="C329" i="6" s="1"/>
  <c r="G330" i="2"/>
  <c r="C330" i="6" s="1"/>
  <c r="G331" i="2"/>
  <c r="C331" i="6" s="1"/>
  <c r="G332" i="2"/>
  <c r="C332" i="6" s="1"/>
  <c r="G333" i="2"/>
  <c r="C333" i="6" s="1"/>
  <c r="G334" i="2"/>
  <c r="C334" i="6" s="1"/>
  <c r="G335" i="2"/>
  <c r="C335" i="6" s="1"/>
  <c r="G336" i="2"/>
  <c r="C336" i="6" s="1"/>
  <c r="G337" i="2"/>
  <c r="C337" i="6" s="1"/>
  <c r="G338" i="2"/>
  <c r="C338" i="6" s="1"/>
  <c r="G339" i="2"/>
  <c r="C339" i="6" s="1"/>
  <c r="G340" i="2"/>
  <c r="C340" i="6" s="1"/>
  <c r="G341" i="2"/>
  <c r="C341" i="6" s="1"/>
  <c r="G342" i="2"/>
  <c r="C342" i="6" s="1"/>
  <c r="G343" i="2"/>
  <c r="C343" i="6" s="1"/>
  <c r="G344" i="2"/>
  <c r="C344" i="6" s="1"/>
  <c r="G345" i="2"/>
  <c r="C345" i="6" s="1"/>
  <c r="G346" i="2"/>
  <c r="C346" i="6" s="1"/>
  <c r="G347" i="2"/>
  <c r="C347" i="6" s="1"/>
  <c r="G348" i="2"/>
  <c r="C348" i="6" s="1"/>
  <c r="G349" i="2"/>
  <c r="C349" i="6" s="1"/>
  <c r="G350" i="2"/>
  <c r="C350" i="6" s="1"/>
  <c r="G351" i="2"/>
  <c r="C351" i="6" s="1"/>
  <c r="G352" i="2"/>
  <c r="C352" i="6" s="1"/>
  <c r="G353" i="2"/>
  <c r="C353" i="6" s="1"/>
  <c r="G354" i="2"/>
  <c r="C354" i="6" s="1"/>
  <c r="G355" i="2"/>
  <c r="C355" i="6" s="1"/>
  <c r="G356" i="2"/>
  <c r="C356" i="6" s="1"/>
  <c r="G357" i="2"/>
  <c r="C357" i="6" s="1"/>
  <c r="G358" i="2"/>
  <c r="C358" i="6" s="1"/>
  <c r="G359" i="2"/>
  <c r="C359" i="6" s="1"/>
  <c r="G360" i="2"/>
  <c r="C360" i="6" s="1"/>
  <c r="G361" i="2"/>
  <c r="C361" i="6" s="1"/>
  <c r="G362" i="2"/>
  <c r="C362" i="6" s="1"/>
  <c r="G363" i="2"/>
  <c r="C363" i="6" s="1"/>
  <c r="G364" i="2"/>
  <c r="C364" i="6" s="1"/>
  <c r="G365" i="2"/>
  <c r="C365" i="6" s="1"/>
  <c r="G366" i="2"/>
  <c r="C366" i="6" s="1"/>
  <c r="G367" i="2"/>
  <c r="C367" i="6" s="1"/>
  <c r="G368" i="2"/>
  <c r="C368" i="6" s="1"/>
  <c r="G369" i="2"/>
  <c r="C369" i="6" s="1"/>
  <c r="G370" i="2"/>
  <c r="C370" i="6" s="1"/>
  <c r="G371" i="2"/>
  <c r="C371" i="6" s="1"/>
  <c r="G372" i="2"/>
  <c r="C372" i="6" s="1"/>
  <c r="G373" i="2"/>
  <c r="C373" i="6" s="1"/>
  <c r="G374" i="2"/>
  <c r="C374" i="6" s="1"/>
  <c r="G375" i="2"/>
  <c r="C375" i="6" s="1"/>
  <c r="G376" i="2"/>
  <c r="C376" i="6" s="1"/>
  <c r="G377" i="2"/>
  <c r="C377" i="6" s="1"/>
  <c r="G378" i="2"/>
  <c r="C378" i="6" s="1"/>
  <c r="G379" i="2"/>
  <c r="C379" i="6" s="1"/>
  <c r="G380" i="2"/>
  <c r="C380" i="6" s="1"/>
  <c r="G381" i="2"/>
  <c r="C381" i="6" s="1"/>
  <c r="G382" i="2"/>
  <c r="C382" i="6" s="1"/>
  <c r="G383" i="2"/>
  <c r="C383" i="6" s="1"/>
  <c r="G384" i="2"/>
  <c r="C384" i="6" s="1"/>
  <c r="G385" i="2"/>
  <c r="C385" i="6" s="1"/>
  <c r="G386" i="2"/>
  <c r="C386" i="6" s="1"/>
  <c r="G387" i="2"/>
  <c r="C387" i="6" s="1"/>
  <c r="G388" i="2"/>
  <c r="C388" i="6" s="1"/>
  <c r="G389" i="2"/>
  <c r="C389" i="6" s="1"/>
  <c r="G390" i="2"/>
  <c r="C390" i="6" s="1"/>
  <c r="G391" i="2"/>
  <c r="C391" i="6" s="1"/>
  <c r="G392" i="2"/>
  <c r="C392" i="6" s="1"/>
  <c r="G393" i="2"/>
  <c r="C393" i="6" s="1"/>
  <c r="G394" i="2"/>
  <c r="C394" i="6" s="1"/>
  <c r="G395" i="2"/>
  <c r="C395" i="6" s="1"/>
  <c r="G396" i="2"/>
  <c r="C396" i="6" s="1"/>
  <c r="G397" i="2"/>
  <c r="C397" i="6" s="1"/>
  <c r="G398" i="2"/>
  <c r="C398" i="6" s="1"/>
  <c r="G399" i="2"/>
  <c r="C399" i="6" s="1"/>
  <c r="G400" i="2"/>
  <c r="C400" i="6" s="1"/>
  <c r="G401" i="2"/>
  <c r="C401" i="6" s="1"/>
  <c r="G402" i="2"/>
  <c r="C402" i="6" s="1"/>
  <c r="G403" i="2"/>
  <c r="C403" i="6" s="1"/>
  <c r="G404" i="2"/>
  <c r="C404" i="6" s="1"/>
  <c r="G405" i="2"/>
  <c r="C405" i="6" s="1"/>
  <c r="G406" i="2"/>
  <c r="C406" i="6" s="1"/>
  <c r="G407" i="2"/>
  <c r="C407" i="6" s="1"/>
  <c r="G408" i="2"/>
  <c r="C408" i="6" s="1"/>
  <c r="G409" i="2"/>
  <c r="C409" i="6" s="1"/>
  <c r="G410" i="2"/>
  <c r="C410" i="6" s="1"/>
  <c r="G411" i="2"/>
  <c r="C411" i="6" s="1"/>
  <c r="G412" i="2"/>
  <c r="C412" i="6" s="1"/>
  <c r="G413" i="2"/>
  <c r="C413" i="6" s="1"/>
  <c r="G414" i="2"/>
  <c r="C414" i="6" s="1"/>
  <c r="G415" i="2"/>
  <c r="C415" i="6" s="1"/>
  <c r="G416" i="2"/>
  <c r="C416" i="6" s="1"/>
  <c r="G417" i="2"/>
  <c r="C417" i="6" s="1"/>
  <c r="G418" i="2"/>
  <c r="C418" i="6" s="1"/>
  <c r="G419" i="2"/>
  <c r="C419" i="6" s="1"/>
  <c r="G420" i="2"/>
  <c r="C420" i="6" s="1"/>
  <c r="G421" i="2"/>
  <c r="C421" i="6" s="1"/>
  <c r="G422" i="2"/>
  <c r="C422" i="6" s="1"/>
  <c r="G423" i="2"/>
  <c r="C423" i="6" s="1"/>
  <c r="G424" i="2"/>
  <c r="C424" i="6" s="1"/>
  <c r="G425" i="2"/>
  <c r="C425" i="6" s="1"/>
  <c r="G426" i="2"/>
  <c r="C426" i="6" s="1"/>
  <c r="G427" i="2"/>
  <c r="C427" i="6" s="1"/>
  <c r="G428" i="2"/>
  <c r="C428" i="6" s="1"/>
  <c r="G429" i="2"/>
  <c r="C429" i="6" s="1"/>
  <c r="G430" i="2"/>
  <c r="C430" i="6" s="1"/>
  <c r="G431" i="2"/>
  <c r="C431" i="6" s="1"/>
  <c r="G432" i="2"/>
  <c r="C432" i="6" s="1"/>
  <c r="G433" i="2"/>
  <c r="C433" i="6" s="1"/>
  <c r="G434" i="2"/>
  <c r="C434" i="6" s="1"/>
  <c r="G435" i="2"/>
  <c r="C435" i="6" s="1"/>
  <c r="G436" i="2"/>
  <c r="C436" i="6" s="1"/>
  <c r="G437" i="2"/>
  <c r="C437" i="6" s="1"/>
  <c r="G438" i="2"/>
  <c r="C438" i="6" s="1"/>
  <c r="G439" i="2"/>
  <c r="C439" i="6" s="1"/>
  <c r="G440" i="2"/>
  <c r="C440" i="6" s="1"/>
  <c r="G441" i="2"/>
  <c r="C441" i="6" s="1"/>
  <c r="G442" i="2"/>
  <c r="C442" i="6" s="1"/>
  <c r="G443" i="2"/>
  <c r="C443" i="6" s="1"/>
  <c r="G444" i="2"/>
  <c r="C444" i="6" s="1"/>
  <c r="G445" i="2"/>
  <c r="C445" i="6" s="1"/>
  <c r="G446" i="2"/>
  <c r="C446" i="6" s="1"/>
  <c r="G447" i="2"/>
  <c r="C447" i="6" s="1"/>
  <c r="G448" i="2"/>
  <c r="C448" i="6" s="1"/>
  <c r="G449" i="2"/>
  <c r="C449" i="6" s="1"/>
  <c r="G450" i="2"/>
  <c r="C450" i="6" s="1"/>
  <c r="G451" i="2"/>
  <c r="C451" i="6" s="1"/>
  <c r="G452" i="2"/>
  <c r="C452" i="6" s="1"/>
  <c r="G453" i="2"/>
  <c r="C453" i="6" s="1"/>
  <c r="G454" i="2"/>
  <c r="C454" i="6" s="1"/>
  <c r="G455" i="2"/>
  <c r="C455" i="6" s="1"/>
  <c r="G456" i="2"/>
  <c r="C456" i="6" s="1"/>
  <c r="G457" i="2"/>
  <c r="C457" i="6" s="1"/>
  <c r="G458" i="2"/>
  <c r="C458" i="6" s="1"/>
  <c r="G459" i="2"/>
  <c r="C459" i="6" s="1"/>
  <c r="G460" i="2"/>
  <c r="C460" i="6" s="1"/>
  <c r="G461" i="2"/>
  <c r="C461" i="6" s="1"/>
  <c r="G462" i="2"/>
  <c r="C462" i="6" s="1"/>
  <c r="G463" i="2"/>
  <c r="C463" i="6" s="1"/>
  <c r="G464" i="2"/>
  <c r="C464" i="6" s="1"/>
  <c r="G465" i="2"/>
  <c r="C465" i="6" s="1"/>
  <c r="G466" i="2"/>
  <c r="C466" i="6" s="1"/>
  <c r="G467" i="2"/>
  <c r="C467" i="6" s="1"/>
  <c r="G468" i="2"/>
  <c r="C468" i="6" s="1"/>
  <c r="G469" i="2"/>
  <c r="C469" i="6" s="1"/>
  <c r="G470" i="2"/>
  <c r="C470" i="6" s="1"/>
  <c r="G471" i="2"/>
  <c r="C471" i="6" s="1"/>
  <c r="G472" i="2"/>
  <c r="C472" i="6" s="1"/>
  <c r="G473" i="2"/>
  <c r="C473" i="6" s="1"/>
  <c r="G474" i="2"/>
  <c r="C474" i="6" s="1"/>
  <c r="G475" i="2"/>
  <c r="C475" i="6" s="1"/>
  <c r="G476" i="2"/>
  <c r="C476" i="6" s="1"/>
  <c r="G477" i="2"/>
  <c r="C477" i="6" s="1"/>
  <c r="G478" i="2"/>
  <c r="C478" i="6" s="1"/>
  <c r="G479" i="2"/>
  <c r="C479" i="6" s="1"/>
  <c r="G480" i="2"/>
  <c r="C480" i="6" s="1"/>
  <c r="G481" i="2"/>
  <c r="C481" i="6" s="1"/>
  <c r="G482" i="2"/>
  <c r="C482" i="6" s="1"/>
  <c r="G483" i="2"/>
  <c r="C483" i="6" s="1"/>
  <c r="G484" i="2"/>
  <c r="C484" i="6" s="1"/>
  <c r="G485" i="2"/>
  <c r="C485" i="6" s="1"/>
  <c r="G486" i="2"/>
  <c r="C486" i="6" s="1"/>
  <c r="G487" i="2"/>
  <c r="C487" i="6" s="1"/>
  <c r="G488" i="2"/>
  <c r="C488" i="6" s="1"/>
  <c r="G489" i="2"/>
  <c r="C489" i="6" s="1"/>
  <c r="G490" i="2"/>
  <c r="C490" i="6" s="1"/>
  <c r="G491" i="2"/>
  <c r="C491" i="6" s="1"/>
  <c r="G492" i="2"/>
  <c r="C492" i="6" s="1"/>
  <c r="G493" i="2"/>
  <c r="C493" i="6" s="1"/>
  <c r="G494" i="2"/>
  <c r="C494" i="6" s="1"/>
  <c r="G495" i="2"/>
  <c r="C495" i="6" s="1"/>
  <c r="G496" i="2"/>
  <c r="C496" i="6" s="1"/>
  <c r="G497" i="2"/>
  <c r="C497" i="6" s="1"/>
  <c r="G498" i="2"/>
  <c r="C498" i="6" s="1"/>
  <c r="G499" i="2"/>
  <c r="C499" i="6" s="1"/>
  <c r="G500" i="2"/>
  <c r="C500" i="6" s="1"/>
  <c r="G501" i="2"/>
  <c r="C501" i="6" s="1"/>
  <c r="G502" i="2"/>
  <c r="C502" i="6" s="1"/>
  <c r="G503" i="2"/>
  <c r="C503" i="6" s="1"/>
  <c r="G504" i="2"/>
  <c r="C504" i="6" s="1"/>
  <c r="G505" i="2"/>
  <c r="C505" i="6" s="1"/>
  <c r="G506" i="2"/>
  <c r="C506" i="6" s="1"/>
  <c r="G507" i="2"/>
  <c r="C507" i="6" s="1"/>
  <c r="G508" i="2"/>
  <c r="C508" i="6" s="1"/>
  <c r="G509" i="2"/>
  <c r="C509" i="6" s="1"/>
  <c r="G510" i="2"/>
  <c r="C510" i="6" s="1"/>
  <c r="G511" i="2"/>
  <c r="C511" i="6" s="1"/>
  <c r="G512" i="2"/>
  <c r="C512" i="6" s="1"/>
  <c r="G513" i="2"/>
  <c r="C513" i="6" s="1"/>
  <c r="G514" i="2"/>
  <c r="C514" i="6" s="1"/>
  <c r="G515" i="2"/>
  <c r="C515" i="6" s="1"/>
  <c r="G516" i="2"/>
  <c r="C516" i="6" s="1"/>
  <c r="G517" i="2"/>
  <c r="C517" i="6" s="1"/>
  <c r="G518" i="2"/>
  <c r="C518" i="6" s="1"/>
  <c r="G519" i="2"/>
  <c r="C519" i="6" s="1"/>
  <c r="G520" i="2"/>
  <c r="C520" i="6" s="1"/>
  <c r="G521" i="2"/>
  <c r="C521" i="6" s="1"/>
  <c r="G522" i="2"/>
  <c r="C522" i="6" s="1"/>
  <c r="G523" i="2"/>
  <c r="C523" i="6" s="1"/>
  <c r="G524" i="2"/>
  <c r="C524" i="6" s="1"/>
  <c r="G525" i="2"/>
  <c r="C525" i="6" s="1"/>
  <c r="G526" i="2"/>
  <c r="C526" i="6" s="1"/>
  <c r="G527" i="2"/>
  <c r="C527" i="6" s="1"/>
  <c r="G528" i="2"/>
  <c r="C528" i="6" s="1"/>
  <c r="G529" i="2"/>
  <c r="C529" i="6" s="1"/>
  <c r="G530" i="2"/>
  <c r="C530" i="6" s="1"/>
  <c r="G531" i="2"/>
  <c r="C531" i="6" s="1"/>
  <c r="G532" i="2"/>
  <c r="C532" i="6" s="1"/>
  <c r="G533" i="2"/>
  <c r="C533" i="6" s="1"/>
  <c r="G534" i="2"/>
  <c r="C534" i="6" s="1"/>
  <c r="G535" i="2"/>
  <c r="C535" i="6" s="1"/>
  <c r="G536" i="2"/>
  <c r="C536" i="6" s="1"/>
  <c r="G537" i="2"/>
  <c r="C537" i="6" s="1"/>
  <c r="G538" i="2"/>
  <c r="C538" i="6" s="1"/>
  <c r="G539" i="2"/>
  <c r="C539" i="6" s="1"/>
  <c r="G540" i="2"/>
  <c r="C540" i="6" s="1"/>
  <c r="G541" i="2"/>
  <c r="C541" i="6" s="1"/>
  <c r="G542" i="2"/>
  <c r="C542" i="6" s="1"/>
  <c r="G543" i="2"/>
  <c r="C543" i="6" s="1"/>
  <c r="G544" i="2"/>
  <c r="C544" i="6" s="1"/>
  <c r="G545" i="2"/>
  <c r="C545" i="6" s="1"/>
  <c r="G546" i="2"/>
  <c r="C546" i="6" s="1"/>
  <c r="G547" i="2"/>
  <c r="C547" i="6" s="1"/>
  <c r="G548" i="2"/>
  <c r="C548" i="6" s="1"/>
  <c r="G549" i="2"/>
  <c r="C549" i="6" s="1"/>
  <c r="G550" i="2"/>
  <c r="C550" i="6" s="1"/>
  <c r="G551" i="2"/>
  <c r="C551" i="6" s="1"/>
  <c r="G552" i="2"/>
  <c r="C552" i="6" s="1"/>
  <c r="G553" i="2"/>
  <c r="C553" i="6" s="1"/>
  <c r="G554" i="2"/>
  <c r="C554" i="6" s="1"/>
  <c r="G555" i="2"/>
  <c r="C555" i="6" s="1"/>
  <c r="G556" i="2"/>
  <c r="C556" i="6" s="1"/>
  <c r="G557" i="2"/>
  <c r="C557" i="6" s="1"/>
  <c r="G558" i="2"/>
  <c r="C558" i="6" s="1"/>
  <c r="G559" i="2"/>
  <c r="C559" i="6" s="1"/>
  <c r="G560" i="2"/>
  <c r="C560" i="6" s="1"/>
  <c r="G561" i="2"/>
  <c r="C561" i="6" s="1"/>
  <c r="G562" i="2"/>
  <c r="C562" i="6" s="1"/>
  <c r="G563" i="2"/>
  <c r="C563" i="6" s="1"/>
  <c r="G564" i="2"/>
  <c r="C564" i="6" s="1"/>
  <c r="G565" i="2"/>
  <c r="C565" i="6" s="1"/>
  <c r="G566" i="2"/>
  <c r="C566" i="6" s="1"/>
  <c r="G567" i="2"/>
  <c r="C567" i="6" s="1"/>
  <c r="G568" i="2"/>
  <c r="C568" i="6" s="1"/>
  <c r="G569" i="2"/>
  <c r="C569" i="6" s="1"/>
  <c r="G570" i="2"/>
  <c r="C570" i="6" s="1"/>
  <c r="G571" i="2"/>
  <c r="C571" i="6" s="1"/>
  <c r="G572" i="2"/>
  <c r="C572" i="6" s="1"/>
  <c r="G573" i="2"/>
  <c r="C573" i="6" s="1"/>
  <c r="G574" i="2"/>
  <c r="C574" i="6" s="1"/>
  <c r="G575" i="2"/>
  <c r="C575" i="6" s="1"/>
  <c r="G576" i="2"/>
  <c r="C576" i="6" s="1"/>
  <c r="G577" i="2"/>
  <c r="C577" i="6" s="1"/>
  <c r="G578" i="2"/>
  <c r="C578" i="6" s="1"/>
  <c r="G579" i="2"/>
  <c r="C579" i="6" s="1"/>
  <c r="G580" i="2"/>
  <c r="C580" i="6" s="1"/>
  <c r="G581" i="2"/>
  <c r="C581" i="6" s="1"/>
  <c r="G582" i="2"/>
  <c r="C582" i="6" s="1"/>
  <c r="G583" i="2"/>
  <c r="C583" i="6" s="1"/>
  <c r="G584" i="2"/>
  <c r="C584" i="6" s="1"/>
  <c r="G585" i="2"/>
  <c r="C585" i="6" s="1"/>
  <c r="G586" i="2"/>
  <c r="C586" i="6" s="1"/>
  <c r="G587" i="2"/>
  <c r="C587" i="6" s="1"/>
  <c r="G588" i="2"/>
  <c r="C588" i="6" s="1"/>
  <c r="G589" i="2"/>
  <c r="C589" i="6" s="1"/>
  <c r="G590" i="2"/>
  <c r="C590" i="6" s="1"/>
  <c r="G591" i="2"/>
  <c r="C591" i="6" s="1"/>
  <c r="G592" i="2"/>
  <c r="C592" i="6" s="1"/>
  <c r="G593" i="2"/>
  <c r="C593" i="6" s="1"/>
  <c r="G594" i="2"/>
  <c r="C594" i="6" s="1"/>
  <c r="G595" i="2"/>
  <c r="C595" i="6" s="1"/>
  <c r="G596" i="2"/>
  <c r="C596" i="6" s="1"/>
  <c r="G597" i="2"/>
  <c r="C597" i="6" s="1"/>
  <c r="G598" i="2"/>
  <c r="C598" i="6" s="1"/>
  <c r="G599" i="2"/>
  <c r="C599" i="6" s="1"/>
  <c r="G600" i="2"/>
  <c r="C600" i="6" s="1"/>
  <c r="G601" i="2"/>
  <c r="C601" i="6" s="1"/>
  <c r="G602" i="2"/>
  <c r="C602" i="6" s="1"/>
  <c r="G603" i="2"/>
  <c r="C603" i="6" s="1"/>
  <c r="G604" i="2"/>
  <c r="C604" i="6" s="1"/>
  <c r="G605" i="2"/>
  <c r="C605" i="6" s="1"/>
  <c r="G606" i="2"/>
  <c r="C606" i="6" s="1"/>
  <c r="G607" i="2"/>
  <c r="C607" i="6" s="1"/>
  <c r="G608" i="2"/>
  <c r="C608" i="6" s="1"/>
  <c r="G609" i="2"/>
  <c r="C609" i="6" s="1"/>
  <c r="G610" i="2"/>
  <c r="C610" i="6" s="1"/>
  <c r="G611" i="2"/>
  <c r="C611" i="6" s="1"/>
  <c r="G612" i="2"/>
  <c r="C612" i="6" s="1"/>
  <c r="G613" i="2"/>
  <c r="C613" i="6" s="1"/>
  <c r="G614" i="2"/>
  <c r="C614" i="6" s="1"/>
  <c r="G615" i="2"/>
  <c r="C615" i="6" s="1"/>
  <c r="G616" i="2"/>
  <c r="C616" i="6" s="1"/>
  <c r="G617" i="2"/>
  <c r="C617" i="6" s="1"/>
  <c r="G618" i="2"/>
  <c r="C618" i="6" s="1"/>
  <c r="G619" i="2"/>
  <c r="C619" i="6" s="1"/>
  <c r="G620" i="2"/>
  <c r="C620" i="6" s="1"/>
  <c r="G621" i="2"/>
  <c r="C621" i="6" s="1"/>
  <c r="G622" i="2"/>
  <c r="C622" i="6" s="1"/>
  <c r="G623" i="2"/>
  <c r="C623" i="6" s="1"/>
  <c r="G624" i="2"/>
  <c r="C624" i="6" s="1"/>
  <c r="G625" i="2"/>
  <c r="C625" i="6" s="1"/>
  <c r="G626" i="2"/>
  <c r="C626" i="6" s="1"/>
  <c r="G627" i="2"/>
  <c r="C627" i="6" s="1"/>
  <c r="G628" i="2"/>
  <c r="C628" i="6" s="1"/>
  <c r="G629" i="2"/>
  <c r="C629" i="6" s="1"/>
  <c r="G630" i="2"/>
  <c r="C630" i="6" s="1"/>
  <c r="G631" i="2"/>
  <c r="C631" i="6" s="1"/>
  <c r="G632" i="2"/>
  <c r="C632" i="6" s="1"/>
  <c r="G633" i="2"/>
  <c r="C633" i="6" s="1"/>
  <c r="G634" i="2"/>
  <c r="C634" i="6" s="1"/>
  <c r="G635" i="2"/>
  <c r="C635" i="6" s="1"/>
  <c r="G636" i="2"/>
  <c r="C636" i="6" s="1"/>
  <c r="G637" i="2"/>
  <c r="C637" i="6" s="1"/>
  <c r="G638" i="2"/>
  <c r="C638" i="6" s="1"/>
  <c r="G639" i="2"/>
  <c r="C639" i="6" s="1"/>
  <c r="G640" i="2"/>
  <c r="C640" i="6" s="1"/>
  <c r="G641" i="2"/>
  <c r="C641" i="6" s="1"/>
  <c r="G642" i="2"/>
  <c r="C642" i="6" s="1"/>
  <c r="G643" i="2"/>
  <c r="C643" i="6" s="1"/>
  <c r="G644" i="2"/>
  <c r="C644" i="6" s="1"/>
  <c r="G645" i="2"/>
  <c r="C645" i="6" s="1"/>
  <c r="G646" i="2"/>
  <c r="C646" i="6" s="1"/>
  <c r="G647" i="2"/>
  <c r="C647" i="6" s="1"/>
  <c r="G648" i="2"/>
  <c r="C648" i="6" s="1"/>
  <c r="G649" i="2"/>
  <c r="C649" i="6" s="1"/>
  <c r="G650" i="2"/>
  <c r="C650" i="6" s="1"/>
  <c r="G651" i="2"/>
  <c r="C651" i="6" s="1"/>
  <c r="G652" i="2"/>
  <c r="C652" i="6" s="1"/>
  <c r="G653" i="2"/>
  <c r="C653" i="6" s="1"/>
  <c r="G654" i="2"/>
  <c r="C654" i="6" s="1"/>
  <c r="G655" i="2"/>
  <c r="C655" i="6" s="1"/>
  <c r="G656" i="2"/>
  <c r="C656" i="6" s="1"/>
  <c r="G657" i="2"/>
  <c r="C657" i="6" s="1"/>
  <c r="G658" i="2"/>
  <c r="C658" i="6" s="1"/>
  <c r="G659" i="2"/>
  <c r="C659" i="6" s="1"/>
  <c r="G660" i="2"/>
  <c r="C660" i="6" s="1"/>
  <c r="G661" i="2"/>
  <c r="C661" i="6" s="1"/>
  <c r="G662" i="2"/>
  <c r="C662" i="6" s="1"/>
  <c r="G663" i="2"/>
  <c r="C663" i="6" s="1"/>
  <c r="G664" i="2"/>
  <c r="C664" i="6" s="1"/>
  <c r="G665" i="2"/>
  <c r="C665" i="6" s="1"/>
  <c r="G666" i="2"/>
  <c r="C666" i="6" s="1"/>
  <c r="G667" i="2"/>
  <c r="C667" i="6" s="1"/>
  <c r="G668" i="2"/>
  <c r="C668" i="6" s="1"/>
  <c r="G669" i="2"/>
  <c r="C669" i="6" s="1"/>
  <c r="G670" i="2"/>
  <c r="C670" i="6" s="1"/>
  <c r="G671" i="2"/>
  <c r="C671" i="6" s="1"/>
  <c r="G672" i="2"/>
  <c r="C672" i="6" s="1"/>
  <c r="G673" i="2"/>
  <c r="C673" i="6" s="1"/>
  <c r="G674" i="2"/>
  <c r="C674" i="6" s="1"/>
  <c r="G675" i="2"/>
  <c r="C675" i="6" s="1"/>
  <c r="G676" i="2"/>
  <c r="C676" i="6" s="1"/>
  <c r="G677" i="2"/>
  <c r="C677" i="6" s="1"/>
  <c r="G678" i="2"/>
  <c r="C678" i="6" s="1"/>
  <c r="G679" i="2"/>
  <c r="C679" i="6" s="1"/>
  <c r="G680" i="2"/>
  <c r="C680" i="6" s="1"/>
  <c r="G681" i="2"/>
  <c r="C681" i="6" s="1"/>
  <c r="G682" i="2"/>
  <c r="C682" i="6" s="1"/>
  <c r="G683" i="2"/>
  <c r="C683" i="6" s="1"/>
  <c r="G684" i="2"/>
  <c r="C684" i="6" s="1"/>
  <c r="G685" i="2"/>
  <c r="C685" i="6" s="1"/>
  <c r="G686" i="2"/>
  <c r="C686" i="6" s="1"/>
  <c r="G687" i="2"/>
  <c r="C687" i="6" s="1"/>
  <c r="G688" i="2"/>
  <c r="C688" i="6" s="1"/>
  <c r="G689" i="2"/>
  <c r="C689" i="6" s="1"/>
  <c r="G690" i="2"/>
  <c r="C690" i="6" s="1"/>
  <c r="G691" i="2"/>
  <c r="C691" i="6" s="1"/>
  <c r="G692" i="2"/>
  <c r="C692" i="6" s="1"/>
  <c r="G693" i="2"/>
  <c r="C693" i="6" s="1"/>
  <c r="G694" i="2"/>
  <c r="C694" i="6" s="1"/>
  <c r="G695" i="2"/>
  <c r="C695" i="6" s="1"/>
  <c r="G696" i="2"/>
  <c r="C696" i="6" s="1"/>
  <c r="G697" i="2"/>
  <c r="C697" i="6" s="1"/>
  <c r="G698" i="2"/>
  <c r="C698" i="6" s="1"/>
  <c r="G699" i="2"/>
  <c r="C699" i="6" s="1"/>
  <c r="G700" i="2"/>
  <c r="C700" i="6" s="1"/>
  <c r="G701" i="2"/>
  <c r="C701" i="6" s="1"/>
  <c r="G702" i="2"/>
  <c r="C702" i="6" s="1"/>
  <c r="G703" i="2"/>
  <c r="C703" i="6" s="1"/>
  <c r="G704" i="2"/>
  <c r="C704" i="6" s="1"/>
  <c r="G705" i="2"/>
  <c r="C705" i="6" s="1"/>
  <c r="G706" i="2"/>
  <c r="C706" i="6" s="1"/>
  <c r="G707" i="2"/>
  <c r="C707" i="6" s="1"/>
  <c r="G708" i="2"/>
  <c r="C708" i="6" s="1"/>
  <c r="G709" i="2"/>
  <c r="C709" i="6" s="1"/>
  <c r="G710" i="2"/>
  <c r="C710" i="6" s="1"/>
  <c r="G711" i="2"/>
  <c r="C711" i="6" s="1"/>
  <c r="G712" i="2"/>
  <c r="C712" i="6" s="1"/>
  <c r="G713" i="2"/>
  <c r="C713" i="6" s="1"/>
  <c r="G714" i="2"/>
  <c r="C714" i="6" s="1"/>
  <c r="G715" i="2"/>
  <c r="C715" i="6" s="1"/>
  <c r="G716" i="2"/>
  <c r="C716" i="6" s="1"/>
  <c r="G717" i="2"/>
  <c r="F3" i="2"/>
  <c r="B3" i="6" s="1"/>
  <c r="F4" i="2"/>
  <c r="B4" i="6" s="1"/>
  <c r="F5" i="2"/>
  <c r="B5" i="6" s="1"/>
  <c r="F6" i="2"/>
  <c r="B6" i="6" s="1"/>
  <c r="F7" i="2"/>
  <c r="B7" i="6" s="1"/>
  <c r="F8" i="2"/>
  <c r="B8" i="6" s="1"/>
  <c r="F9" i="2"/>
  <c r="B9" i="6" s="1"/>
  <c r="F10" i="2"/>
  <c r="B10" i="6" s="1"/>
  <c r="F11" i="2"/>
  <c r="B11" i="6" s="1"/>
  <c r="F12" i="2"/>
  <c r="B12" i="6" s="1"/>
  <c r="F13" i="2"/>
  <c r="B13" i="6" s="1"/>
  <c r="F14" i="2"/>
  <c r="B14" i="6" s="1"/>
  <c r="F15" i="2"/>
  <c r="B15" i="6" s="1"/>
  <c r="F16" i="2"/>
  <c r="B16" i="6" s="1"/>
  <c r="F17" i="2"/>
  <c r="B17" i="6" s="1"/>
  <c r="F18" i="2"/>
  <c r="B18" i="6" s="1"/>
  <c r="F19" i="2"/>
  <c r="B19" i="6" s="1"/>
  <c r="F20" i="2"/>
  <c r="B20" i="6" s="1"/>
  <c r="F21" i="2"/>
  <c r="B21" i="6" s="1"/>
  <c r="F22" i="2"/>
  <c r="B22" i="6" s="1"/>
  <c r="F23" i="2"/>
  <c r="B23" i="6" s="1"/>
  <c r="F24" i="2"/>
  <c r="B24" i="6" s="1"/>
  <c r="F25" i="2"/>
  <c r="B25" i="6" s="1"/>
  <c r="F26" i="2"/>
  <c r="B26" i="6" s="1"/>
  <c r="F27" i="2"/>
  <c r="B27" i="6" s="1"/>
  <c r="F28" i="2"/>
  <c r="B28" i="6" s="1"/>
  <c r="F29" i="2"/>
  <c r="B29" i="6" s="1"/>
  <c r="F30" i="2"/>
  <c r="B30" i="6" s="1"/>
  <c r="F31" i="2"/>
  <c r="B31" i="6" s="1"/>
  <c r="F32" i="2"/>
  <c r="B32" i="6" s="1"/>
  <c r="F33" i="2"/>
  <c r="B33" i="6" s="1"/>
  <c r="F34" i="2"/>
  <c r="B34" i="6" s="1"/>
  <c r="F35" i="2"/>
  <c r="B35" i="6" s="1"/>
  <c r="F36" i="2"/>
  <c r="B36" i="6" s="1"/>
  <c r="F37" i="2"/>
  <c r="B37" i="6" s="1"/>
  <c r="F38" i="2"/>
  <c r="B38" i="6" s="1"/>
  <c r="F39" i="2"/>
  <c r="B39" i="6" s="1"/>
  <c r="F40" i="2"/>
  <c r="B40" i="6" s="1"/>
  <c r="F41" i="2"/>
  <c r="B41" i="6" s="1"/>
  <c r="F42" i="2"/>
  <c r="B42" i="6" s="1"/>
  <c r="F43" i="2"/>
  <c r="B43" i="6" s="1"/>
  <c r="F44" i="2"/>
  <c r="B44" i="6" s="1"/>
  <c r="F45" i="2"/>
  <c r="B45" i="6" s="1"/>
  <c r="F46" i="2"/>
  <c r="B46" i="6" s="1"/>
  <c r="F47" i="2"/>
  <c r="B47" i="6" s="1"/>
  <c r="F48" i="2"/>
  <c r="B48" i="6" s="1"/>
  <c r="F49" i="2"/>
  <c r="B49" i="6" s="1"/>
  <c r="F50" i="2"/>
  <c r="B50" i="6" s="1"/>
  <c r="F51" i="2"/>
  <c r="B51" i="6" s="1"/>
  <c r="F52" i="2"/>
  <c r="B52" i="6" s="1"/>
  <c r="F53" i="2"/>
  <c r="B53" i="6" s="1"/>
  <c r="F54" i="2"/>
  <c r="B54" i="6" s="1"/>
  <c r="F55" i="2"/>
  <c r="B55" i="6" s="1"/>
  <c r="F56" i="2"/>
  <c r="B56" i="6" s="1"/>
  <c r="F57" i="2"/>
  <c r="B57" i="6" s="1"/>
  <c r="F58" i="2"/>
  <c r="B58" i="6" s="1"/>
  <c r="F59" i="2"/>
  <c r="B59" i="6" s="1"/>
  <c r="F60" i="2"/>
  <c r="B60" i="6" s="1"/>
  <c r="F61" i="2"/>
  <c r="B61" i="6" s="1"/>
  <c r="F62" i="2"/>
  <c r="B62" i="6" s="1"/>
  <c r="F63" i="2"/>
  <c r="B63" i="6" s="1"/>
  <c r="F64" i="2"/>
  <c r="B64" i="6" s="1"/>
  <c r="F65" i="2"/>
  <c r="B65" i="6" s="1"/>
  <c r="F66" i="2"/>
  <c r="B66" i="6" s="1"/>
  <c r="F67" i="2"/>
  <c r="B67" i="6" s="1"/>
  <c r="F68" i="2"/>
  <c r="B68" i="6" s="1"/>
  <c r="F69" i="2"/>
  <c r="B69" i="6" s="1"/>
  <c r="F70" i="2"/>
  <c r="B70" i="6" s="1"/>
  <c r="F71" i="2"/>
  <c r="B71" i="6" s="1"/>
  <c r="F72" i="2"/>
  <c r="B72" i="6" s="1"/>
  <c r="F73" i="2"/>
  <c r="B73" i="6" s="1"/>
  <c r="F74" i="2"/>
  <c r="B74" i="6" s="1"/>
  <c r="F75" i="2"/>
  <c r="B75" i="6" s="1"/>
  <c r="F76" i="2"/>
  <c r="B76" i="6" s="1"/>
  <c r="F77" i="2"/>
  <c r="B77" i="6" s="1"/>
  <c r="F78" i="2"/>
  <c r="B78" i="6" s="1"/>
  <c r="F79" i="2"/>
  <c r="B79" i="6" s="1"/>
  <c r="F80" i="2"/>
  <c r="B80" i="6" s="1"/>
  <c r="F81" i="2"/>
  <c r="B81" i="6" s="1"/>
  <c r="F82" i="2"/>
  <c r="B82" i="6" s="1"/>
  <c r="F83" i="2"/>
  <c r="B83" i="6" s="1"/>
  <c r="F84" i="2"/>
  <c r="B84" i="6" s="1"/>
  <c r="F85" i="2"/>
  <c r="B85" i="6" s="1"/>
  <c r="F86" i="2"/>
  <c r="B86" i="6" s="1"/>
  <c r="F87" i="2"/>
  <c r="B87" i="6" s="1"/>
  <c r="F88" i="2"/>
  <c r="B88" i="6" s="1"/>
  <c r="F89" i="2"/>
  <c r="B89" i="6" s="1"/>
  <c r="F90" i="2"/>
  <c r="B90" i="6" s="1"/>
  <c r="F91" i="2"/>
  <c r="B91" i="6" s="1"/>
  <c r="F92" i="2"/>
  <c r="B92" i="6" s="1"/>
  <c r="F93" i="2"/>
  <c r="B93" i="6" s="1"/>
  <c r="F94" i="2"/>
  <c r="B94" i="6" s="1"/>
  <c r="F95" i="2"/>
  <c r="B95" i="6" s="1"/>
  <c r="F96" i="2"/>
  <c r="B96" i="6" s="1"/>
  <c r="F97" i="2"/>
  <c r="B97" i="6" s="1"/>
  <c r="F98" i="2"/>
  <c r="B98" i="6" s="1"/>
  <c r="F99" i="2"/>
  <c r="B99" i="6" s="1"/>
  <c r="F100" i="2"/>
  <c r="B100" i="6" s="1"/>
  <c r="F101" i="2"/>
  <c r="B101" i="6" s="1"/>
  <c r="F102" i="2"/>
  <c r="B102" i="6" s="1"/>
  <c r="F103" i="2"/>
  <c r="B103" i="6" s="1"/>
  <c r="F104" i="2"/>
  <c r="B104" i="6" s="1"/>
  <c r="F105" i="2"/>
  <c r="B105" i="6" s="1"/>
  <c r="F106" i="2"/>
  <c r="B106" i="6" s="1"/>
  <c r="F107" i="2"/>
  <c r="B107" i="6" s="1"/>
  <c r="F108" i="2"/>
  <c r="B108" i="6" s="1"/>
  <c r="F109" i="2"/>
  <c r="B109" i="6" s="1"/>
  <c r="F110" i="2"/>
  <c r="B110" i="6" s="1"/>
  <c r="F111" i="2"/>
  <c r="B111" i="6" s="1"/>
  <c r="F112" i="2"/>
  <c r="B112" i="6" s="1"/>
  <c r="F113" i="2"/>
  <c r="B113" i="6" s="1"/>
  <c r="F114" i="2"/>
  <c r="B114" i="6" s="1"/>
  <c r="F115" i="2"/>
  <c r="B115" i="6" s="1"/>
  <c r="F116" i="2"/>
  <c r="B116" i="6" s="1"/>
  <c r="F117" i="2"/>
  <c r="B117" i="6" s="1"/>
  <c r="F118" i="2"/>
  <c r="B118" i="6" s="1"/>
  <c r="F119" i="2"/>
  <c r="B119" i="6" s="1"/>
  <c r="F120" i="2"/>
  <c r="B120" i="6" s="1"/>
  <c r="F121" i="2"/>
  <c r="B121" i="6" s="1"/>
  <c r="F122" i="2"/>
  <c r="B122" i="6" s="1"/>
  <c r="F123" i="2"/>
  <c r="B123" i="6" s="1"/>
  <c r="F124" i="2"/>
  <c r="B124" i="6" s="1"/>
  <c r="F125" i="2"/>
  <c r="B125" i="6" s="1"/>
  <c r="F126" i="2"/>
  <c r="B126" i="6" s="1"/>
  <c r="F127" i="2"/>
  <c r="B127" i="6" s="1"/>
  <c r="F128" i="2"/>
  <c r="B128" i="6" s="1"/>
  <c r="F129" i="2"/>
  <c r="B129" i="6" s="1"/>
  <c r="F130" i="2"/>
  <c r="B130" i="6" s="1"/>
  <c r="F131" i="2"/>
  <c r="B131" i="6" s="1"/>
  <c r="F132" i="2"/>
  <c r="B132" i="6" s="1"/>
  <c r="F133" i="2"/>
  <c r="B133" i="6" s="1"/>
  <c r="F134" i="2"/>
  <c r="B134" i="6" s="1"/>
  <c r="F135" i="2"/>
  <c r="B135" i="6" s="1"/>
  <c r="F136" i="2"/>
  <c r="B136" i="6" s="1"/>
  <c r="F137" i="2"/>
  <c r="B137" i="6" s="1"/>
  <c r="F138" i="2"/>
  <c r="B138" i="6" s="1"/>
  <c r="F139" i="2"/>
  <c r="B139" i="6" s="1"/>
  <c r="F140" i="2"/>
  <c r="B140" i="6" s="1"/>
  <c r="F141" i="2"/>
  <c r="B141" i="6" s="1"/>
  <c r="F142" i="2"/>
  <c r="B142" i="6" s="1"/>
  <c r="F143" i="2"/>
  <c r="B143" i="6" s="1"/>
  <c r="F144" i="2"/>
  <c r="B144" i="6" s="1"/>
  <c r="F145" i="2"/>
  <c r="B145" i="6" s="1"/>
  <c r="F146" i="2"/>
  <c r="B146" i="6" s="1"/>
  <c r="F147" i="2"/>
  <c r="B147" i="6" s="1"/>
  <c r="F148" i="2"/>
  <c r="B148" i="6" s="1"/>
  <c r="F149" i="2"/>
  <c r="B149" i="6" s="1"/>
  <c r="F150" i="2"/>
  <c r="B150" i="6" s="1"/>
  <c r="F151" i="2"/>
  <c r="B151" i="6" s="1"/>
  <c r="F152" i="2"/>
  <c r="B152" i="6" s="1"/>
  <c r="F153" i="2"/>
  <c r="B153" i="6" s="1"/>
  <c r="F154" i="2"/>
  <c r="B154" i="6" s="1"/>
  <c r="F155" i="2"/>
  <c r="B155" i="6" s="1"/>
  <c r="F156" i="2"/>
  <c r="B156" i="6" s="1"/>
  <c r="F157" i="2"/>
  <c r="B157" i="6" s="1"/>
  <c r="F158" i="2"/>
  <c r="B158" i="6" s="1"/>
  <c r="F159" i="2"/>
  <c r="B159" i="6" s="1"/>
  <c r="F160" i="2"/>
  <c r="B160" i="6" s="1"/>
  <c r="F161" i="2"/>
  <c r="B161" i="6" s="1"/>
  <c r="F162" i="2"/>
  <c r="B162" i="6" s="1"/>
  <c r="F163" i="2"/>
  <c r="B163" i="6" s="1"/>
  <c r="F164" i="2"/>
  <c r="B164" i="6" s="1"/>
  <c r="F165" i="2"/>
  <c r="B165" i="6" s="1"/>
  <c r="F166" i="2"/>
  <c r="B166" i="6" s="1"/>
  <c r="F167" i="2"/>
  <c r="B167" i="6" s="1"/>
  <c r="F168" i="2"/>
  <c r="B168" i="6" s="1"/>
  <c r="F169" i="2"/>
  <c r="B169" i="6" s="1"/>
  <c r="F170" i="2"/>
  <c r="B170" i="6" s="1"/>
  <c r="F171" i="2"/>
  <c r="B171" i="6" s="1"/>
  <c r="F172" i="2"/>
  <c r="B172" i="6" s="1"/>
  <c r="F173" i="2"/>
  <c r="B173" i="6" s="1"/>
  <c r="F174" i="2"/>
  <c r="B174" i="6" s="1"/>
  <c r="F175" i="2"/>
  <c r="B175" i="6" s="1"/>
  <c r="F176" i="2"/>
  <c r="B176" i="6" s="1"/>
  <c r="F177" i="2"/>
  <c r="B177" i="6" s="1"/>
  <c r="F178" i="2"/>
  <c r="B178" i="6" s="1"/>
  <c r="F179" i="2"/>
  <c r="B179" i="6" s="1"/>
  <c r="F180" i="2"/>
  <c r="B180" i="6" s="1"/>
  <c r="F181" i="2"/>
  <c r="B181" i="6" s="1"/>
  <c r="F182" i="2"/>
  <c r="B182" i="6" s="1"/>
  <c r="F183" i="2"/>
  <c r="B183" i="6" s="1"/>
  <c r="F184" i="2"/>
  <c r="B184" i="6" s="1"/>
  <c r="F185" i="2"/>
  <c r="B185" i="6" s="1"/>
  <c r="F186" i="2"/>
  <c r="B186" i="6" s="1"/>
  <c r="F187" i="2"/>
  <c r="B187" i="6" s="1"/>
  <c r="F188" i="2"/>
  <c r="B188" i="6" s="1"/>
  <c r="F189" i="2"/>
  <c r="B189" i="6" s="1"/>
  <c r="F190" i="2"/>
  <c r="B190" i="6" s="1"/>
  <c r="F191" i="2"/>
  <c r="B191" i="6" s="1"/>
  <c r="F192" i="2"/>
  <c r="B192" i="6" s="1"/>
  <c r="F193" i="2"/>
  <c r="B193" i="6" s="1"/>
  <c r="F194" i="2"/>
  <c r="B194" i="6" s="1"/>
  <c r="F195" i="2"/>
  <c r="B195" i="6" s="1"/>
  <c r="F196" i="2"/>
  <c r="B196" i="6" s="1"/>
  <c r="F197" i="2"/>
  <c r="B197" i="6" s="1"/>
  <c r="F198" i="2"/>
  <c r="B198" i="6" s="1"/>
  <c r="F199" i="2"/>
  <c r="B199" i="6" s="1"/>
  <c r="F200" i="2"/>
  <c r="B200" i="6" s="1"/>
  <c r="F201" i="2"/>
  <c r="B201" i="6" s="1"/>
  <c r="F202" i="2"/>
  <c r="B202" i="6" s="1"/>
  <c r="F203" i="2"/>
  <c r="B203" i="6" s="1"/>
  <c r="F204" i="2"/>
  <c r="B204" i="6" s="1"/>
  <c r="F205" i="2"/>
  <c r="B205" i="6" s="1"/>
  <c r="F206" i="2"/>
  <c r="B206" i="6" s="1"/>
  <c r="F207" i="2"/>
  <c r="B207" i="6" s="1"/>
  <c r="F208" i="2"/>
  <c r="B208" i="6" s="1"/>
  <c r="F209" i="2"/>
  <c r="B209" i="6" s="1"/>
  <c r="F210" i="2"/>
  <c r="B210" i="6" s="1"/>
  <c r="F211" i="2"/>
  <c r="B211" i="6" s="1"/>
  <c r="F212" i="2"/>
  <c r="B212" i="6" s="1"/>
  <c r="F213" i="2"/>
  <c r="B213" i="6" s="1"/>
  <c r="F214" i="2"/>
  <c r="B214" i="6" s="1"/>
  <c r="F215" i="2"/>
  <c r="B215" i="6" s="1"/>
  <c r="F216" i="2"/>
  <c r="B216" i="6" s="1"/>
  <c r="F217" i="2"/>
  <c r="B217" i="6" s="1"/>
  <c r="F218" i="2"/>
  <c r="B218" i="6" s="1"/>
  <c r="F219" i="2"/>
  <c r="B219" i="6" s="1"/>
  <c r="F220" i="2"/>
  <c r="B220" i="6" s="1"/>
  <c r="F221" i="2"/>
  <c r="B221" i="6" s="1"/>
  <c r="F222" i="2"/>
  <c r="B222" i="6" s="1"/>
  <c r="F223" i="2"/>
  <c r="B223" i="6" s="1"/>
  <c r="F224" i="2"/>
  <c r="B224" i="6" s="1"/>
  <c r="F225" i="2"/>
  <c r="B225" i="6" s="1"/>
  <c r="F226" i="2"/>
  <c r="B226" i="6" s="1"/>
  <c r="F227" i="2"/>
  <c r="B227" i="6" s="1"/>
  <c r="F228" i="2"/>
  <c r="B228" i="6" s="1"/>
  <c r="F229" i="2"/>
  <c r="B229" i="6" s="1"/>
  <c r="F230" i="2"/>
  <c r="B230" i="6" s="1"/>
  <c r="F231" i="2"/>
  <c r="B231" i="6" s="1"/>
  <c r="F232" i="2"/>
  <c r="B232" i="6" s="1"/>
  <c r="F233" i="2"/>
  <c r="B233" i="6" s="1"/>
  <c r="F234" i="2"/>
  <c r="B234" i="6" s="1"/>
  <c r="F235" i="2"/>
  <c r="B235" i="6" s="1"/>
  <c r="F236" i="2"/>
  <c r="B236" i="6" s="1"/>
  <c r="F237" i="2"/>
  <c r="B237" i="6" s="1"/>
  <c r="F238" i="2"/>
  <c r="B238" i="6" s="1"/>
  <c r="F239" i="2"/>
  <c r="B239" i="6" s="1"/>
  <c r="F240" i="2"/>
  <c r="B240" i="6" s="1"/>
  <c r="F241" i="2"/>
  <c r="B241" i="6" s="1"/>
  <c r="F242" i="2"/>
  <c r="B242" i="6" s="1"/>
  <c r="F243" i="2"/>
  <c r="B243" i="6" s="1"/>
  <c r="F244" i="2"/>
  <c r="B244" i="6" s="1"/>
  <c r="F245" i="2"/>
  <c r="B245" i="6" s="1"/>
  <c r="F246" i="2"/>
  <c r="B246" i="6" s="1"/>
  <c r="F247" i="2"/>
  <c r="B247" i="6" s="1"/>
  <c r="F248" i="2"/>
  <c r="B248" i="6" s="1"/>
  <c r="F249" i="2"/>
  <c r="B249" i="6" s="1"/>
  <c r="F250" i="2"/>
  <c r="B250" i="6" s="1"/>
  <c r="F251" i="2"/>
  <c r="B251" i="6" s="1"/>
  <c r="F252" i="2"/>
  <c r="B252" i="6" s="1"/>
  <c r="F253" i="2"/>
  <c r="B253" i="6" s="1"/>
  <c r="F254" i="2"/>
  <c r="B254" i="6" s="1"/>
  <c r="F255" i="2"/>
  <c r="B255" i="6" s="1"/>
  <c r="F256" i="2"/>
  <c r="B256" i="6" s="1"/>
  <c r="F257" i="2"/>
  <c r="B257" i="6" s="1"/>
  <c r="F258" i="2"/>
  <c r="B258" i="6" s="1"/>
  <c r="F259" i="2"/>
  <c r="B259" i="6" s="1"/>
  <c r="F260" i="2"/>
  <c r="B260" i="6" s="1"/>
  <c r="F261" i="2"/>
  <c r="B261" i="6" s="1"/>
  <c r="F262" i="2"/>
  <c r="B262" i="6" s="1"/>
  <c r="F263" i="2"/>
  <c r="B263" i="6" s="1"/>
  <c r="F264" i="2"/>
  <c r="B264" i="6" s="1"/>
  <c r="F265" i="2"/>
  <c r="B265" i="6" s="1"/>
  <c r="F266" i="2"/>
  <c r="B266" i="6" s="1"/>
  <c r="F267" i="2"/>
  <c r="B267" i="6" s="1"/>
  <c r="F268" i="2"/>
  <c r="B268" i="6" s="1"/>
  <c r="F269" i="2"/>
  <c r="B269" i="6" s="1"/>
  <c r="F270" i="2"/>
  <c r="B270" i="6" s="1"/>
  <c r="F271" i="2"/>
  <c r="B271" i="6" s="1"/>
  <c r="F272" i="2"/>
  <c r="B272" i="6" s="1"/>
  <c r="F273" i="2"/>
  <c r="B273" i="6" s="1"/>
  <c r="F274" i="2"/>
  <c r="B274" i="6" s="1"/>
  <c r="F275" i="2"/>
  <c r="B275" i="6" s="1"/>
  <c r="F276" i="2"/>
  <c r="B276" i="6" s="1"/>
  <c r="F277" i="2"/>
  <c r="B277" i="6" s="1"/>
  <c r="F278" i="2"/>
  <c r="B278" i="6" s="1"/>
  <c r="F279" i="2"/>
  <c r="B279" i="6" s="1"/>
  <c r="F280" i="2"/>
  <c r="B280" i="6" s="1"/>
  <c r="F281" i="2"/>
  <c r="B281" i="6" s="1"/>
  <c r="F282" i="2"/>
  <c r="B282" i="6" s="1"/>
  <c r="F283" i="2"/>
  <c r="B283" i="6" s="1"/>
  <c r="F284" i="2"/>
  <c r="B284" i="6" s="1"/>
  <c r="F285" i="2"/>
  <c r="B285" i="6" s="1"/>
  <c r="F286" i="2"/>
  <c r="B286" i="6" s="1"/>
  <c r="F287" i="2"/>
  <c r="B287" i="6" s="1"/>
  <c r="F288" i="2"/>
  <c r="B288" i="6" s="1"/>
  <c r="F289" i="2"/>
  <c r="B289" i="6" s="1"/>
  <c r="F290" i="2"/>
  <c r="B290" i="6" s="1"/>
  <c r="F291" i="2"/>
  <c r="B291" i="6" s="1"/>
  <c r="F292" i="2"/>
  <c r="B292" i="6" s="1"/>
  <c r="F293" i="2"/>
  <c r="B293" i="6" s="1"/>
  <c r="F294" i="2"/>
  <c r="B294" i="6" s="1"/>
  <c r="F295" i="2"/>
  <c r="B295" i="6" s="1"/>
  <c r="F296" i="2"/>
  <c r="B296" i="6" s="1"/>
  <c r="F297" i="2"/>
  <c r="B297" i="6" s="1"/>
  <c r="F298" i="2"/>
  <c r="B298" i="6" s="1"/>
  <c r="F299" i="2"/>
  <c r="B299" i="6" s="1"/>
  <c r="F300" i="2"/>
  <c r="B300" i="6" s="1"/>
  <c r="F301" i="2"/>
  <c r="B301" i="6" s="1"/>
  <c r="F302" i="2"/>
  <c r="B302" i="6" s="1"/>
  <c r="F303" i="2"/>
  <c r="B303" i="6" s="1"/>
  <c r="F304" i="2"/>
  <c r="B304" i="6" s="1"/>
  <c r="F305" i="2"/>
  <c r="B305" i="6" s="1"/>
  <c r="F306" i="2"/>
  <c r="B306" i="6" s="1"/>
  <c r="F307" i="2"/>
  <c r="B307" i="6" s="1"/>
  <c r="F308" i="2"/>
  <c r="B308" i="6" s="1"/>
  <c r="F309" i="2"/>
  <c r="B309" i="6" s="1"/>
  <c r="F310" i="2"/>
  <c r="B310" i="6" s="1"/>
  <c r="F311" i="2"/>
  <c r="B311" i="6" s="1"/>
  <c r="F312" i="2"/>
  <c r="B312" i="6" s="1"/>
  <c r="F313" i="2"/>
  <c r="B313" i="6" s="1"/>
  <c r="F314" i="2"/>
  <c r="B314" i="6" s="1"/>
  <c r="F315" i="2"/>
  <c r="B315" i="6" s="1"/>
  <c r="F316" i="2"/>
  <c r="B316" i="6" s="1"/>
  <c r="F317" i="2"/>
  <c r="B317" i="6" s="1"/>
  <c r="F318" i="2"/>
  <c r="B318" i="6" s="1"/>
  <c r="F319" i="2"/>
  <c r="B319" i="6" s="1"/>
  <c r="F320" i="2"/>
  <c r="B320" i="6" s="1"/>
  <c r="F321" i="2"/>
  <c r="B321" i="6" s="1"/>
  <c r="F322" i="2"/>
  <c r="B322" i="6" s="1"/>
  <c r="F323" i="2"/>
  <c r="B323" i="6" s="1"/>
  <c r="F324" i="2"/>
  <c r="B324" i="6" s="1"/>
  <c r="F325" i="2"/>
  <c r="B325" i="6" s="1"/>
  <c r="F326" i="2"/>
  <c r="B326" i="6" s="1"/>
  <c r="F327" i="2"/>
  <c r="B327" i="6" s="1"/>
  <c r="F328" i="2"/>
  <c r="B328" i="6" s="1"/>
  <c r="F329" i="2"/>
  <c r="B329" i="6" s="1"/>
  <c r="F330" i="2"/>
  <c r="B330" i="6" s="1"/>
  <c r="F331" i="2"/>
  <c r="B331" i="6" s="1"/>
  <c r="F332" i="2"/>
  <c r="B332" i="6" s="1"/>
  <c r="F333" i="2"/>
  <c r="B333" i="6" s="1"/>
  <c r="F334" i="2"/>
  <c r="B334" i="6" s="1"/>
  <c r="F335" i="2"/>
  <c r="B335" i="6" s="1"/>
  <c r="F336" i="2"/>
  <c r="F337" i="2"/>
  <c r="B337" i="6" s="1"/>
  <c r="F338" i="2"/>
  <c r="B338" i="6" s="1"/>
  <c r="F339" i="2"/>
  <c r="B339" i="6" s="1"/>
  <c r="F340" i="2"/>
  <c r="B340" i="6" s="1"/>
  <c r="F341" i="2"/>
  <c r="B341" i="6" s="1"/>
  <c r="F342" i="2"/>
  <c r="B342" i="6" s="1"/>
  <c r="F343" i="2"/>
  <c r="B343" i="6" s="1"/>
  <c r="F344" i="2"/>
  <c r="B344" i="6" s="1"/>
  <c r="F345" i="2"/>
  <c r="B345" i="6" s="1"/>
  <c r="F346" i="2"/>
  <c r="B346" i="6" s="1"/>
  <c r="F347" i="2"/>
  <c r="B347" i="6" s="1"/>
  <c r="F348" i="2"/>
  <c r="B348" i="6" s="1"/>
  <c r="F349" i="2"/>
  <c r="B349" i="6" s="1"/>
  <c r="F350" i="2"/>
  <c r="B350" i="6" s="1"/>
  <c r="F351" i="2"/>
  <c r="B351" i="6" s="1"/>
  <c r="F352" i="2"/>
  <c r="B352" i="6" s="1"/>
  <c r="F353" i="2"/>
  <c r="B353" i="6" s="1"/>
  <c r="F354" i="2"/>
  <c r="B354" i="6" s="1"/>
  <c r="F355" i="2"/>
  <c r="B355" i="6" s="1"/>
  <c r="F356" i="2"/>
  <c r="B356" i="6" s="1"/>
  <c r="F357" i="2"/>
  <c r="B357" i="6" s="1"/>
  <c r="F358" i="2"/>
  <c r="B358" i="6" s="1"/>
  <c r="F359" i="2"/>
  <c r="B359" i="6" s="1"/>
  <c r="F360" i="2"/>
  <c r="B360" i="6" s="1"/>
  <c r="F361" i="2"/>
  <c r="B361" i="6" s="1"/>
  <c r="F362" i="2"/>
  <c r="B362" i="6" s="1"/>
  <c r="F363" i="2"/>
  <c r="B363" i="6" s="1"/>
  <c r="F364" i="2"/>
  <c r="B364" i="6" s="1"/>
  <c r="F365" i="2"/>
  <c r="B365" i="6" s="1"/>
  <c r="F366" i="2"/>
  <c r="B366" i="6" s="1"/>
  <c r="F367" i="2"/>
  <c r="B367" i="6" s="1"/>
  <c r="F368" i="2"/>
  <c r="B368" i="6" s="1"/>
  <c r="F369" i="2"/>
  <c r="B369" i="6" s="1"/>
  <c r="F370" i="2"/>
  <c r="B370" i="6" s="1"/>
  <c r="F371" i="2"/>
  <c r="B371" i="6" s="1"/>
  <c r="F372" i="2"/>
  <c r="B372" i="6" s="1"/>
  <c r="F373" i="2"/>
  <c r="B373" i="6" s="1"/>
  <c r="F374" i="2"/>
  <c r="B374" i="6" s="1"/>
  <c r="F375" i="2"/>
  <c r="B375" i="6" s="1"/>
  <c r="F376" i="2"/>
  <c r="B376" i="6" s="1"/>
  <c r="F377" i="2"/>
  <c r="B377" i="6" s="1"/>
  <c r="F378" i="2"/>
  <c r="B378" i="6" s="1"/>
  <c r="F379" i="2"/>
  <c r="B379" i="6" s="1"/>
  <c r="F380" i="2"/>
  <c r="B380" i="6" s="1"/>
  <c r="F381" i="2"/>
  <c r="B381" i="6" s="1"/>
  <c r="F382" i="2"/>
  <c r="B382" i="6" s="1"/>
  <c r="F383" i="2"/>
  <c r="B383" i="6" s="1"/>
  <c r="F384" i="2"/>
  <c r="B384" i="6" s="1"/>
  <c r="F385" i="2"/>
  <c r="B385" i="6" s="1"/>
  <c r="F386" i="2"/>
  <c r="B386" i="6" s="1"/>
  <c r="F387" i="2"/>
  <c r="B387" i="6" s="1"/>
  <c r="F388" i="2"/>
  <c r="B388" i="6" s="1"/>
  <c r="F389" i="2"/>
  <c r="B389" i="6" s="1"/>
  <c r="F390" i="2"/>
  <c r="B390" i="6" s="1"/>
  <c r="F391" i="2"/>
  <c r="B391" i="6" s="1"/>
  <c r="F392" i="2"/>
  <c r="B392" i="6" s="1"/>
  <c r="F393" i="2"/>
  <c r="B393" i="6" s="1"/>
  <c r="F394" i="2"/>
  <c r="B394" i="6" s="1"/>
  <c r="F395" i="2"/>
  <c r="B395" i="6" s="1"/>
  <c r="F396" i="2"/>
  <c r="B396" i="6" s="1"/>
  <c r="F397" i="2"/>
  <c r="B397" i="6" s="1"/>
  <c r="F398" i="2"/>
  <c r="B398" i="6" s="1"/>
  <c r="F399" i="2"/>
  <c r="B399" i="6" s="1"/>
  <c r="F400" i="2"/>
  <c r="B400" i="6" s="1"/>
  <c r="F401" i="2"/>
  <c r="B401" i="6" s="1"/>
  <c r="F402" i="2"/>
  <c r="B402" i="6" s="1"/>
  <c r="F403" i="2"/>
  <c r="B403" i="6" s="1"/>
  <c r="F404" i="2"/>
  <c r="B404" i="6" s="1"/>
  <c r="F405" i="2"/>
  <c r="B405" i="6" s="1"/>
  <c r="F406" i="2"/>
  <c r="B406" i="6" s="1"/>
  <c r="F407" i="2"/>
  <c r="B407" i="6" s="1"/>
  <c r="F408" i="2"/>
  <c r="B408" i="6" s="1"/>
  <c r="F409" i="2"/>
  <c r="B409" i="6" s="1"/>
  <c r="F410" i="2"/>
  <c r="B410" i="6" s="1"/>
  <c r="F411" i="2"/>
  <c r="B411" i="6" s="1"/>
  <c r="F412" i="2"/>
  <c r="B412" i="6" s="1"/>
  <c r="F413" i="2"/>
  <c r="B413" i="6" s="1"/>
  <c r="F414" i="2"/>
  <c r="B414" i="6" s="1"/>
  <c r="F415" i="2"/>
  <c r="B415" i="6" s="1"/>
  <c r="F416" i="2"/>
  <c r="B416" i="6" s="1"/>
  <c r="F417" i="2"/>
  <c r="B417" i="6" s="1"/>
  <c r="F418" i="2"/>
  <c r="B418" i="6" s="1"/>
  <c r="F419" i="2"/>
  <c r="B419" i="6" s="1"/>
  <c r="F420" i="2"/>
  <c r="B420" i="6" s="1"/>
  <c r="F421" i="2"/>
  <c r="B421" i="6" s="1"/>
  <c r="F422" i="2"/>
  <c r="B422" i="6" s="1"/>
  <c r="F423" i="2"/>
  <c r="B423" i="6" s="1"/>
  <c r="F424" i="2"/>
  <c r="B424" i="6" s="1"/>
  <c r="F425" i="2"/>
  <c r="B425" i="6" s="1"/>
  <c r="F426" i="2"/>
  <c r="B426" i="6" s="1"/>
  <c r="F427" i="2"/>
  <c r="B427" i="6" s="1"/>
  <c r="F428" i="2"/>
  <c r="B428" i="6" s="1"/>
  <c r="F429" i="2"/>
  <c r="B429" i="6" s="1"/>
  <c r="F430" i="2"/>
  <c r="B430" i="6" s="1"/>
  <c r="F431" i="2"/>
  <c r="B431" i="6" s="1"/>
  <c r="F432" i="2"/>
  <c r="B432" i="6" s="1"/>
  <c r="F433" i="2"/>
  <c r="B433" i="6" s="1"/>
  <c r="F434" i="2"/>
  <c r="B434" i="6" s="1"/>
  <c r="F435" i="2"/>
  <c r="B435" i="6" s="1"/>
  <c r="F436" i="2"/>
  <c r="B436" i="6" s="1"/>
  <c r="F437" i="2"/>
  <c r="B437" i="6" s="1"/>
  <c r="F438" i="2"/>
  <c r="B438" i="6" s="1"/>
  <c r="F439" i="2"/>
  <c r="B439" i="6" s="1"/>
  <c r="F440" i="2"/>
  <c r="B440" i="6" s="1"/>
  <c r="F441" i="2"/>
  <c r="B441" i="6" s="1"/>
  <c r="F442" i="2"/>
  <c r="B442" i="6" s="1"/>
  <c r="F443" i="2"/>
  <c r="B443" i="6" s="1"/>
  <c r="F444" i="2"/>
  <c r="B444" i="6" s="1"/>
  <c r="F445" i="2"/>
  <c r="B445" i="6" s="1"/>
  <c r="F446" i="2"/>
  <c r="B446" i="6" s="1"/>
  <c r="F447" i="2"/>
  <c r="B447" i="6" s="1"/>
  <c r="F448" i="2"/>
  <c r="B448" i="6" s="1"/>
  <c r="F449" i="2"/>
  <c r="B449" i="6" s="1"/>
  <c r="F450" i="2"/>
  <c r="B450" i="6" s="1"/>
  <c r="F451" i="2"/>
  <c r="B451" i="6" s="1"/>
  <c r="F452" i="2"/>
  <c r="B452" i="6" s="1"/>
  <c r="F453" i="2"/>
  <c r="B453" i="6" s="1"/>
  <c r="F454" i="2"/>
  <c r="B454" i="6" s="1"/>
  <c r="F455" i="2"/>
  <c r="B455" i="6" s="1"/>
  <c r="F456" i="2"/>
  <c r="B456" i="6" s="1"/>
  <c r="F457" i="2"/>
  <c r="B457" i="6" s="1"/>
  <c r="F458" i="2"/>
  <c r="B458" i="6" s="1"/>
  <c r="F459" i="2"/>
  <c r="B459" i="6" s="1"/>
  <c r="F460" i="2"/>
  <c r="B460" i="6" s="1"/>
  <c r="F461" i="2"/>
  <c r="B461" i="6" s="1"/>
  <c r="F462" i="2"/>
  <c r="B462" i="6" s="1"/>
  <c r="F463" i="2"/>
  <c r="B463" i="6" s="1"/>
  <c r="F464" i="2"/>
  <c r="B464" i="6" s="1"/>
  <c r="F465" i="2"/>
  <c r="B465" i="6" s="1"/>
  <c r="F466" i="2"/>
  <c r="B466" i="6" s="1"/>
  <c r="F467" i="2"/>
  <c r="B467" i="6" s="1"/>
  <c r="F468" i="2"/>
  <c r="B468" i="6" s="1"/>
  <c r="F469" i="2"/>
  <c r="B469" i="6" s="1"/>
  <c r="F470" i="2"/>
  <c r="B470" i="6" s="1"/>
  <c r="F471" i="2"/>
  <c r="B471" i="6" s="1"/>
  <c r="F472" i="2"/>
  <c r="B472" i="6" s="1"/>
  <c r="F473" i="2"/>
  <c r="B473" i="6" s="1"/>
  <c r="F474" i="2"/>
  <c r="B474" i="6" s="1"/>
  <c r="F475" i="2"/>
  <c r="B475" i="6" s="1"/>
  <c r="F476" i="2"/>
  <c r="B476" i="6" s="1"/>
  <c r="F477" i="2"/>
  <c r="B477" i="6" s="1"/>
  <c r="F478" i="2"/>
  <c r="B478" i="6" s="1"/>
  <c r="F479" i="2"/>
  <c r="B479" i="6" s="1"/>
  <c r="F480" i="2"/>
  <c r="B480" i="6" s="1"/>
  <c r="F481" i="2"/>
  <c r="B481" i="6" s="1"/>
  <c r="F482" i="2"/>
  <c r="B482" i="6" s="1"/>
  <c r="F483" i="2"/>
  <c r="B483" i="6" s="1"/>
  <c r="F484" i="2"/>
  <c r="B484" i="6" s="1"/>
  <c r="F485" i="2"/>
  <c r="B485" i="6" s="1"/>
  <c r="F486" i="2"/>
  <c r="B486" i="6" s="1"/>
  <c r="F487" i="2"/>
  <c r="B487" i="6" s="1"/>
  <c r="F488" i="2"/>
  <c r="B488" i="6" s="1"/>
  <c r="F489" i="2"/>
  <c r="B489" i="6" s="1"/>
  <c r="F490" i="2"/>
  <c r="B490" i="6" s="1"/>
  <c r="F491" i="2"/>
  <c r="B491" i="6" s="1"/>
  <c r="F492" i="2"/>
  <c r="B492" i="6" s="1"/>
  <c r="F493" i="2"/>
  <c r="B493" i="6" s="1"/>
  <c r="F494" i="2"/>
  <c r="B494" i="6" s="1"/>
  <c r="F495" i="2"/>
  <c r="B495" i="6" s="1"/>
  <c r="F496" i="2"/>
  <c r="B496" i="6" s="1"/>
  <c r="F497" i="2"/>
  <c r="B497" i="6" s="1"/>
  <c r="F498" i="2"/>
  <c r="B498" i="6" s="1"/>
  <c r="F499" i="2"/>
  <c r="B499" i="6" s="1"/>
  <c r="F500" i="2"/>
  <c r="B500" i="6" s="1"/>
  <c r="F501" i="2"/>
  <c r="B501" i="6" s="1"/>
  <c r="F502" i="2"/>
  <c r="B502" i="6" s="1"/>
  <c r="F503" i="2"/>
  <c r="B503" i="6" s="1"/>
  <c r="F504" i="2"/>
  <c r="B504" i="6" s="1"/>
  <c r="F505" i="2"/>
  <c r="B505" i="6" s="1"/>
  <c r="F506" i="2"/>
  <c r="B506" i="6" s="1"/>
  <c r="F507" i="2"/>
  <c r="B507" i="6" s="1"/>
  <c r="F508" i="2"/>
  <c r="B508" i="6" s="1"/>
  <c r="F509" i="2"/>
  <c r="B509" i="6" s="1"/>
  <c r="F510" i="2"/>
  <c r="B510" i="6" s="1"/>
  <c r="F511" i="2"/>
  <c r="B511" i="6" s="1"/>
  <c r="F512" i="2"/>
  <c r="B512" i="6" s="1"/>
  <c r="F513" i="2"/>
  <c r="B513" i="6" s="1"/>
  <c r="F514" i="2"/>
  <c r="B514" i="6" s="1"/>
  <c r="F515" i="2"/>
  <c r="B515" i="6" s="1"/>
  <c r="F516" i="2"/>
  <c r="B516" i="6" s="1"/>
  <c r="F517" i="2"/>
  <c r="B517" i="6" s="1"/>
  <c r="F518" i="2"/>
  <c r="B518" i="6" s="1"/>
  <c r="F519" i="2"/>
  <c r="B519" i="6" s="1"/>
  <c r="F520" i="2"/>
  <c r="B520" i="6" s="1"/>
  <c r="F521" i="2"/>
  <c r="B521" i="6" s="1"/>
  <c r="F522" i="2"/>
  <c r="B522" i="6" s="1"/>
  <c r="F523" i="2"/>
  <c r="B523" i="6" s="1"/>
  <c r="F524" i="2"/>
  <c r="B524" i="6" s="1"/>
  <c r="F525" i="2"/>
  <c r="B525" i="6" s="1"/>
  <c r="F526" i="2"/>
  <c r="B526" i="6" s="1"/>
  <c r="F527" i="2"/>
  <c r="B527" i="6" s="1"/>
  <c r="F528" i="2"/>
  <c r="B528" i="6" s="1"/>
  <c r="F529" i="2"/>
  <c r="B529" i="6" s="1"/>
  <c r="F530" i="2"/>
  <c r="B530" i="6" s="1"/>
  <c r="F531" i="2"/>
  <c r="B531" i="6" s="1"/>
  <c r="F532" i="2"/>
  <c r="B532" i="6" s="1"/>
  <c r="F533" i="2"/>
  <c r="B533" i="6" s="1"/>
  <c r="F534" i="2"/>
  <c r="B534" i="6" s="1"/>
  <c r="F535" i="2"/>
  <c r="B535" i="6" s="1"/>
  <c r="F536" i="2"/>
  <c r="B536" i="6" s="1"/>
  <c r="F537" i="2"/>
  <c r="B537" i="6" s="1"/>
  <c r="F538" i="2"/>
  <c r="B538" i="6" s="1"/>
  <c r="F539" i="2"/>
  <c r="B539" i="6" s="1"/>
  <c r="F540" i="2"/>
  <c r="B540" i="6" s="1"/>
  <c r="F541" i="2"/>
  <c r="B541" i="6" s="1"/>
  <c r="F542" i="2"/>
  <c r="B542" i="6" s="1"/>
  <c r="F543" i="2"/>
  <c r="B543" i="6" s="1"/>
  <c r="F544" i="2"/>
  <c r="B544" i="6" s="1"/>
  <c r="F545" i="2"/>
  <c r="B545" i="6" s="1"/>
  <c r="F546" i="2"/>
  <c r="B546" i="6" s="1"/>
  <c r="F547" i="2"/>
  <c r="B547" i="6" s="1"/>
  <c r="F548" i="2"/>
  <c r="B548" i="6" s="1"/>
  <c r="F549" i="2"/>
  <c r="B549" i="6" s="1"/>
  <c r="F550" i="2"/>
  <c r="B550" i="6" s="1"/>
  <c r="F551" i="2"/>
  <c r="B551" i="6" s="1"/>
  <c r="F552" i="2"/>
  <c r="B552" i="6" s="1"/>
  <c r="F553" i="2"/>
  <c r="B553" i="6" s="1"/>
  <c r="F554" i="2"/>
  <c r="B554" i="6" s="1"/>
  <c r="F555" i="2"/>
  <c r="B555" i="6" s="1"/>
  <c r="F556" i="2"/>
  <c r="B556" i="6" s="1"/>
  <c r="F557" i="2"/>
  <c r="B557" i="6" s="1"/>
  <c r="F558" i="2"/>
  <c r="B558" i="6" s="1"/>
  <c r="F559" i="2"/>
  <c r="B559" i="6" s="1"/>
  <c r="F560" i="2"/>
  <c r="B560" i="6" s="1"/>
  <c r="F561" i="2"/>
  <c r="B561" i="6" s="1"/>
  <c r="F562" i="2"/>
  <c r="B562" i="6" s="1"/>
  <c r="F563" i="2"/>
  <c r="B563" i="6" s="1"/>
  <c r="F564" i="2"/>
  <c r="B564" i="6" s="1"/>
  <c r="F565" i="2"/>
  <c r="B565" i="6" s="1"/>
  <c r="F566" i="2"/>
  <c r="B566" i="6" s="1"/>
  <c r="F567" i="2"/>
  <c r="B567" i="6" s="1"/>
  <c r="F568" i="2"/>
  <c r="B568" i="6" s="1"/>
  <c r="F569" i="2"/>
  <c r="B569" i="6" s="1"/>
  <c r="F570" i="2"/>
  <c r="B570" i="6" s="1"/>
  <c r="F571" i="2"/>
  <c r="B571" i="6" s="1"/>
  <c r="F572" i="2"/>
  <c r="B572" i="6" s="1"/>
  <c r="F573" i="2"/>
  <c r="B573" i="6" s="1"/>
  <c r="F574" i="2"/>
  <c r="B574" i="6" s="1"/>
  <c r="F575" i="2"/>
  <c r="B575" i="6" s="1"/>
  <c r="F576" i="2"/>
  <c r="B576" i="6" s="1"/>
  <c r="F577" i="2"/>
  <c r="B577" i="6" s="1"/>
  <c r="F578" i="2"/>
  <c r="B578" i="6" s="1"/>
  <c r="F579" i="2"/>
  <c r="B579" i="6" s="1"/>
  <c r="F580" i="2"/>
  <c r="B580" i="6" s="1"/>
  <c r="F581" i="2"/>
  <c r="B581" i="6" s="1"/>
  <c r="F582" i="2"/>
  <c r="B582" i="6" s="1"/>
  <c r="F583" i="2"/>
  <c r="B583" i="6" s="1"/>
  <c r="F584" i="2"/>
  <c r="B584" i="6" s="1"/>
  <c r="F585" i="2"/>
  <c r="B585" i="6" s="1"/>
  <c r="F586" i="2"/>
  <c r="B586" i="6" s="1"/>
  <c r="F587" i="2"/>
  <c r="B587" i="6" s="1"/>
  <c r="F588" i="2"/>
  <c r="B588" i="6" s="1"/>
  <c r="F589" i="2"/>
  <c r="B589" i="6" s="1"/>
  <c r="F590" i="2"/>
  <c r="B590" i="6" s="1"/>
  <c r="F591" i="2"/>
  <c r="B591" i="6" s="1"/>
  <c r="F592" i="2"/>
  <c r="B592" i="6" s="1"/>
  <c r="F593" i="2"/>
  <c r="B593" i="6" s="1"/>
  <c r="F594" i="2"/>
  <c r="B594" i="6" s="1"/>
  <c r="F595" i="2"/>
  <c r="B595" i="6" s="1"/>
  <c r="F596" i="2"/>
  <c r="B596" i="6" s="1"/>
  <c r="F597" i="2"/>
  <c r="B597" i="6" s="1"/>
  <c r="F598" i="2"/>
  <c r="B598" i="6" s="1"/>
  <c r="F599" i="2"/>
  <c r="B599" i="6" s="1"/>
  <c r="F600" i="2"/>
  <c r="B600" i="6" s="1"/>
  <c r="F601" i="2"/>
  <c r="B601" i="6" s="1"/>
  <c r="F602" i="2"/>
  <c r="B602" i="6" s="1"/>
  <c r="F603" i="2"/>
  <c r="B603" i="6" s="1"/>
  <c r="F604" i="2"/>
  <c r="B604" i="6" s="1"/>
  <c r="F605" i="2"/>
  <c r="B605" i="6" s="1"/>
  <c r="F606" i="2"/>
  <c r="B606" i="6" s="1"/>
  <c r="F607" i="2"/>
  <c r="B607" i="6" s="1"/>
  <c r="F608" i="2"/>
  <c r="B608" i="6" s="1"/>
  <c r="F609" i="2"/>
  <c r="B609" i="6" s="1"/>
  <c r="F610" i="2"/>
  <c r="B610" i="6" s="1"/>
  <c r="F611" i="2"/>
  <c r="B611" i="6" s="1"/>
  <c r="F612" i="2"/>
  <c r="B612" i="6" s="1"/>
  <c r="F613" i="2"/>
  <c r="B613" i="6" s="1"/>
  <c r="F614" i="2"/>
  <c r="B614" i="6" s="1"/>
  <c r="F615" i="2"/>
  <c r="B615" i="6" s="1"/>
  <c r="F616" i="2"/>
  <c r="B616" i="6" s="1"/>
  <c r="F617" i="2"/>
  <c r="B617" i="6" s="1"/>
  <c r="F618" i="2"/>
  <c r="B618" i="6" s="1"/>
  <c r="F619" i="2"/>
  <c r="B619" i="6" s="1"/>
  <c r="F620" i="2"/>
  <c r="B620" i="6" s="1"/>
  <c r="F621" i="2"/>
  <c r="B621" i="6" s="1"/>
  <c r="F622" i="2"/>
  <c r="B622" i="6" s="1"/>
  <c r="F623" i="2"/>
  <c r="B623" i="6" s="1"/>
  <c r="F624" i="2"/>
  <c r="B624" i="6" s="1"/>
  <c r="F625" i="2"/>
  <c r="B625" i="6" s="1"/>
  <c r="F626" i="2"/>
  <c r="B626" i="6" s="1"/>
  <c r="F627" i="2"/>
  <c r="B627" i="6" s="1"/>
  <c r="F628" i="2"/>
  <c r="B628" i="6" s="1"/>
  <c r="F629" i="2"/>
  <c r="B629" i="6" s="1"/>
  <c r="F630" i="2"/>
  <c r="B630" i="6" s="1"/>
  <c r="F631" i="2"/>
  <c r="B631" i="6" s="1"/>
  <c r="F632" i="2"/>
  <c r="B632" i="6" s="1"/>
  <c r="F633" i="2"/>
  <c r="B633" i="6" s="1"/>
  <c r="F634" i="2"/>
  <c r="B634" i="6" s="1"/>
  <c r="F635" i="2"/>
  <c r="B635" i="6" s="1"/>
  <c r="F636" i="2"/>
  <c r="B636" i="6" s="1"/>
  <c r="F637" i="2"/>
  <c r="B637" i="6" s="1"/>
  <c r="F638" i="2"/>
  <c r="B638" i="6" s="1"/>
  <c r="F639" i="2"/>
  <c r="B639" i="6" s="1"/>
  <c r="F640" i="2"/>
  <c r="B640" i="6" s="1"/>
  <c r="F641" i="2"/>
  <c r="B641" i="6" s="1"/>
  <c r="F642" i="2"/>
  <c r="B642" i="6" s="1"/>
  <c r="F643" i="2"/>
  <c r="B643" i="6" s="1"/>
  <c r="F644" i="2"/>
  <c r="B644" i="6" s="1"/>
  <c r="F645" i="2"/>
  <c r="B645" i="6" s="1"/>
  <c r="F646" i="2"/>
  <c r="B646" i="6" s="1"/>
  <c r="F647" i="2"/>
  <c r="B647" i="6" s="1"/>
  <c r="F648" i="2"/>
  <c r="B648" i="6" s="1"/>
  <c r="F649" i="2"/>
  <c r="B649" i="6" s="1"/>
  <c r="F650" i="2"/>
  <c r="B650" i="6" s="1"/>
  <c r="F651" i="2"/>
  <c r="B651" i="6" s="1"/>
  <c r="F652" i="2"/>
  <c r="B652" i="6" s="1"/>
  <c r="F653" i="2"/>
  <c r="B653" i="6" s="1"/>
  <c r="F654" i="2"/>
  <c r="B654" i="6" s="1"/>
  <c r="F655" i="2"/>
  <c r="B655" i="6" s="1"/>
  <c r="F656" i="2"/>
  <c r="B656" i="6" s="1"/>
  <c r="F657" i="2"/>
  <c r="B657" i="6" s="1"/>
  <c r="F658" i="2"/>
  <c r="B658" i="6" s="1"/>
  <c r="F659" i="2"/>
  <c r="B659" i="6" s="1"/>
  <c r="F660" i="2"/>
  <c r="B660" i="6" s="1"/>
  <c r="F661" i="2"/>
  <c r="B661" i="6" s="1"/>
  <c r="F662" i="2"/>
  <c r="B662" i="6" s="1"/>
  <c r="F663" i="2"/>
  <c r="B663" i="6" s="1"/>
  <c r="F664" i="2"/>
  <c r="B664" i="6" s="1"/>
  <c r="F665" i="2"/>
  <c r="B665" i="6" s="1"/>
  <c r="F666" i="2"/>
  <c r="B666" i="6" s="1"/>
  <c r="F667" i="2"/>
  <c r="B667" i="6" s="1"/>
  <c r="F668" i="2"/>
  <c r="B668" i="6" s="1"/>
  <c r="F669" i="2"/>
  <c r="B669" i="6" s="1"/>
  <c r="F670" i="2"/>
  <c r="B670" i="6" s="1"/>
  <c r="F671" i="2"/>
  <c r="B671" i="6" s="1"/>
  <c r="F672" i="2"/>
  <c r="B672" i="6" s="1"/>
  <c r="F673" i="2"/>
  <c r="B673" i="6" s="1"/>
  <c r="F674" i="2"/>
  <c r="B674" i="6" s="1"/>
  <c r="F675" i="2"/>
  <c r="B675" i="6" s="1"/>
  <c r="F676" i="2"/>
  <c r="B676" i="6" s="1"/>
  <c r="F677" i="2"/>
  <c r="B677" i="6" s="1"/>
  <c r="F678" i="2"/>
  <c r="B678" i="6" s="1"/>
  <c r="F679" i="2"/>
  <c r="B679" i="6" s="1"/>
  <c r="F680" i="2"/>
  <c r="B680" i="6" s="1"/>
  <c r="F681" i="2"/>
  <c r="B681" i="6" s="1"/>
  <c r="F682" i="2"/>
  <c r="B682" i="6" s="1"/>
  <c r="F683" i="2"/>
  <c r="B683" i="6" s="1"/>
  <c r="F684" i="2"/>
  <c r="B684" i="6" s="1"/>
  <c r="F685" i="2"/>
  <c r="B685" i="6" s="1"/>
  <c r="F686" i="2"/>
  <c r="B686" i="6" s="1"/>
  <c r="F687" i="2"/>
  <c r="B687" i="6" s="1"/>
  <c r="F688" i="2"/>
  <c r="B688" i="6" s="1"/>
  <c r="F689" i="2"/>
  <c r="B689" i="6" s="1"/>
  <c r="F690" i="2"/>
  <c r="B690" i="6" s="1"/>
  <c r="F691" i="2"/>
  <c r="B691" i="6" s="1"/>
  <c r="F692" i="2"/>
  <c r="B692" i="6" s="1"/>
  <c r="F693" i="2"/>
  <c r="B693" i="6" s="1"/>
  <c r="F694" i="2"/>
  <c r="B694" i="6" s="1"/>
  <c r="F695" i="2"/>
  <c r="B695" i="6" s="1"/>
  <c r="F696" i="2"/>
  <c r="B696" i="6" s="1"/>
  <c r="F697" i="2"/>
  <c r="B697" i="6" s="1"/>
  <c r="F698" i="2"/>
  <c r="B698" i="6" s="1"/>
  <c r="F699" i="2"/>
  <c r="B699" i="6" s="1"/>
  <c r="F700" i="2"/>
  <c r="B700" i="6" s="1"/>
  <c r="F701" i="2"/>
  <c r="B701" i="6" s="1"/>
  <c r="F702" i="2"/>
  <c r="B702" i="6" s="1"/>
  <c r="F703" i="2"/>
  <c r="B703" i="6" s="1"/>
  <c r="F704" i="2"/>
  <c r="B704" i="6" s="1"/>
  <c r="F705" i="2"/>
  <c r="B705" i="6" s="1"/>
  <c r="F706" i="2"/>
  <c r="B706" i="6" s="1"/>
  <c r="F707" i="2"/>
  <c r="B707" i="6" s="1"/>
  <c r="F708" i="2"/>
  <c r="B708" i="6" s="1"/>
  <c r="F709" i="2"/>
  <c r="B709" i="6" s="1"/>
  <c r="F710" i="2"/>
  <c r="B710" i="6" s="1"/>
  <c r="F711" i="2"/>
  <c r="B711" i="6" s="1"/>
  <c r="F712" i="2"/>
  <c r="B712" i="6" s="1"/>
  <c r="F713" i="2"/>
  <c r="B713" i="6" s="1"/>
  <c r="F714" i="2"/>
  <c r="B714" i="6" s="1"/>
  <c r="F715" i="2"/>
  <c r="B715" i="6" s="1"/>
  <c r="F716" i="2"/>
  <c r="B716" i="6" s="1"/>
  <c r="F717" i="2"/>
  <c r="I2" i="2"/>
  <c r="E2" i="6" s="1"/>
  <c r="H2" i="2"/>
  <c r="D2" i="6" s="1"/>
  <c r="G2" i="2"/>
  <c r="C2" i="6" s="1"/>
  <c r="F2" i="2"/>
  <c r="B2" i="6" s="1"/>
  <c r="C130" i="4" l="1"/>
  <c r="B130" i="4" s="1"/>
  <c r="D28" i="4"/>
  <c r="C139" i="4"/>
  <c r="B139" i="4" s="1"/>
  <c r="D29" i="4"/>
  <c r="C165" i="4"/>
  <c r="B165" i="4" s="1"/>
  <c r="D30" i="4"/>
  <c r="H30" i="4" s="1"/>
  <c r="C204" i="4"/>
  <c r="B204" i="4" s="1"/>
  <c r="D31" i="4"/>
  <c r="C322" i="4"/>
  <c r="B322" i="4" s="1"/>
  <c r="D36" i="4"/>
  <c r="X7" i="6"/>
  <c r="C173" i="4"/>
  <c r="B173" i="4" s="1"/>
  <c r="C163" i="4"/>
  <c r="B163" i="4" s="1"/>
  <c r="C196" i="4"/>
  <c r="B196" i="4" s="1"/>
  <c r="C172" i="4"/>
  <c r="B172" i="4" s="1"/>
  <c r="C179" i="4"/>
  <c r="B179" i="4" s="1"/>
  <c r="C177" i="4"/>
  <c r="B177" i="4" s="1"/>
  <c r="C167" i="4"/>
  <c r="D167" i="4" s="1"/>
  <c r="C178" i="4"/>
  <c r="B178" i="4" s="1"/>
  <c r="C170" i="4"/>
  <c r="B170" i="4" s="1"/>
  <c r="C169" i="4"/>
  <c r="B169" i="4" s="1"/>
  <c r="C181" i="4"/>
  <c r="B181" i="4" s="1"/>
  <c r="C306" i="4"/>
  <c r="B306" i="4" s="1"/>
  <c r="C145" i="4"/>
  <c r="B145" i="4" s="1"/>
  <c r="C148" i="4"/>
  <c r="B148" i="4" s="1"/>
  <c r="C143" i="4"/>
  <c r="B143" i="4" s="1"/>
  <c r="C152" i="4"/>
  <c r="B152" i="4" s="1"/>
  <c r="C144" i="4"/>
  <c r="B144" i="4" s="1"/>
  <c r="E29" i="4"/>
  <c r="C156" i="4"/>
  <c r="B156" i="4" s="1"/>
  <c r="C157" i="4"/>
  <c r="B157" i="4" s="1"/>
  <c r="C146" i="4"/>
  <c r="B146" i="4" s="1"/>
  <c r="C154" i="4"/>
  <c r="B154" i="4" s="1"/>
  <c r="C141" i="4"/>
  <c r="B141" i="4" s="1"/>
  <c r="C138" i="4"/>
  <c r="B138" i="4" s="1"/>
  <c r="C137" i="4"/>
  <c r="D137" i="4" s="1"/>
  <c r="U7" i="6"/>
  <c r="C171" i="4"/>
  <c r="B171" i="4" s="1"/>
  <c r="C162" i="4"/>
  <c r="B162" i="4" s="1"/>
  <c r="C142" i="4"/>
  <c r="B142" i="4" s="1"/>
  <c r="C140" i="4"/>
  <c r="B140" i="4" s="1"/>
  <c r="C310" i="4"/>
  <c r="B310" i="4" s="1"/>
  <c r="C147" i="4"/>
  <c r="B147" i="4" s="1"/>
  <c r="C174" i="4"/>
  <c r="B174" i="4" s="1"/>
  <c r="C176" i="4"/>
  <c r="B176" i="4" s="1"/>
  <c r="C180" i="4"/>
  <c r="B180" i="4" s="1"/>
  <c r="C205" i="4"/>
  <c r="B205" i="4" s="1"/>
  <c r="C190" i="4"/>
  <c r="B190" i="4" s="1"/>
  <c r="C115" i="4"/>
  <c r="B115" i="4" s="1"/>
  <c r="C166" i="4"/>
  <c r="B166" i="4" s="1"/>
  <c r="C168" i="4"/>
  <c r="B168" i="4" s="1"/>
  <c r="C149" i="4"/>
  <c r="B149" i="4" s="1"/>
  <c r="C151" i="4"/>
  <c r="B151" i="4" s="1"/>
  <c r="C189" i="4"/>
  <c r="D189" i="4" s="1"/>
  <c r="AA7" i="6"/>
  <c r="C201" i="4"/>
  <c r="B201" i="4" s="1"/>
  <c r="C311" i="4"/>
  <c r="B311" i="4" s="1"/>
  <c r="R7" i="6"/>
  <c r="C185" i="4"/>
  <c r="B185" i="4" s="1"/>
  <c r="C175" i="4"/>
  <c r="B175" i="4" s="1"/>
  <c r="C192" i="4"/>
  <c r="B192" i="4" s="1"/>
  <c r="C194" i="4"/>
  <c r="B194" i="4" s="1"/>
  <c r="C191" i="4"/>
  <c r="B191" i="4" s="1"/>
  <c r="AP7" i="6"/>
  <c r="C161" i="4"/>
  <c r="B161" i="4" s="1"/>
  <c r="C164" i="4"/>
  <c r="B164" i="4" s="1"/>
  <c r="C150" i="4"/>
  <c r="B150" i="4" s="1"/>
  <c r="C153" i="4"/>
  <c r="B153" i="4" s="1"/>
  <c r="C155" i="4"/>
  <c r="B155" i="4" s="1"/>
  <c r="C193" i="4"/>
  <c r="B193" i="4" s="1"/>
  <c r="C198" i="4"/>
  <c r="D198" i="4" s="1"/>
  <c r="C131" i="4"/>
  <c r="B131" i="4" s="1"/>
  <c r="C195" i="4"/>
  <c r="B195" i="4" s="1"/>
  <c r="C186" i="4"/>
  <c r="B186" i="4" s="1"/>
  <c r="C199" i="4"/>
  <c r="B199" i="4" s="1"/>
  <c r="C315" i="4"/>
  <c r="B315" i="4" s="1"/>
  <c r="E36" i="4"/>
  <c r="I28" i="4"/>
  <c r="K31" i="8" s="1" a="1"/>
  <c r="K31" i="8" s="1"/>
  <c r="C203" i="4"/>
  <c r="B203" i="4" s="1"/>
  <c r="C188" i="4"/>
  <c r="B188" i="4" s="1"/>
  <c r="C307" i="4"/>
  <c r="B307" i="4" s="1"/>
  <c r="C309" i="4"/>
  <c r="B309" i="4" s="1"/>
  <c r="C133" i="4"/>
  <c r="B133" i="4" s="1"/>
  <c r="C197" i="4"/>
  <c r="B197" i="4" s="1"/>
  <c r="C187" i="4"/>
  <c r="B187" i="4" s="1"/>
  <c r="C200" i="4"/>
  <c r="B200" i="4" s="1"/>
  <c r="C321" i="4"/>
  <c r="B321" i="4" s="1"/>
  <c r="C324" i="4"/>
  <c r="B324" i="4" s="1"/>
  <c r="C125" i="4"/>
  <c r="B125" i="4" s="1"/>
  <c r="I31" i="4"/>
  <c r="K34" i="8" s="1" a="1"/>
  <c r="K34" i="8" s="1"/>
  <c r="C202" i="4"/>
  <c r="B202" i="4" s="1"/>
  <c r="C320" i="4"/>
  <c r="B320" i="4" s="1"/>
  <c r="C308" i="4"/>
  <c r="B308" i="4" s="1"/>
  <c r="C313" i="4"/>
  <c r="B313" i="4" s="1"/>
  <c r="C325" i="4"/>
  <c r="B325" i="4" s="1"/>
  <c r="C122" i="4"/>
  <c r="B122" i="4" s="1"/>
  <c r="C323" i="4"/>
  <c r="B323" i="4" s="1"/>
  <c r="C312" i="4"/>
  <c r="B312" i="4" s="1"/>
  <c r="C317" i="4"/>
  <c r="B317" i="4" s="1"/>
  <c r="C120" i="4"/>
  <c r="B120" i="4" s="1"/>
  <c r="C118" i="4"/>
  <c r="B118" i="4" s="1"/>
  <c r="C305" i="4"/>
  <c r="B305" i="4" s="1"/>
  <c r="C314" i="4"/>
  <c r="B314" i="4" s="1"/>
  <c r="C316" i="4"/>
  <c r="B316" i="4" s="1"/>
  <c r="C128" i="4"/>
  <c r="B128" i="4" s="1"/>
  <c r="C132" i="4"/>
  <c r="B132" i="4" s="1"/>
  <c r="C127" i="4"/>
  <c r="B127" i="4" s="1"/>
  <c r="C124" i="4"/>
  <c r="B124" i="4" s="1"/>
  <c r="C319" i="4"/>
  <c r="B319" i="4" s="1"/>
  <c r="C318" i="4"/>
  <c r="B318" i="4" s="1"/>
  <c r="C123" i="4"/>
  <c r="B123" i="4" s="1"/>
  <c r="C717" i="6"/>
  <c r="C5" i="10"/>
  <c r="C6" i="10" s="1" a="1"/>
  <c r="C6" i="10" s="1"/>
  <c r="C7" i="10" s="1" a="1"/>
  <c r="C7" i="10" s="1"/>
  <c r="C8" i="10" s="1" a="1"/>
  <c r="C8" i="10" s="1"/>
  <c r="C9" i="10" s="1" a="1"/>
  <c r="C9" i="10" s="1"/>
  <c r="C10" i="10" s="1" a="1"/>
  <c r="C10" i="10" s="1"/>
  <c r="C11" i="10" s="1" a="1"/>
  <c r="C11" i="10" s="1"/>
  <c r="C12" i="10" s="1" a="1"/>
  <c r="C12" i="10" s="1"/>
  <c r="C13" i="10" s="1" a="1"/>
  <c r="C13" i="10" s="1"/>
  <c r="C14" i="10" s="1" a="1"/>
  <c r="C14" i="10" s="1"/>
  <c r="C15" i="10" s="1" a="1"/>
  <c r="C15" i="10" s="1"/>
  <c r="C16" i="10" s="1" a="1"/>
  <c r="C16" i="10" s="1"/>
  <c r="C17" i="10" s="1" a="1"/>
  <c r="C17" i="10" s="1"/>
  <c r="C18" i="10" s="1" a="1"/>
  <c r="C18" i="10" s="1"/>
  <c r="C19" i="10" s="1" a="1"/>
  <c r="C19" i="10" s="1"/>
  <c r="C20" i="10" s="1" a="1"/>
  <c r="C20" i="10" s="1"/>
  <c r="C21" i="10" s="1" a="1"/>
  <c r="C21" i="10" s="1"/>
  <c r="C22" i="10" s="1" a="1"/>
  <c r="C22" i="10" s="1"/>
  <c r="C23" i="10" s="1" a="1"/>
  <c r="C23" i="10" s="1"/>
  <c r="C24" i="10" s="1" a="1"/>
  <c r="C24" i="10" s="1"/>
  <c r="C25" i="10" s="1" a="1"/>
  <c r="C25" i="10" s="1"/>
  <c r="C26" i="10" s="1" a="1"/>
  <c r="C26" i="10" s="1"/>
  <c r="C27" i="10" s="1" a="1"/>
  <c r="C27" i="10" s="1"/>
  <c r="C28" i="10" s="1" a="1"/>
  <c r="C28" i="10" s="1"/>
  <c r="C29" i="10" s="1" a="1"/>
  <c r="C29" i="10" s="1"/>
  <c r="C30" i="10" s="1" a="1"/>
  <c r="C30" i="10" s="1"/>
  <c r="C31" i="10" s="1" a="1"/>
  <c r="C31" i="10" s="1"/>
  <c r="C32" i="10" s="1" a="1"/>
  <c r="C32" i="10" s="1"/>
  <c r="C33" i="10" s="1" a="1"/>
  <c r="C33" i="10" s="1"/>
  <c r="C34" i="10" s="1" a="1"/>
  <c r="C34" i="10" s="1"/>
  <c r="C35" i="10" s="1" a="1"/>
  <c r="C35" i="10" s="1"/>
  <c r="C36" i="10" s="1" a="1"/>
  <c r="C36" i="10" s="1"/>
  <c r="C37" i="10" s="1" a="1"/>
  <c r="C37" i="10" s="1"/>
  <c r="C38" i="10" s="1" a="1"/>
  <c r="C38" i="10" s="1"/>
  <c r="C39" i="10" s="1" a="1"/>
  <c r="C39" i="10" s="1"/>
  <c r="C40" i="10" s="1" a="1"/>
  <c r="C40" i="10" s="1"/>
  <c r="C41" i="10" s="1" a="1"/>
  <c r="C41" i="10" s="1"/>
  <c r="C42" i="10" s="1" a="1"/>
  <c r="C42" i="10" s="1"/>
  <c r="C43" i="10" s="1" a="1"/>
  <c r="C43" i="10" s="1"/>
  <c r="C44" i="10" s="1" a="1"/>
  <c r="C44" i="10" s="1"/>
  <c r="C45" i="10" s="1" a="1"/>
  <c r="C45" i="10" s="1"/>
  <c r="C46" i="10" s="1" a="1"/>
  <c r="C46" i="10" s="1"/>
  <c r="C47" i="10" s="1" a="1"/>
  <c r="C47" i="10" s="1"/>
  <c r="C48" i="10" s="1" a="1"/>
  <c r="C48" i="10" s="1"/>
  <c r="C49" i="10" s="1" a="1"/>
  <c r="C49" i="10" s="1"/>
  <c r="C50" i="10" s="1" a="1"/>
  <c r="C50" i="10" s="1"/>
  <c r="C51" i="10" s="1" a="1"/>
  <c r="C51" i="10" s="1"/>
  <c r="C52" i="10" s="1" a="1"/>
  <c r="C52" i="10" s="1"/>
  <c r="C53" i="10" s="1" a="1"/>
  <c r="C53" i="10" s="1"/>
  <c r="C54" i="10" s="1" a="1"/>
  <c r="C54" i="10" s="1"/>
  <c r="C55" i="10" s="1" a="1"/>
  <c r="C55" i="10" s="1"/>
  <c r="C56" i="10" s="1" a="1"/>
  <c r="C56" i="10" s="1"/>
  <c r="C57" i="10" s="1" a="1"/>
  <c r="C57" i="10" s="1"/>
  <c r="C58" i="10" s="1" a="1"/>
  <c r="C58" i="10" s="1"/>
  <c r="C59" i="10" s="1" a="1"/>
  <c r="C59" i="10" s="1"/>
  <c r="C60" i="10" s="1" a="1"/>
  <c r="C60" i="10" s="1"/>
  <c r="C61" i="10" s="1" a="1"/>
  <c r="C61" i="10" s="1"/>
  <c r="C62" i="10" s="1" a="1"/>
  <c r="C62" i="10" s="1"/>
  <c r="C63" i="10" s="1" a="1"/>
  <c r="C63" i="10" s="1"/>
  <c r="C64" i="10" s="1" a="1"/>
  <c r="C64" i="10" s="1"/>
  <c r="C65" i="10" s="1" a="1"/>
  <c r="C65" i="10" s="1"/>
  <c r="C66" i="10" s="1" a="1"/>
  <c r="C66" i="10" s="1"/>
  <c r="C67" i="10" s="1" a="1"/>
  <c r="C67" i="10" s="1"/>
  <c r="C68" i="10" s="1" a="1"/>
  <c r="C68" i="10" s="1"/>
  <c r="C69" i="10" s="1" a="1"/>
  <c r="C69" i="10" s="1"/>
  <c r="C70" i="10" s="1" a="1"/>
  <c r="C70" i="10" s="1"/>
  <c r="C71" i="10" s="1" a="1"/>
  <c r="C71" i="10" s="1"/>
  <c r="C72" i="10" s="1" a="1"/>
  <c r="C72" i="10" s="1"/>
  <c r="C73" i="10" s="1" a="1"/>
  <c r="C73" i="10" s="1"/>
  <c r="C74" i="10" s="1" a="1"/>
  <c r="C74" i="10" s="1"/>
  <c r="C75" i="10" s="1" a="1"/>
  <c r="C75" i="10" s="1"/>
  <c r="C76" i="10" s="1" a="1"/>
  <c r="C76" i="10" s="1"/>
  <c r="C77" i="10" s="1" a="1"/>
  <c r="C77" i="10" s="1"/>
  <c r="C78" i="10" s="1" a="1"/>
  <c r="C78" i="10" s="1"/>
  <c r="C79" i="10" s="1" a="1"/>
  <c r="C79" i="10" s="1"/>
  <c r="C80" i="10" s="1" a="1"/>
  <c r="C80" i="10" s="1"/>
  <c r="C81" i="10" s="1" a="1"/>
  <c r="C81" i="10" s="1"/>
  <c r="C82" i="10" s="1" a="1"/>
  <c r="C82" i="10" s="1"/>
  <c r="C83" i="10" s="1" a="1"/>
  <c r="C83" i="10" s="1"/>
  <c r="C84" i="10" s="1" a="1"/>
  <c r="C84" i="10" s="1"/>
  <c r="C85" i="10" s="1" a="1"/>
  <c r="C85" i="10" s="1"/>
  <c r="C86" i="10" s="1" a="1"/>
  <c r="C86" i="10" s="1"/>
  <c r="C87" i="10" s="1" a="1"/>
  <c r="C87" i="10" s="1"/>
  <c r="C88" i="10" s="1" a="1"/>
  <c r="C88" i="10" s="1"/>
  <c r="C89" i="10" s="1" a="1"/>
  <c r="C89" i="10" s="1"/>
  <c r="C90" i="10" s="1" a="1"/>
  <c r="C90" i="10" s="1"/>
  <c r="C91" i="10" s="1" a="1"/>
  <c r="C91" i="10" s="1"/>
  <c r="C92" i="10" s="1" a="1"/>
  <c r="C92" i="10" s="1"/>
  <c r="C93" i="10" s="1" a="1"/>
  <c r="C93" i="10" s="1"/>
  <c r="C94" i="10" s="1" a="1"/>
  <c r="C94" i="10" s="1"/>
  <c r="C95" i="10" s="1" a="1"/>
  <c r="C95" i="10" s="1"/>
  <c r="C96" i="10" s="1" a="1"/>
  <c r="C96" i="10" s="1"/>
  <c r="C97" i="10" s="1" a="1"/>
  <c r="C97" i="10" s="1"/>
  <c r="C98" i="10" s="1" a="1"/>
  <c r="C98" i="10" s="1"/>
  <c r="C99" i="10" s="1" a="1"/>
  <c r="C99" i="10" s="1"/>
  <c r="C100" i="10" s="1" a="1"/>
  <c r="C100" i="10" s="1"/>
  <c r="C101" i="10" s="1" a="1"/>
  <c r="C101" i="10" s="1"/>
  <c r="C102" i="10" s="1" a="1"/>
  <c r="C102" i="10" s="1"/>
  <c r="C103" i="10" s="1" a="1"/>
  <c r="C103" i="10" s="1"/>
  <c r="C104" i="10" s="1" a="1"/>
  <c r="C104" i="10" s="1"/>
  <c r="C105" i="10" s="1" a="1"/>
  <c r="C105" i="10" s="1"/>
  <c r="C106" i="10" s="1" a="1"/>
  <c r="C106" i="10" s="1"/>
  <c r="C107" i="10" s="1" a="1"/>
  <c r="C107" i="10" s="1"/>
  <c r="C108" i="10" s="1" a="1"/>
  <c r="C108" i="10" s="1"/>
  <c r="C109" i="10" s="1" a="1"/>
  <c r="C109" i="10" s="1"/>
  <c r="C110" i="10" s="1" a="1"/>
  <c r="C110" i="10" s="1"/>
  <c r="C111" i="10" s="1" a="1"/>
  <c r="C111" i="10" s="1"/>
  <c r="C112" i="10" s="1" a="1"/>
  <c r="C112" i="10" s="1"/>
  <c r="C113" i="10" s="1" a="1"/>
  <c r="C113" i="10" s="1"/>
  <c r="C114" i="10" s="1" a="1"/>
  <c r="C114" i="10" s="1"/>
  <c r="C115" i="10" s="1" a="1"/>
  <c r="C115" i="10" s="1"/>
  <c r="C116" i="10" s="1" a="1"/>
  <c r="C116" i="10" s="1"/>
  <c r="C117" i="10" s="1" a="1"/>
  <c r="C117" i="10" s="1"/>
  <c r="C118" i="10" s="1" a="1"/>
  <c r="C118" i="10" s="1"/>
  <c r="C119" i="10" s="1" a="1"/>
  <c r="C119" i="10" s="1"/>
  <c r="C120" i="10" s="1" a="1"/>
  <c r="C120" i="10" s="1"/>
  <c r="C121" i="10" s="1" a="1"/>
  <c r="C121" i="10" s="1"/>
  <c r="C122" i="10" s="1" a="1"/>
  <c r="C122" i="10" s="1"/>
  <c r="C123" i="10" s="1" a="1"/>
  <c r="C123" i="10" s="1"/>
  <c r="C124" i="10" s="1" a="1"/>
  <c r="C124" i="10" s="1"/>
  <c r="C125" i="10" s="1" a="1"/>
  <c r="C125" i="10" s="1"/>
  <c r="C126" i="10" s="1" a="1"/>
  <c r="C126" i="10" s="1"/>
  <c r="C127" i="10" s="1" a="1"/>
  <c r="C127" i="10" s="1"/>
  <c r="C128" i="10" s="1" a="1"/>
  <c r="C128" i="10" s="1"/>
  <c r="C129" i="10" s="1" a="1"/>
  <c r="C129" i="10" s="1"/>
  <c r="C130" i="10" s="1" a="1"/>
  <c r="C130" i="10" s="1"/>
  <c r="C131" i="10" s="1" a="1"/>
  <c r="C131" i="10" s="1"/>
  <c r="C132" i="10" s="1" a="1"/>
  <c r="C132" i="10" s="1"/>
  <c r="C133" i="10" s="1" a="1"/>
  <c r="C133" i="10" s="1"/>
  <c r="C134" i="10" s="1" a="1"/>
  <c r="C134" i="10" s="1"/>
  <c r="C135" i="10" s="1" a="1"/>
  <c r="C135" i="10" s="1"/>
  <c r="C136" i="10" s="1" a="1"/>
  <c r="C136" i="10" s="1"/>
  <c r="C137" i="10" s="1" a="1"/>
  <c r="C137" i="10" s="1"/>
  <c r="C138" i="10" s="1" a="1"/>
  <c r="C138" i="10" s="1"/>
  <c r="C139" i="10" s="1" a="1"/>
  <c r="C139" i="10" s="1"/>
  <c r="C140" i="10" s="1" a="1"/>
  <c r="C140" i="10" s="1"/>
  <c r="C141" i="10" s="1" a="1"/>
  <c r="C141" i="10" s="1"/>
  <c r="C142" i="10" s="1" a="1"/>
  <c r="C142" i="10" s="1"/>
  <c r="C143" i="10" s="1" a="1"/>
  <c r="C143" i="10" s="1"/>
  <c r="C144" i="10" s="1" a="1"/>
  <c r="C144" i="10" s="1"/>
  <c r="C145" i="10" s="1" a="1"/>
  <c r="C145" i="10" s="1"/>
  <c r="C146" i="10" s="1" a="1"/>
  <c r="C146" i="10" s="1"/>
  <c r="C147" i="10" s="1" a="1"/>
  <c r="C147" i="10" s="1"/>
  <c r="C148" i="10" s="1" a="1"/>
  <c r="C148" i="10" s="1"/>
  <c r="C149" i="10" s="1" a="1"/>
  <c r="C149" i="10" s="1"/>
  <c r="C150" i="10" s="1" a="1"/>
  <c r="C150" i="10" s="1"/>
  <c r="C151" i="10" s="1" a="1"/>
  <c r="C151" i="10" s="1"/>
  <c r="C152" i="10" s="1" a="1"/>
  <c r="C152" i="10" s="1"/>
  <c r="C153" i="10" s="1" a="1"/>
  <c r="C153" i="10" s="1"/>
  <c r="C154" i="10" s="1" a="1"/>
  <c r="C154" i="10" s="1"/>
  <c r="C155" i="10" s="1" a="1"/>
  <c r="C155" i="10" s="1"/>
  <c r="C156" i="10" s="1" a="1"/>
  <c r="C156" i="10" s="1"/>
  <c r="C157" i="10" s="1" a="1"/>
  <c r="C157" i="10" s="1"/>
  <c r="C158" i="10" s="1" a="1"/>
  <c r="C158" i="10" s="1"/>
  <c r="C159" i="10" s="1" a="1"/>
  <c r="C159" i="10" s="1"/>
  <c r="C160" i="10" s="1" a="1"/>
  <c r="C160" i="10" s="1"/>
  <c r="C161" i="10" s="1" a="1"/>
  <c r="C161" i="10" s="1"/>
  <c r="C162" i="10" s="1" a="1"/>
  <c r="C162" i="10" s="1"/>
  <c r="C163" i="10" s="1" a="1"/>
  <c r="C163" i="10" s="1"/>
  <c r="C164" i="10" s="1" a="1"/>
  <c r="C164" i="10" s="1"/>
  <c r="C165" i="10" s="1" a="1"/>
  <c r="C165" i="10" s="1"/>
  <c r="C166" i="10" s="1" a="1"/>
  <c r="C166" i="10" s="1"/>
  <c r="C167" i="10" s="1" a="1"/>
  <c r="C167" i="10" s="1"/>
  <c r="C168" i="10" s="1" a="1"/>
  <c r="C168" i="10" s="1"/>
  <c r="C169" i="10" s="1" a="1"/>
  <c r="C169" i="10" s="1"/>
  <c r="C170" i="10" s="1" a="1"/>
  <c r="C170" i="10" s="1"/>
  <c r="C171" i="10" s="1" a="1"/>
  <c r="C171" i="10" s="1"/>
  <c r="C172" i="10" s="1" a="1"/>
  <c r="C172" i="10" s="1"/>
  <c r="C173" i="10" s="1" a="1"/>
  <c r="C173" i="10" s="1"/>
  <c r="C174" i="10" s="1" a="1"/>
  <c r="C174" i="10" s="1"/>
  <c r="C175" i="10" s="1" a="1"/>
  <c r="C175" i="10" s="1"/>
  <c r="C176" i="10" s="1" a="1"/>
  <c r="C176" i="10" s="1"/>
  <c r="C177" i="10" s="1" a="1"/>
  <c r="C177" i="10" s="1"/>
  <c r="C178" i="10" s="1" a="1"/>
  <c r="C178" i="10" s="1"/>
  <c r="C179" i="10" s="1" a="1"/>
  <c r="C179" i="10" s="1"/>
  <c r="C180" i="10" s="1" a="1"/>
  <c r="C180" i="10" s="1"/>
  <c r="C181" i="10" s="1" a="1"/>
  <c r="C181" i="10" s="1"/>
  <c r="C182" i="10" s="1" a="1"/>
  <c r="C182" i="10" s="1"/>
  <c r="C183" i="10" s="1" a="1"/>
  <c r="C183" i="10" s="1"/>
  <c r="C184" i="10" s="1" a="1"/>
  <c r="C184" i="10" s="1"/>
  <c r="C185" i="10" s="1" a="1"/>
  <c r="C185" i="10" s="1"/>
  <c r="C186" i="10" s="1" a="1"/>
  <c r="C186" i="10" s="1"/>
  <c r="C187" i="10" s="1" a="1"/>
  <c r="C187" i="10" s="1"/>
  <c r="C188" i="10" s="1" a="1"/>
  <c r="C188" i="10" s="1"/>
  <c r="C189" i="10" s="1" a="1"/>
  <c r="C189" i="10" s="1"/>
  <c r="C190" i="10" s="1" a="1"/>
  <c r="C190" i="10" s="1"/>
  <c r="C191" i="10" s="1" a="1"/>
  <c r="C191" i="10" s="1"/>
  <c r="C192" i="10" s="1" a="1"/>
  <c r="C192" i="10" s="1"/>
  <c r="C193" i="10" s="1" a="1"/>
  <c r="C193" i="10" s="1"/>
  <c r="C194" i="10" s="1" a="1"/>
  <c r="C194" i="10" s="1"/>
  <c r="C195" i="10" s="1" a="1"/>
  <c r="C195" i="10" s="1"/>
  <c r="C196" i="10" s="1" a="1"/>
  <c r="C196" i="10" s="1"/>
  <c r="C197" i="10" s="1" a="1"/>
  <c r="C197" i="10" s="1"/>
  <c r="C198" i="10" s="1" a="1"/>
  <c r="C198" i="10" s="1"/>
  <c r="C199" i="10" s="1" a="1"/>
  <c r="C199" i="10" s="1"/>
  <c r="C200" i="10" s="1" a="1"/>
  <c r="C200" i="10" s="1"/>
  <c r="C201" i="10" s="1" a="1"/>
  <c r="C201" i="10" s="1"/>
  <c r="C202" i="10" s="1" a="1"/>
  <c r="C202" i="10" s="1"/>
  <c r="C203" i="10" s="1" a="1"/>
  <c r="C203" i="10" s="1"/>
  <c r="C204" i="10" s="1" a="1"/>
  <c r="C204" i="10" s="1"/>
  <c r="C205" i="10" s="1" a="1"/>
  <c r="C205" i="10" s="1"/>
  <c r="C206" i="10" s="1" a="1"/>
  <c r="C206" i="10" s="1"/>
  <c r="C207" i="10" s="1" a="1"/>
  <c r="C207" i="10" s="1"/>
  <c r="C208" i="10" s="1" a="1"/>
  <c r="C208" i="10" s="1"/>
  <c r="C209" i="10" s="1" a="1"/>
  <c r="C209" i="10" s="1"/>
  <c r="C210" i="10" s="1" a="1"/>
  <c r="C210" i="10" s="1"/>
  <c r="C211" i="10" s="1" a="1"/>
  <c r="C211" i="10" s="1"/>
  <c r="C212" i="10" s="1" a="1"/>
  <c r="C212" i="10" s="1"/>
  <c r="C213" i="10" s="1" a="1"/>
  <c r="C213" i="10" s="1"/>
  <c r="C214" i="10" s="1" a="1"/>
  <c r="C214" i="10" s="1"/>
  <c r="C215" i="10" s="1" a="1"/>
  <c r="C215" i="10" s="1"/>
  <c r="C216" i="10" s="1" a="1"/>
  <c r="C216" i="10" s="1"/>
  <c r="C217" i="10" s="1" a="1"/>
  <c r="C217" i="10" s="1"/>
  <c r="C218" i="10" s="1" a="1"/>
  <c r="C218" i="10" s="1"/>
  <c r="C219" i="10" s="1" a="1"/>
  <c r="C219" i="10" s="1"/>
  <c r="C220" i="10" s="1" a="1"/>
  <c r="C220" i="10" s="1"/>
  <c r="C221" i="10" s="1" a="1"/>
  <c r="C221" i="10" s="1"/>
  <c r="C222" i="10" s="1" a="1"/>
  <c r="C222" i="10" s="1"/>
  <c r="C223" i="10" s="1" a="1"/>
  <c r="C223" i="10" s="1"/>
  <c r="C224" i="10" s="1" a="1"/>
  <c r="C224" i="10" s="1"/>
  <c r="C225" i="10" s="1" a="1"/>
  <c r="C225" i="10" s="1"/>
  <c r="C226" i="10" s="1" a="1"/>
  <c r="C226" i="10" s="1"/>
  <c r="C227" i="10" s="1" a="1"/>
  <c r="C227" i="10" s="1"/>
  <c r="C228" i="10" s="1" a="1"/>
  <c r="C228" i="10" s="1"/>
  <c r="C229" i="10" s="1" a="1"/>
  <c r="C229" i="10" s="1"/>
  <c r="C230" i="10" s="1" a="1"/>
  <c r="C230" i="10" s="1"/>
  <c r="C231" i="10" s="1" a="1"/>
  <c r="C231" i="10" s="1"/>
  <c r="C232" i="10" s="1" a="1"/>
  <c r="C232" i="10" s="1"/>
  <c r="C233" i="10" s="1" a="1"/>
  <c r="C233" i="10" s="1"/>
  <c r="C234" i="10" s="1" a="1"/>
  <c r="C234" i="10" s="1"/>
  <c r="C235" i="10" s="1" a="1"/>
  <c r="C235" i="10" s="1"/>
  <c r="C236" i="10" s="1" a="1"/>
  <c r="C236" i="10" s="1"/>
  <c r="C237" i="10" s="1" a="1"/>
  <c r="C237" i="10" s="1"/>
  <c r="C238" i="10" s="1" a="1"/>
  <c r="C238" i="10" s="1"/>
  <c r="C239" i="10" s="1" a="1"/>
  <c r="C239" i="10" s="1"/>
  <c r="C240" i="10" s="1" a="1"/>
  <c r="C240" i="10" s="1"/>
  <c r="C241" i="10" s="1" a="1"/>
  <c r="C241" i="10" s="1"/>
  <c r="C242" i="10" s="1" a="1"/>
  <c r="C242" i="10" s="1"/>
  <c r="C243" i="10" s="1" a="1"/>
  <c r="C243" i="10" s="1"/>
  <c r="C244" i="10" s="1" a="1"/>
  <c r="C244" i="10" s="1"/>
  <c r="C245" i="10" s="1" a="1"/>
  <c r="C245" i="10" s="1"/>
  <c r="C246" i="10" s="1" a="1"/>
  <c r="C246" i="10" s="1"/>
  <c r="C247" i="10" s="1" a="1"/>
  <c r="C247" i="10" s="1"/>
  <c r="C248" i="10" s="1" a="1"/>
  <c r="C248" i="10" s="1"/>
  <c r="C249" i="10" s="1" a="1"/>
  <c r="C249" i="10" s="1"/>
  <c r="C250" i="10" s="1" a="1"/>
  <c r="C250" i="10" s="1"/>
  <c r="C251" i="10" s="1" a="1"/>
  <c r="C251" i="10" s="1"/>
  <c r="C252" i="10" s="1" a="1"/>
  <c r="C252" i="10" s="1"/>
  <c r="C253" i="10" s="1" a="1"/>
  <c r="C253" i="10" s="1"/>
  <c r="C254" i="10" s="1" a="1"/>
  <c r="C254" i="10" s="1"/>
  <c r="C255" i="10" s="1" a="1"/>
  <c r="C255" i="10" s="1"/>
  <c r="C256" i="10" s="1" a="1"/>
  <c r="C256" i="10" s="1"/>
  <c r="C257" i="10" s="1" a="1"/>
  <c r="C257" i="10" s="1"/>
  <c r="C258" i="10" s="1" a="1"/>
  <c r="C258" i="10" s="1"/>
  <c r="C259" i="10" s="1" a="1"/>
  <c r="C259" i="10" s="1"/>
  <c r="C260" i="10" s="1" a="1"/>
  <c r="C260" i="10" s="1"/>
  <c r="C261" i="10" s="1" a="1"/>
  <c r="C261" i="10" s="1"/>
  <c r="C262" i="10" s="1" a="1"/>
  <c r="C262" i="10" s="1"/>
  <c r="C263" i="10" s="1" a="1"/>
  <c r="C263" i="10" s="1"/>
  <c r="C264" i="10" s="1" a="1"/>
  <c r="C264" i="10" s="1"/>
  <c r="C265" i="10" s="1" a="1"/>
  <c r="C265" i="10" s="1"/>
  <c r="C266" i="10" s="1" a="1"/>
  <c r="C266" i="10" s="1"/>
  <c r="C267" i="10" s="1" a="1"/>
  <c r="C267" i="10" s="1"/>
  <c r="C268" i="10" s="1" a="1"/>
  <c r="C268" i="10" s="1"/>
  <c r="C269" i="10" s="1" a="1"/>
  <c r="C269" i="10" s="1"/>
  <c r="C270" i="10" s="1" a="1"/>
  <c r="C270" i="10" s="1"/>
  <c r="C271" i="10" s="1" a="1"/>
  <c r="C271" i="10" s="1"/>
  <c r="C272" i="10" s="1" a="1"/>
  <c r="C272" i="10" s="1"/>
  <c r="C273" i="10" s="1" a="1"/>
  <c r="C273" i="10" s="1"/>
  <c r="C274" i="10" s="1" a="1"/>
  <c r="C274" i="10" s="1"/>
  <c r="C275" i="10" s="1" a="1"/>
  <c r="C275" i="10" s="1"/>
  <c r="C276" i="10" s="1" a="1"/>
  <c r="C276" i="10" s="1"/>
  <c r="C277" i="10" s="1" a="1"/>
  <c r="C277" i="10" s="1"/>
  <c r="C278" i="10" s="1" a="1"/>
  <c r="C278" i="10" s="1"/>
  <c r="C279" i="10" s="1" a="1"/>
  <c r="C279" i="10" s="1"/>
  <c r="C280" i="10" s="1" a="1"/>
  <c r="C280" i="10" s="1"/>
  <c r="C281" i="10" s="1" a="1"/>
  <c r="C281" i="10" s="1"/>
  <c r="C282" i="10" s="1" a="1"/>
  <c r="C282" i="10" s="1"/>
  <c r="C283" i="10" s="1" a="1"/>
  <c r="C283" i="10" s="1"/>
  <c r="C284" i="10" s="1" a="1"/>
  <c r="C284" i="10" s="1"/>
  <c r="C285" i="10" s="1" a="1"/>
  <c r="C285" i="10" s="1"/>
  <c r="C286" i="10" s="1" a="1"/>
  <c r="C286" i="10" s="1"/>
  <c r="C287" i="10" s="1" a="1"/>
  <c r="C287" i="10" s="1"/>
  <c r="C288" i="10" s="1" a="1"/>
  <c r="C288" i="10" s="1"/>
  <c r="C289" i="10" s="1" a="1"/>
  <c r="C289" i="10" s="1"/>
  <c r="C290" i="10" s="1" a="1"/>
  <c r="C290" i="10" s="1"/>
  <c r="C291" i="10" s="1" a="1"/>
  <c r="C291" i="10" s="1"/>
  <c r="C292" i="10" s="1" a="1"/>
  <c r="C292" i="10" s="1"/>
  <c r="C293" i="10" s="1" a="1"/>
  <c r="C293" i="10" s="1"/>
  <c r="C294" i="10" s="1" a="1"/>
  <c r="C294" i="10" s="1"/>
  <c r="C295" i="10" s="1" a="1"/>
  <c r="C295" i="10" s="1"/>
  <c r="C296" i="10" s="1" a="1"/>
  <c r="C296" i="10" s="1"/>
  <c r="C297" i="10" s="1" a="1"/>
  <c r="C297" i="10" s="1"/>
  <c r="C298" i="10" s="1" a="1"/>
  <c r="C298" i="10" s="1"/>
  <c r="C299" i="10" s="1" a="1"/>
  <c r="C299" i="10" s="1"/>
  <c r="C300" i="10" s="1" a="1"/>
  <c r="C300" i="10" s="1"/>
  <c r="C301" i="10" s="1" a="1"/>
  <c r="C301" i="10" s="1"/>
  <c r="C302" i="10" s="1" a="1"/>
  <c r="C302" i="10" s="1"/>
  <c r="C303" i="10" s="1" a="1"/>
  <c r="C303" i="10" s="1"/>
  <c r="C304" i="10" s="1" a="1"/>
  <c r="C304" i="10" s="1"/>
  <c r="C305" i="10" s="1" a="1"/>
  <c r="C305" i="10" s="1"/>
  <c r="C306" i="10" s="1" a="1"/>
  <c r="C306" i="10" s="1"/>
  <c r="C307" i="10" s="1" a="1"/>
  <c r="C307" i="10" s="1"/>
  <c r="C308" i="10" s="1" a="1"/>
  <c r="C308" i="10" s="1"/>
  <c r="C309" i="10" s="1" a="1"/>
  <c r="C309" i="10" s="1"/>
  <c r="C310" i="10" s="1" a="1"/>
  <c r="C310" i="10" s="1"/>
  <c r="C311" i="10" s="1" a="1"/>
  <c r="C311" i="10" s="1"/>
  <c r="C312" i="10" s="1" a="1"/>
  <c r="C312" i="10" s="1"/>
  <c r="C313" i="10" s="1" a="1"/>
  <c r="C313" i="10" s="1"/>
  <c r="C314" i="10" s="1" a="1"/>
  <c r="C314" i="10" s="1"/>
  <c r="C315" i="10" s="1" a="1"/>
  <c r="C315" i="10" s="1"/>
  <c r="C316" i="10" s="1" a="1"/>
  <c r="C316" i="10" s="1"/>
  <c r="C317" i="10" s="1" a="1"/>
  <c r="C317" i="10" s="1"/>
  <c r="C318" i="10" s="1" a="1"/>
  <c r="C318" i="10" s="1"/>
  <c r="C319" i="10" s="1" a="1"/>
  <c r="C319" i="10" s="1"/>
  <c r="C320" i="10" s="1" a="1"/>
  <c r="C320" i="10" s="1"/>
  <c r="C321" i="10" s="1" a="1"/>
  <c r="C321" i="10" s="1"/>
  <c r="C322" i="10" s="1" a="1"/>
  <c r="C322" i="10" s="1"/>
  <c r="C323" i="10" s="1" a="1"/>
  <c r="C323" i="10" s="1"/>
  <c r="C324" i="10" s="1" a="1"/>
  <c r="C324" i="10" s="1"/>
  <c r="C325" i="10" s="1" a="1"/>
  <c r="C325" i="10" s="1"/>
  <c r="C326" i="10" s="1" a="1"/>
  <c r="C326" i="10" s="1"/>
  <c r="C327" i="10" s="1" a="1"/>
  <c r="C327" i="10" s="1"/>
  <c r="C328" i="10" s="1" a="1"/>
  <c r="C328" i="10" s="1"/>
  <c r="C329" i="10" s="1" a="1"/>
  <c r="C329" i="10" s="1"/>
  <c r="C330" i="10" s="1" a="1"/>
  <c r="C330" i="10" s="1"/>
  <c r="C331" i="10" s="1" a="1"/>
  <c r="C331" i="10" s="1"/>
  <c r="C332" i="10" s="1" a="1"/>
  <c r="C332" i="10" s="1"/>
  <c r="C333" i="10" s="1" a="1"/>
  <c r="C333" i="10" s="1"/>
  <c r="C334" i="10" s="1" a="1"/>
  <c r="C334" i="10" s="1"/>
  <c r="C335" i="10" s="1" a="1"/>
  <c r="C335" i="10" s="1"/>
  <c r="C336" i="10" s="1" a="1"/>
  <c r="C336" i="10" s="1"/>
  <c r="C337" i="10" s="1" a="1"/>
  <c r="C337" i="10" s="1"/>
  <c r="C338" i="10" s="1" a="1"/>
  <c r="C338" i="10" s="1"/>
  <c r="C339" i="10" s="1" a="1"/>
  <c r="C339" i="10" s="1"/>
  <c r="C340" i="10" s="1" a="1"/>
  <c r="C340" i="10" s="1"/>
  <c r="C341" i="10" s="1" a="1"/>
  <c r="C341" i="10" s="1"/>
  <c r="C342" i="10" s="1" a="1"/>
  <c r="C342" i="10" s="1"/>
  <c r="C343" i="10" s="1" a="1"/>
  <c r="C343" i="10" s="1"/>
  <c r="C344" i="10" s="1" a="1"/>
  <c r="C344" i="10" s="1"/>
  <c r="C345" i="10" s="1" a="1"/>
  <c r="C345" i="10" s="1"/>
  <c r="C346" i="10" s="1" a="1"/>
  <c r="C346" i="10" s="1"/>
  <c r="C347" i="10" s="1" a="1"/>
  <c r="C347" i="10" s="1"/>
  <c r="C348" i="10" s="1" a="1"/>
  <c r="C348" i="10" s="1"/>
  <c r="C349" i="10" s="1" a="1"/>
  <c r="C349" i="10" s="1"/>
  <c r="C350" i="10" s="1" a="1"/>
  <c r="C350" i="10" s="1"/>
  <c r="C351" i="10" s="1" a="1"/>
  <c r="C351" i="10" s="1"/>
  <c r="C352" i="10" s="1" a="1"/>
  <c r="C352" i="10" s="1"/>
  <c r="C353" i="10" s="1" a="1"/>
  <c r="C353" i="10" s="1"/>
  <c r="C354" i="10" s="1" a="1"/>
  <c r="C354" i="10" s="1"/>
  <c r="C355" i="10" s="1" a="1"/>
  <c r="C355" i="10" s="1"/>
  <c r="C356" i="10" s="1" a="1"/>
  <c r="C356" i="10" s="1"/>
  <c r="C357" i="10" s="1" a="1"/>
  <c r="C357" i="10" s="1"/>
  <c r="C358" i="10" s="1" a="1"/>
  <c r="C358" i="10" s="1"/>
  <c r="C359" i="10" s="1" a="1"/>
  <c r="C359" i="10" s="1"/>
  <c r="C360" i="10" s="1" a="1"/>
  <c r="C360" i="10" s="1"/>
  <c r="C361" i="10" s="1" a="1"/>
  <c r="C361" i="10" s="1"/>
  <c r="C362" i="10" s="1" a="1"/>
  <c r="C362" i="10" s="1"/>
  <c r="C363" i="10" s="1" a="1"/>
  <c r="C363" i="10" s="1"/>
  <c r="C364" i="10" s="1" a="1"/>
  <c r="C364" i="10" s="1"/>
  <c r="C365" i="10" s="1" a="1"/>
  <c r="C365" i="10" s="1"/>
  <c r="C366" i="10" s="1" a="1"/>
  <c r="C366" i="10" s="1"/>
  <c r="C367" i="10" s="1" a="1"/>
  <c r="C367" i="10" s="1"/>
  <c r="C368" i="10" s="1" a="1"/>
  <c r="C368" i="10" s="1"/>
  <c r="C369" i="10" s="1" a="1"/>
  <c r="C369" i="10" s="1"/>
  <c r="C370" i="10" s="1" a="1"/>
  <c r="C370" i="10" s="1"/>
  <c r="C371" i="10" s="1" a="1"/>
  <c r="C371" i="10" s="1"/>
  <c r="C372" i="10" s="1" a="1"/>
  <c r="C372" i="10" s="1"/>
  <c r="C373" i="10" s="1" a="1"/>
  <c r="C373" i="10" s="1"/>
  <c r="C374" i="10" s="1" a="1"/>
  <c r="C374" i="10" s="1"/>
  <c r="C375" i="10" s="1" a="1"/>
  <c r="C375" i="10" s="1"/>
  <c r="C376" i="10" s="1" a="1"/>
  <c r="C376" i="10" s="1"/>
  <c r="C377" i="10" s="1" a="1"/>
  <c r="C377" i="10" s="1"/>
  <c r="C378" i="10" s="1" a="1"/>
  <c r="C378" i="10" s="1"/>
  <c r="C379" i="10" s="1" a="1"/>
  <c r="C379" i="10" s="1"/>
  <c r="C380" i="10" s="1" a="1"/>
  <c r="C380" i="10" s="1"/>
  <c r="C381" i="10" s="1" a="1"/>
  <c r="C381" i="10" s="1"/>
  <c r="C382" i="10" s="1" a="1"/>
  <c r="C382" i="10" s="1"/>
  <c r="C383" i="10" s="1" a="1"/>
  <c r="C383" i="10" s="1"/>
  <c r="C384" i="10" s="1" a="1"/>
  <c r="C384" i="10" s="1"/>
  <c r="C385" i="10" s="1" a="1"/>
  <c r="C385" i="10" s="1"/>
  <c r="C386" i="10" s="1" a="1"/>
  <c r="C386" i="10" s="1"/>
  <c r="C387" i="10" s="1" a="1"/>
  <c r="C387" i="10" s="1"/>
  <c r="C388" i="10" s="1" a="1"/>
  <c r="C388" i="10" s="1"/>
  <c r="C389" i="10" s="1" a="1"/>
  <c r="C389" i="10" s="1"/>
  <c r="C390" i="10" s="1" a="1"/>
  <c r="C390" i="10" s="1"/>
  <c r="C391" i="10" s="1" a="1"/>
  <c r="C391" i="10" s="1"/>
  <c r="C392" i="10" s="1" a="1"/>
  <c r="C392" i="10" s="1"/>
  <c r="C393" i="10" s="1" a="1"/>
  <c r="C393" i="10" s="1"/>
  <c r="C394" i="10" s="1" a="1"/>
  <c r="C394" i="10" s="1"/>
  <c r="C395" i="10" s="1" a="1"/>
  <c r="C395" i="10" s="1"/>
  <c r="C396" i="10" s="1" a="1"/>
  <c r="C396" i="10" s="1"/>
  <c r="C397" i="10" s="1" a="1"/>
  <c r="C397" i="10" s="1"/>
  <c r="C398" i="10" s="1" a="1"/>
  <c r="C398" i="10" s="1"/>
  <c r="C399" i="10" s="1" a="1"/>
  <c r="C399" i="10" s="1"/>
  <c r="C400" i="10" s="1" a="1"/>
  <c r="C400" i="10" s="1"/>
  <c r="C401" i="10" s="1" a="1"/>
  <c r="C401" i="10" s="1"/>
  <c r="C402" i="10" s="1" a="1"/>
  <c r="C402" i="10" s="1"/>
  <c r="C403" i="10" s="1" a="1"/>
  <c r="C403" i="10" s="1"/>
  <c r="C404" i="10" s="1" a="1"/>
  <c r="C404" i="10" s="1"/>
  <c r="C405" i="10" s="1" a="1"/>
  <c r="C405" i="10" s="1"/>
  <c r="C406" i="10" s="1" a="1"/>
  <c r="C406" i="10" s="1"/>
  <c r="C407" i="10" s="1" a="1"/>
  <c r="C407" i="10" s="1"/>
  <c r="C408" i="10" s="1" a="1"/>
  <c r="C408" i="10" s="1"/>
  <c r="C409" i="10" s="1" a="1"/>
  <c r="C409" i="10" s="1"/>
  <c r="C410" i="10" s="1" a="1"/>
  <c r="C410" i="10" s="1"/>
  <c r="C411" i="10" s="1" a="1"/>
  <c r="C411" i="10" s="1"/>
  <c r="C412" i="10" s="1" a="1"/>
  <c r="C412" i="10" s="1"/>
  <c r="C413" i="10" s="1" a="1"/>
  <c r="C413" i="10" s="1"/>
  <c r="C414" i="10" s="1" a="1"/>
  <c r="C414" i="10" s="1"/>
  <c r="C415" i="10" s="1" a="1"/>
  <c r="C415" i="10" s="1"/>
  <c r="C416" i="10" s="1" a="1"/>
  <c r="C416" i="10" s="1"/>
  <c r="C417" i="10" s="1" a="1"/>
  <c r="C417" i="10" s="1"/>
  <c r="C418" i="10" s="1" a="1"/>
  <c r="C418" i="10" s="1"/>
  <c r="C419" i="10" s="1" a="1"/>
  <c r="C419" i="10" s="1"/>
  <c r="C420" i="10" s="1" a="1"/>
  <c r="C420" i="10" s="1"/>
  <c r="C421" i="10" s="1" a="1"/>
  <c r="C421" i="10" s="1"/>
  <c r="C422" i="10" s="1" a="1"/>
  <c r="C422" i="10" s="1"/>
  <c r="C423" i="10" s="1" a="1"/>
  <c r="C423" i="10" s="1"/>
  <c r="C424" i="10" s="1" a="1"/>
  <c r="C424" i="10" s="1"/>
  <c r="C425" i="10" s="1" a="1"/>
  <c r="C425" i="10" s="1"/>
  <c r="C426" i="10" s="1" a="1"/>
  <c r="C426" i="10" s="1"/>
  <c r="C427" i="10" s="1" a="1"/>
  <c r="C427" i="10" s="1"/>
  <c r="C428" i="10" s="1" a="1"/>
  <c r="C428" i="10" s="1"/>
  <c r="C429" i="10" s="1" a="1"/>
  <c r="C429" i="10" s="1"/>
  <c r="C430" i="10" s="1" a="1"/>
  <c r="C430" i="10" s="1"/>
  <c r="C431" i="10" s="1" a="1"/>
  <c r="C431" i="10" s="1"/>
  <c r="C432" i="10" s="1" a="1"/>
  <c r="C432" i="10" s="1"/>
  <c r="C433" i="10" s="1" a="1"/>
  <c r="C433" i="10" s="1"/>
  <c r="C434" i="10" s="1" a="1"/>
  <c r="C434" i="10" s="1"/>
  <c r="C435" i="10" s="1" a="1"/>
  <c r="C435" i="10" s="1"/>
  <c r="C436" i="10" s="1" a="1"/>
  <c r="C436" i="10" s="1"/>
  <c r="C437" i="10" s="1" a="1"/>
  <c r="C437" i="10" s="1"/>
  <c r="C438" i="10" s="1" a="1"/>
  <c r="C438" i="10" s="1"/>
  <c r="C439" i="10" s="1" a="1"/>
  <c r="C439" i="10" s="1"/>
  <c r="C440" i="10" s="1" a="1"/>
  <c r="C440" i="10" s="1"/>
  <c r="C441" i="10" s="1" a="1"/>
  <c r="C441" i="10" s="1"/>
  <c r="C442" i="10" s="1" a="1"/>
  <c r="C442" i="10" s="1"/>
  <c r="C443" i="10" s="1" a="1"/>
  <c r="C443" i="10" s="1"/>
  <c r="C444" i="10" s="1" a="1"/>
  <c r="C444" i="10" s="1"/>
  <c r="C445" i="10" s="1" a="1"/>
  <c r="C445" i="10" s="1"/>
  <c r="C446" i="10" s="1" a="1"/>
  <c r="C446" i="10" s="1"/>
  <c r="C447" i="10" s="1" a="1"/>
  <c r="C447" i="10" s="1"/>
  <c r="C448" i="10" s="1" a="1"/>
  <c r="C448" i="10" s="1"/>
  <c r="C449" i="10" s="1" a="1"/>
  <c r="C449" i="10" s="1"/>
  <c r="C450" i="10" s="1" a="1"/>
  <c r="C450" i="10" s="1"/>
  <c r="C451" i="10" s="1" a="1"/>
  <c r="C451" i="10" s="1"/>
  <c r="C452" i="10" s="1" a="1"/>
  <c r="C452" i="10" s="1"/>
  <c r="C453" i="10" s="1" a="1"/>
  <c r="C453" i="10" s="1"/>
  <c r="C454" i="10" s="1" a="1"/>
  <c r="C454" i="10" s="1"/>
  <c r="C455" i="10" s="1" a="1"/>
  <c r="C455" i="10" s="1"/>
  <c r="C456" i="10" s="1" a="1"/>
  <c r="C456" i="10" s="1"/>
  <c r="C457" i="10" s="1" a="1"/>
  <c r="C457" i="10" s="1"/>
  <c r="C458" i="10" s="1" a="1"/>
  <c r="C458" i="10" s="1"/>
  <c r="C459" i="10" s="1" a="1"/>
  <c r="C459" i="10" s="1"/>
  <c r="C460" i="10" s="1" a="1"/>
  <c r="C460" i="10" s="1"/>
  <c r="C461" i="10" s="1" a="1"/>
  <c r="C461" i="10" s="1"/>
  <c r="C462" i="10" s="1" a="1"/>
  <c r="C462" i="10" s="1"/>
  <c r="C463" i="10" s="1" a="1"/>
  <c r="C463" i="10" s="1"/>
  <c r="C464" i="10" s="1" a="1"/>
  <c r="C464" i="10" s="1"/>
  <c r="C465" i="10" s="1" a="1"/>
  <c r="C465" i="10" s="1"/>
  <c r="C466" i="10" s="1" a="1"/>
  <c r="C466" i="10" s="1"/>
  <c r="C467" i="10" s="1" a="1"/>
  <c r="C467" i="10" s="1"/>
  <c r="C468" i="10" s="1" a="1"/>
  <c r="C468" i="10" s="1"/>
  <c r="C469" i="10" s="1" a="1"/>
  <c r="C469" i="10" s="1"/>
  <c r="C470" i="10" s="1" a="1"/>
  <c r="C470" i="10" s="1"/>
  <c r="C471" i="10" s="1" a="1"/>
  <c r="C471" i="10" s="1"/>
  <c r="C472" i="10" s="1" a="1"/>
  <c r="C472" i="10" s="1"/>
  <c r="C473" i="10" s="1" a="1"/>
  <c r="C473" i="10" s="1"/>
  <c r="C474" i="10" s="1" a="1"/>
  <c r="C474" i="10" s="1"/>
  <c r="C475" i="10" s="1" a="1"/>
  <c r="C475" i="10" s="1"/>
  <c r="C476" i="10" s="1" a="1"/>
  <c r="C476" i="10" s="1"/>
  <c r="C477" i="10" s="1" a="1"/>
  <c r="C477" i="10" s="1"/>
  <c r="C478" i="10" s="1" a="1"/>
  <c r="C478" i="10" s="1"/>
  <c r="C479" i="10" s="1" a="1"/>
  <c r="C479" i="10" s="1"/>
  <c r="C480" i="10" s="1" a="1"/>
  <c r="C480" i="10" s="1"/>
  <c r="C481" i="10" s="1" a="1"/>
  <c r="C481" i="10" s="1"/>
  <c r="C482" i="10" s="1" a="1"/>
  <c r="C482" i="10" s="1"/>
  <c r="C483" i="10" s="1" a="1"/>
  <c r="C483" i="10" s="1"/>
  <c r="C484" i="10" s="1" a="1"/>
  <c r="C484" i="10" s="1"/>
  <c r="C485" i="10" s="1" a="1"/>
  <c r="C485" i="10" s="1"/>
  <c r="C486" i="10" s="1" a="1"/>
  <c r="C486" i="10" s="1"/>
  <c r="C487" i="10" s="1" a="1"/>
  <c r="C487" i="10" s="1"/>
  <c r="C488" i="10" s="1" a="1"/>
  <c r="C488" i="10" s="1"/>
  <c r="C489" i="10" s="1" a="1"/>
  <c r="C489" i="10" s="1"/>
  <c r="C490" i="10" s="1" a="1"/>
  <c r="C490" i="10" s="1"/>
  <c r="C491" i="10" s="1" a="1"/>
  <c r="C491" i="10" s="1"/>
  <c r="C492" i="10" s="1" a="1"/>
  <c r="C492" i="10" s="1"/>
  <c r="C493" i="10" s="1" a="1"/>
  <c r="C493" i="10" s="1"/>
  <c r="C494" i="10" s="1" a="1"/>
  <c r="C494" i="10" s="1"/>
  <c r="C495" i="10" s="1" a="1"/>
  <c r="C495" i="10" s="1"/>
  <c r="C496" i="10" s="1" a="1"/>
  <c r="C496" i="10" s="1"/>
  <c r="C497" i="10" s="1" a="1"/>
  <c r="C497" i="10" s="1"/>
  <c r="C498" i="10" s="1" a="1"/>
  <c r="C498" i="10" s="1"/>
  <c r="C499" i="10" s="1" a="1"/>
  <c r="C499" i="10" s="1"/>
  <c r="C500" i="10" s="1" a="1"/>
  <c r="C500" i="10" s="1"/>
  <c r="C501" i="10" s="1" a="1"/>
  <c r="C501" i="10" s="1"/>
  <c r="C502" i="10" s="1" a="1"/>
  <c r="C502" i="10" s="1"/>
  <c r="C503" i="10" s="1" a="1"/>
  <c r="C503" i="10" s="1"/>
  <c r="C504" i="10" s="1" a="1"/>
  <c r="C504" i="10" s="1"/>
  <c r="C505" i="10" s="1" a="1"/>
  <c r="C505" i="10" s="1"/>
  <c r="C506" i="10" s="1" a="1"/>
  <c r="C506" i="10" s="1"/>
  <c r="C507" i="10" s="1" a="1"/>
  <c r="C507" i="10" s="1"/>
  <c r="C508" i="10" s="1" a="1"/>
  <c r="C508" i="10" s="1"/>
  <c r="C509" i="10" s="1" a="1"/>
  <c r="C509" i="10" s="1"/>
  <c r="C510" i="10" s="1" a="1"/>
  <c r="C510" i="10" s="1"/>
  <c r="C511" i="10" s="1" a="1"/>
  <c r="C511" i="10" s="1"/>
  <c r="C512" i="10" s="1" a="1"/>
  <c r="C512" i="10" s="1"/>
  <c r="C513" i="10" s="1" a="1"/>
  <c r="C513" i="10" s="1"/>
  <c r="C514" i="10" s="1" a="1"/>
  <c r="C514" i="10" s="1"/>
  <c r="C515" i="10" s="1" a="1"/>
  <c r="C515" i="10" s="1"/>
  <c r="C516" i="10" s="1" a="1"/>
  <c r="C516" i="10" s="1"/>
  <c r="C517" i="10" s="1" a="1"/>
  <c r="C517" i="10" s="1"/>
  <c r="C518" i="10" s="1" a="1"/>
  <c r="C518" i="10" s="1"/>
  <c r="C519" i="10" s="1" a="1"/>
  <c r="C519" i="10" s="1"/>
  <c r="C520" i="10" s="1" a="1"/>
  <c r="C520" i="10" s="1"/>
  <c r="C521" i="10" s="1" a="1"/>
  <c r="C521" i="10" s="1"/>
  <c r="C522" i="10" s="1" a="1"/>
  <c r="C522" i="10" s="1"/>
  <c r="C523" i="10" s="1" a="1"/>
  <c r="C523" i="10" s="1"/>
  <c r="C524" i="10" s="1" a="1"/>
  <c r="C524" i="10" s="1"/>
  <c r="C525" i="10" s="1" a="1"/>
  <c r="C525" i="10" s="1"/>
  <c r="C526" i="10" s="1" a="1"/>
  <c r="C526" i="10" s="1"/>
  <c r="C527" i="10" s="1" a="1"/>
  <c r="C527" i="10" s="1"/>
  <c r="C528" i="10" s="1" a="1"/>
  <c r="C528" i="10" s="1"/>
  <c r="C529" i="10" s="1" a="1"/>
  <c r="C529" i="10" s="1"/>
  <c r="C530" i="10" s="1" a="1"/>
  <c r="C530" i="10" s="1"/>
  <c r="C531" i="10" s="1" a="1"/>
  <c r="C531" i="10" s="1"/>
  <c r="C532" i="10" s="1" a="1"/>
  <c r="C532" i="10" s="1"/>
  <c r="C533" i="10" s="1" a="1"/>
  <c r="C533" i="10" s="1"/>
  <c r="C534" i="10" s="1" a="1"/>
  <c r="C534" i="10" s="1"/>
  <c r="C535" i="10" s="1" a="1"/>
  <c r="C535" i="10" s="1"/>
  <c r="C536" i="10" s="1" a="1"/>
  <c r="C536" i="10" s="1"/>
  <c r="C537" i="10" s="1" a="1"/>
  <c r="C537" i="10" s="1"/>
  <c r="C538" i="10" s="1" a="1"/>
  <c r="C538" i="10" s="1"/>
  <c r="C539" i="10" s="1" a="1"/>
  <c r="C539" i="10" s="1"/>
  <c r="C540" i="10" s="1" a="1"/>
  <c r="C540" i="10" s="1"/>
  <c r="C541" i="10" s="1" a="1"/>
  <c r="C541" i="10" s="1"/>
  <c r="C542" i="10" s="1" a="1"/>
  <c r="C542" i="10" s="1"/>
  <c r="C543" i="10" s="1" a="1"/>
  <c r="C543" i="10" s="1"/>
  <c r="C544" i="10" s="1" a="1"/>
  <c r="C544" i="10" s="1"/>
  <c r="C545" i="10" s="1" a="1"/>
  <c r="C545" i="10" s="1"/>
  <c r="C546" i="10" s="1" a="1"/>
  <c r="C546" i="10" s="1"/>
  <c r="C547" i="10" s="1" a="1"/>
  <c r="C547" i="10" s="1"/>
  <c r="C548" i="10" s="1" a="1"/>
  <c r="C548" i="10" s="1"/>
  <c r="C549" i="10" s="1" a="1"/>
  <c r="C549" i="10" s="1"/>
  <c r="C550" i="10" s="1" a="1"/>
  <c r="C550" i="10" s="1"/>
  <c r="C551" i="10" s="1" a="1"/>
  <c r="C551" i="10" s="1"/>
  <c r="C552" i="10" s="1" a="1"/>
  <c r="C552" i="10" s="1"/>
  <c r="C553" i="10" s="1" a="1"/>
  <c r="C553" i="10" s="1"/>
  <c r="C554" i="10" s="1" a="1"/>
  <c r="C554" i="10" s="1"/>
  <c r="C555" i="10" s="1" a="1"/>
  <c r="C555" i="10" s="1"/>
  <c r="C556" i="10" s="1" a="1"/>
  <c r="C556" i="10" s="1"/>
  <c r="C557" i="10" s="1" a="1"/>
  <c r="C557" i="10" s="1"/>
  <c r="C558" i="10" s="1" a="1"/>
  <c r="C558" i="10" s="1"/>
  <c r="C559" i="10" s="1" a="1"/>
  <c r="C559" i="10" s="1"/>
  <c r="C560" i="10" s="1" a="1"/>
  <c r="C560" i="10" s="1"/>
  <c r="C561" i="10" s="1" a="1"/>
  <c r="C561" i="10" s="1"/>
  <c r="C562" i="10" s="1" a="1"/>
  <c r="C562" i="10" s="1"/>
  <c r="C563" i="10" s="1" a="1"/>
  <c r="C563" i="10" s="1"/>
  <c r="C564" i="10" s="1" a="1"/>
  <c r="C564" i="10" s="1"/>
  <c r="C565" i="10" s="1" a="1"/>
  <c r="C565" i="10" s="1"/>
  <c r="C566" i="10" s="1" a="1"/>
  <c r="C566" i="10" s="1"/>
  <c r="C567" i="10" s="1" a="1"/>
  <c r="C567" i="10" s="1"/>
  <c r="C568" i="10" s="1" a="1"/>
  <c r="C568" i="10" s="1"/>
  <c r="C569" i="10" s="1" a="1"/>
  <c r="C569" i="10" s="1"/>
  <c r="C570" i="10" s="1" a="1"/>
  <c r="C570" i="10" s="1"/>
  <c r="C571" i="10" s="1" a="1"/>
  <c r="C571" i="10" s="1"/>
  <c r="C572" i="10" s="1" a="1"/>
  <c r="C572" i="10" s="1"/>
  <c r="C573" i="10" s="1" a="1"/>
  <c r="C573" i="10" s="1"/>
  <c r="C574" i="10" s="1" a="1"/>
  <c r="C574" i="10" s="1"/>
  <c r="C575" i="10" s="1" a="1"/>
  <c r="C575" i="10" s="1"/>
  <c r="C576" i="10" s="1" a="1"/>
  <c r="C576" i="10" s="1"/>
  <c r="C577" i="10" s="1" a="1"/>
  <c r="C577" i="10" s="1"/>
  <c r="C578" i="10" s="1" a="1"/>
  <c r="C578" i="10" s="1"/>
  <c r="C579" i="10" s="1" a="1"/>
  <c r="C579" i="10" s="1"/>
  <c r="C580" i="10" s="1" a="1"/>
  <c r="C580" i="10" s="1"/>
  <c r="C581" i="10" s="1" a="1"/>
  <c r="C581" i="10" s="1"/>
  <c r="C582" i="10" s="1" a="1"/>
  <c r="C582" i="10" s="1"/>
  <c r="C583" i="10" s="1" a="1"/>
  <c r="C583" i="10" s="1"/>
  <c r="C584" i="10" s="1" a="1"/>
  <c r="C584" i="10" s="1"/>
  <c r="C585" i="10" s="1" a="1"/>
  <c r="C585" i="10" s="1"/>
  <c r="C586" i="10" s="1" a="1"/>
  <c r="C586" i="10" s="1"/>
  <c r="C587" i="10" s="1" a="1"/>
  <c r="C587" i="10" s="1"/>
  <c r="C588" i="10" s="1" a="1"/>
  <c r="C588" i="10" s="1"/>
  <c r="C589" i="10" s="1" a="1"/>
  <c r="C589" i="10" s="1"/>
  <c r="C590" i="10" s="1" a="1"/>
  <c r="C590" i="10" s="1"/>
  <c r="C591" i="10" s="1" a="1"/>
  <c r="C591" i="10" s="1"/>
  <c r="C592" i="10" s="1" a="1"/>
  <c r="C592" i="10" s="1"/>
  <c r="C593" i="10" s="1" a="1"/>
  <c r="C593" i="10" s="1"/>
  <c r="C594" i="10" s="1" a="1"/>
  <c r="C594" i="10" s="1"/>
  <c r="C595" i="10" s="1" a="1"/>
  <c r="C595" i="10" s="1"/>
  <c r="C596" i="10" s="1" a="1"/>
  <c r="C596" i="10" s="1"/>
  <c r="C597" i="10" s="1" a="1"/>
  <c r="C597" i="10" s="1"/>
  <c r="C598" i="10" s="1" a="1"/>
  <c r="C598" i="10" s="1"/>
  <c r="C599" i="10" s="1" a="1"/>
  <c r="C599" i="10" s="1"/>
  <c r="C600" i="10" s="1" a="1"/>
  <c r="C600" i="10" s="1"/>
  <c r="C601" i="10" s="1" a="1"/>
  <c r="C601" i="10" s="1"/>
  <c r="C602" i="10" s="1" a="1"/>
  <c r="C602" i="10" s="1"/>
  <c r="C603" i="10" s="1" a="1"/>
  <c r="C603" i="10" s="1"/>
  <c r="C604" i="10" s="1" a="1"/>
  <c r="C604" i="10" s="1"/>
  <c r="C605" i="10" s="1" a="1"/>
  <c r="C605" i="10" s="1"/>
  <c r="C606" i="10" s="1" a="1"/>
  <c r="C606" i="10" s="1"/>
  <c r="C607" i="10" s="1" a="1"/>
  <c r="C607" i="10" s="1"/>
  <c r="C608" i="10" s="1" a="1"/>
  <c r="C608" i="10" s="1"/>
  <c r="C609" i="10" s="1" a="1"/>
  <c r="C609" i="10" s="1"/>
  <c r="C610" i="10" s="1" a="1"/>
  <c r="C610" i="10" s="1"/>
  <c r="C611" i="10" s="1" a="1"/>
  <c r="C611" i="10" s="1"/>
  <c r="C612" i="10" s="1" a="1"/>
  <c r="C612" i="10" s="1"/>
  <c r="C613" i="10" s="1" a="1"/>
  <c r="C613" i="10" s="1"/>
  <c r="C614" i="10" s="1" a="1"/>
  <c r="C614" i="10" s="1"/>
  <c r="C615" i="10" s="1" a="1"/>
  <c r="C615" i="10" s="1"/>
  <c r="C616" i="10" s="1" a="1"/>
  <c r="C616" i="10" s="1"/>
  <c r="C617" i="10" s="1" a="1"/>
  <c r="C617" i="10" s="1"/>
  <c r="C618" i="10" s="1" a="1"/>
  <c r="C618" i="10" s="1"/>
  <c r="C619" i="10" s="1" a="1"/>
  <c r="C619" i="10" s="1"/>
  <c r="C620" i="10" s="1" a="1"/>
  <c r="C620" i="10" s="1"/>
  <c r="C621" i="10" s="1" a="1"/>
  <c r="C621" i="10" s="1"/>
  <c r="C622" i="10" s="1" a="1"/>
  <c r="C622" i="10" s="1"/>
  <c r="C623" i="10" s="1" a="1"/>
  <c r="C623" i="10" s="1"/>
  <c r="C624" i="10" s="1" a="1"/>
  <c r="C624" i="10" s="1"/>
  <c r="C625" i="10" s="1" a="1"/>
  <c r="C625" i="10" s="1"/>
  <c r="C626" i="10" s="1" a="1"/>
  <c r="C626" i="10" s="1"/>
  <c r="C627" i="10" s="1" a="1"/>
  <c r="C627" i="10" s="1"/>
  <c r="C628" i="10" s="1" a="1"/>
  <c r="C628" i="10" s="1"/>
  <c r="C629" i="10" s="1" a="1"/>
  <c r="C629" i="10" s="1"/>
  <c r="C630" i="10" s="1" a="1"/>
  <c r="C630" i="10" s="1"/>
  <c r="C631" i="10" s="1" a="1"/>
  <c r="C631" i="10" s="1"/>
  <c r="C632" i="10" s="1" a="1"/>
  <c r="C632" i="10" s="1"/>
  <c r="C633" i="10" s="1" a="1"/>
  <c r="C633" i="10" s="1"/>
  <c r="C634" i="10" s="1" a="1"/>
  <c r="C634" i="10" s="1"/>
  <c r="C635" i="10" s="1" a="1"/>
  <c r="C635" i="10" s="1"/>
  <c r="C636" i="10" s="1" a="1"/>
  <c r="C636" i="10" s="1"/>
  <c r="C637" i="10" s="1" a="1"/>
  <c r="C637" i="10" s="1"/>
  <c r="C638" i="10" s="1" a="1"/>
  <c r="C638" i="10" s="1"/>
  <c r="C639" i="10" s="1" a="1"/>
  <c r="C639" i="10" s="1"/>
  <c r="C640" i="10" s="1" a="1"/>
  <c r="C640" i="10" s="1"/>
  <c r="C641" i="10" s="1" a="1"/>
  <c r="C641" i="10" s="1"/>
  <c r="C642" i="10" s="1" a="1"/>
  <c r="C642" i="10" s="1"/>
  <c r="C643" i="10" s="1" a="1"/>
  <c r="C643" i="10" s="1"/>
  <c r="C644" i="10" s="1" a="1"/>
  <c r="C644" i="10" s="1"/>
  <c r="C645" i="10" s="1" a="1"/>
  <c r="C645" i="10" s="1"/>
  <c r="C646" i="10" s="1" a="1"/>
  <c r="C646" i="10" s="1"/>
  <c r="C647" i="10" s="1" a="1"/>
  <c r="C647" i="10" s="1"/>
  <c r="C648" i="10" s="1" a="1"/>
  <c r="C648" i="10" s="1"/>
  <c r="C649" i="10" s="1" a="1"/>
  <c r="C649" i="10" s="1"/>
  <c r="C650" i="10" s="1" a="1"/>
  <c r="C650" i="10" s="1"/>
  <c r="C651" i="10" s="1" a="1"/>
  <c r="C651" i="10" s="1"/>
  <c r="C652" i="10" s="1" a="1"/>
  <c r="C652" i="10" s="1"/>
  <c r="C653" i="10" s="1" a="1"/>
  <c r="C653" i="10" s="1"/>
  <c r="C654" i="10" s="1" a="1"/>
  <c r="C654" i="10" s="1"/>
  <c r="C655" i="10" s="1" a="1"/>
  <c r="C655" i="10" s="1"/>
  <c r="C656" i="10" s="1" a="1"/>
  <c r="C656" i="10" s="1"/>
  <c r="C657" i="10" s="1" a="1"/>
  <c r="C657" i="10" s="1"/>
  <c r="C658" i="10" s="1" a="1"/>
  <c r="C658" i="10" s="1"/>
  <c r="C659" i="10" s="1" a="1"/>
  <c r="C659" i="10" s="1"/>
  <c r="C660" i="10" s="1" a="1"/>
  <c r="C660" i="10" s="1"/>
  <c r="C661" i="10" s="1" a="1"/>
  <c r="C661" i="10" s="1"/>
  <c r="C662" i="10" s="1" a="1"/>
  <c r="C662" i="10" s="1"/>
  <c r="C663" i="10" s="1" a="1"/>
  <c r="C663" i="10" s="1"/>
  <c r="C664" i="10" s="1" a="1"/>
  <c r="C664" i="10" s="1"/>
  <c r="C665" i="10" s="1" a="1"/>
  <c r="C665" i="10" s="1"/>
  <c r="C666" i="10" s="1" a="1"/>
  <c r="C666" i="10" s="1"/>
  <c r="C667" i="10" s="1" a="1"/>
  <c r="C667" i="10" s="1"/>
  <c r="C668" i="10" s="1" a="1"/>
  <c r="C668" i="10" s="1"/>
  <c r="C669" i="10" s="1" a="1"/>
  <c r="C669" i="10" s="1"/>
  <c r="C670" i="10" s="1" a="1"/>
  <c r="C670" i="10" s="1"/>
  <c r="C671" i="10" s="1" a="1"/>
  <c r="C671" i="10" s="1"/>
  <c r="C672" i="10" s="1" a="1"/>
  <c r="C672" i="10" s="1"/>
  <c r="C673" i="10" s="1" a="1"/>
  <c r="C673" i="10" s="1"/>
  <c r="C674" i="10" s="1" a="1"/>
  <c r="C674" i="10" s="1"/>
  <c r="C675" i="10" s="1" a="1"/>
  <c r="C675" i="10" s="1"/>
  <c r="C676" i="10" s="1" a="1"/>
  <c r="C676" i="10" s="1"/>
  <c r="C677" i="10" s="1" a="1"/>
  <c r="C677" i="10" s="1"/>
  <c r="C678" i="10" s="1" a="1"/>
  <c r="C678" i="10" s="1"/>
  <c r="C679" i="10" s="1" a="1"/>
  <c r="C679" i="10" s="1"/>
  <c r="C680" i="10" s="1" a="1"/>
  <c r="C680" i="10" s="1"/>
  <c r="C681" i="10" s="1" a="1"/>
  <c r="C681" i="10" s="1"/>
  <c r="C682" i="10" s="1" a="1"/>
  <c r="C682" i="10" s="1"/>
  <c r="C683" i="10" s="1" a="1"/>
  <c r="C683" i="10" s="1"/>
  <c r="C684" i="10" s="1" a="1"/>
  <c r="C684" i="10" s="1"/>
  <c r="C685" i="10" s="1" a="1"/>
  <c r="C685" i="10" s="1"/>
  <c r="C686" i="10" s="1" a="1"/>
  <c r="C686" i="10" s="1"/>
  <c r="C687" i="10" s="1" a="1"/>
  <c r="C687" i="10" s="1"/>
  <c r="C688" i="10" s="1" a="1"/>
  <c r="C688" i="10" s="1"/>
  <c r="C689" i="10" s="1" a="1"/>
  <c r="C689" i="10" s="1"/>
  <c r="C690" i="10" s="1" a="1"/>
  <c r="C690" i="10" s="1"/>
  <c r="C691" i="10" s="1" a="1"/>
  <c r="C691" i="10" s="1"/>
  <c r="C692" i="10" s="1" a="1"/>
  <c r="C692" i="10" s="1"/>
  <c r="C693" i="10" s="1" a="1"/>
  <c r="C693" i="10" s="1"/>
  <c r="C694" i="10" s="1" a="1"/>
  <c r="C694" i="10" s="1"/>
  <c r="C695" i="10" s="1" a="1"/>
  <c r="C695" i="10" s="1"/>
  <c r="C696" i="10" s="1" a="1"/>
  <c r="C696" i="10" s="1"/>
  <c r="C697" i="10" s="1" a="1"/>
  <c r="C697" i="10" s="1"/>
  <c r="C698" i="10" s="1" a="1"/>
  <c r="C698" i="10" s="1"/>
  <c r="C699" i="10" s="1" a="1"/>
  <c r="C699" i="10" s="1"/>
  <c r="C700" i="10" s="1" a="1"/>
  <c r="C700" i="10" s="1"/>
  <c r="C701" i="10" s="1" a="1"/>
  <c r="C701" i="10" s="1"/>
  <c r="C702" i="10" s="1" a="1"/>
  <c r="C702" i="10" s="1"/>
  <c r="C703" i="10" s="1" a="1"/>
  <c r="C703" i="10" s="1"/>
  <c r="C704" i="10" s="1" a="1"/>
  <c r="C704" i="10" s="1"/>
  <c r="C705" i="10" s="1" a="1"/>
  <c r="C705" i="10" s="1"/>
  <c r="C706" i="10" s="1" a="1"/>
  <c r="C706" i="10" s="1"/>
  <c r="C707" i="10" s="1" a="1"/>
  <c r="C707" i="10" s="1"/>
  <c r="C708" i="10" s="1" a="1"/>
  <c r="C708" i="10" s="1"/>
  <c r="C709" i="10" s="1" a="1"/>
  <c r="C709" i="10" s="1"/>
  <c r="C710" i="10" s="1" a="1"/>
  <c r="C710" i="10" s="1"/>
  <c r="C711" i="10" s="1" a="1"/>
  <c r="C711" i="10" s="1"/>
  <c r="C712" i="10" s="1" a="1"/>
  <c r="C712" i="10" s="1"/>
  <c r="C713" i="10" s="1" a="1"/>
  <c r="C713" i="10" s="1"/>
  <c r="C714" i="10" s="1" a="1"/>
  <c r="C714" i="10" s="1"/>
  <c r="C715" i="10" s="1" a="1"/>
  <c r="C715" i="10" s="1"/>
  <c r="C716" i="10" s="1" a="1"/>
  <c r="C716" i="10" s="1"/>
  <c r="C717" i="10" s="1" a="1"/>
  <c r="C717" i="10" s="1"/>
  <c r="C718" i="10" s="1" a="1"/>
  <c r="C718" i="10" s="1"/>
  <c r="C719" i="10" s="1" a="1"/>
  <c r="C719" i="10" s="1"/>
  <c r="C720" i="10" s="1" a="1"/>
  <c r="C720" i="10" s="1"/>
  <c r="C119" i="4"/>
  <c r="B119" i="4" s="1"/>
  <c r="C121" i="4"/>
  <c r="B121" i="4" s="1"/>
  <c r="C117" i="4"/>
  <c r="B117" i="4" s="1"/>
  <c r="D717" i="6"/>
  <c r="D5" i="10"/>
  <c r="D6" i="10" s="1" a="1"/>
  <c r="D6" i="10" s="1"/>
  <c r="D7" i="10" s="1" a="1"/>
  <c r="D7" i="10" s="1"/>
  <c r="D8" i="10" s="1" a="1"/>
  <c r="D8" i="10" s="1"/>
  <c r="D9" i="10" s="1" a="1"/>
  <c r="D9" i="10" s="1"/>
  <c r="D10" i="10" s="1" a="1"/>
  <c r="D10" i="10" s="1"/>
  <c r="D11" i="10" s="1" a="1"/>
  <c r="D11" i="10" s="1"/>
  <c r="D12" i="10" s="1" a="1"/>
  <c r="D12" i="10" s="1"/>
  <c r="D13" i="10" s="1" a="1"/>
  <c r="D13" i="10" s="1"/>
  <c r="D14" i="10" s="1" a="1"/>
  <c r="D14" i="10" s="1"/>
  <c r="D15" i="10" s="1" a="1"/>
  <c r="D15" i="10" s="1"/>
  <c r="D16" i="10" s="1" a="1"/>
  <c r="D16" i="10" s="1"/>
  <c r="D17" i="10" s="1" a="1"/>
  <c r="D17" i="10" s="1"/>
  <c r="D18" i="10" s="1" a="1"/>
  <c r="D18" i="10" s="1"/>
  <c r="D19" i="10" s="1" a="1"/>
  <c r="D19" i="10" s="1"/>
  <c r="D20" i="10" s="1" a="1"/>
  <c r="D20" i="10" s="1"/>
  <c r="D21" i="10" s="1" a="1"/>
  <c r="D21" i="10" s="1"/>
  <c r="D22" i="10" s="1" a="1"/>
  <c r="D22" i="10" s="1"/>
  <c r="D23" i="10" s="1" a="1"/>
  <c r="D23" i="10" s="1"/>
  <c r="D24" i="10" s="1" a="1"/>
  <c r="D24" i="10" s="1"/>
  <c r="D25" i="10" s="1" a="1"/>
  <c r="D25" i="10" s="1"/>
  <c r="D26" i="10" s="1" a="1"/>
  <c r="D26" i="10" s="1"/>
  <c r="D27" i="10" s="1" a="1"/>
  <c r="D27" i="10" s="1"/>
  <c r="D28" i="10" s="1" a="1"/>
  <c r="D28" i="10" s="1"/>
  <c r="D29" i="10" s="1" a="1"/>
  <c r="D29" i="10" s="1"/>
  <c r="D30" i="10" s="1" a="1"/>
  <c r="D30" i="10" s="1"/>
  <c r="D31" i="10" s="1" a="1"/>
  <c r="D31" i="10" s="1"/>
  <c r="D32" i="10" s="1" a="1"/>
  <c r="D32" i="10" s="1"/>
  <c r="D33" i="10" s="1" a="1"/>
  <c r="D33" i="10" s="1"/>
  <c r="D34" i="10" s="1" a="1"/>
  <c r="D34" i="10" s="1"/>
  <c r="D35" i="10" s="1" a="1"/>
  <c r="D35" i="10" s="1"/>
  <c r="D36" i="10" s="1" a="1"/>
  <c r="D36" i="10" s="1"/>
  <c r="D37" i="10" s="1" a="1"/>
  <c r="D37" i="10" s="1"/>
  <c r="D38" i="10" s="1" a="1"/>
  <c r="D38" i="10" s="1"/>
  <c r="D39" i="10" s="1" a="1"/>
  <c r="D39" i="10" s="1"/>
  <c r="D40" i="10" s="1" a="1"/>
  <c r="D40" i="10" s="1"/>
  <c r="D41" i="10" s="1" a="1"/>
  <c r="D41" i="10" s="1"/>
  <c r="D42" i="10" s="1" a="1"/>
  <c r="D42" i="10" s="1"/>
  <c r="D43" i="10" s="1" a="1"/>
  <c r="D43" i="10" s="1"/>
  <c r="D44" i="10" s="1" a="1"/>
  <c r="D44" i="10" s="1"/>
  <c r="D45" i="10" s="1" a="1"/>
  <c r="D45" i="10" s="1"/>
  <c r="D46" i="10" s="1" a="1"/>
  <c r="D46" i="10" s="1"/>
  <c r="D47" i="10" s="1" a="1"/>
  <c r="D47" i="10" s="1"/>
  <c r="D48" i="10" s="1" a="1"/>
  <c r="D48" i="10" s="1"/>
  <c r="D49" i="10" s="1" a="1"/>
  <c r="D49" i="10" s="1"/>
  <c r="D50" i="10" s="1" a="1"/>
  <c r="D50" i="10" s="1"/>
  <c r="D51" i="10" s="1" a="1"/>
  <c r="D51" i="10" s="1"/>
  <c r="D52" i="10" s="1" a="1"/>
  <c r="D52" i="10" s="1"/>
  <c r="D53" i="10" s="1" a="1"/>
  <c r="D53" i="10" s="1"/>
  <c r="D54" i="10" s="1" a="1"/>
  <c r="D54" i="10" s="1"/>
  <c r="D55" i="10" s="1" a="1"/>
  <c r="D55" i="10" s="1"/>
  <c r="D56" i="10" s="1" a="1"/>
  <c r="D56" i="10" s="1"/>
  <c r="D57" i="10" s="1" a="1"/>
  <c r="D57" i="10" s="1"/>
  <c r="D58" i="10" s="1" a="1"/>
  <c r="D58" i="10" s="1"/>
  <c r="D59" i="10" s="1" a="1"/>
  <c r="D59" i="10" s="1"/>
  <c r="D60" i="10" s="1" a="1"/>
  <c r="D60" i="10" s="1"/>
  <c r="D61" i="10" s="1" a="1"/>
  <c r="D61" i="10" s="1"/>
  <c r="D62" i="10" s="1" a="1"/>
  <c r="D62" i="10" s="1"/>
  <c r="D63" i="10" s="1" a="1"/>
  <c r="D63" i="10" s="1"/>
  <c r="D64" i="10" s="1" a="1"/>
  <c r="D64" i="10" s="1"/>
  <c r="D65" i="10" s="1" a="1"/>
  <c r="D65" i="10" s="1"/>
  <c r="D66" i="10" s="1" a="1"/>
  <c r="D66" i="10" s="1"/>
  <c r="D67" i="10" s="1" a="1"/>
  <c r="D67" i="10" s="1"/>
  <c r="D68" i="10" s="1" a="1"/>
  <c r="D68" i="10" s="1"/>
  <c r="D69" i="10" s="1" a="1"/>
  <c r="D69" i="10" s="1"/>
  <c r="D70" i="10" s="1" a="1"/>
  <c r="D70" i="10" s="1"/>
  <c r="D71" i="10" s="1" a="1"/>
  <c r="D71" i="10" s="1"/>
  <c r="D72" i="10" s="1" a="1"/>
  <c r="D72" i="10" s="1"/>
  <c r="D73" i="10" s="1" a="1"/>
  <c r="D73" i="10" s="1"/>
  <c r="D74" i="10" s="1" a="1"/>
  <c r="D74" i="10" s="1"/>
  <c r="D75" i="10" s="1" a="1"/>
  <c r="D75" i="10" s="1"/>
  <c r="D76" i="10" s="1" a="1"/>
  <c r="D76" i="10" s="1"/>
  <c r="D77" i="10" s="1" a="1"/>
  <c r="D77" i="10" s="1"/>
  <c r="D78" i="10" s="1" a="1"/>
  <c r="D78" i="10" s="1"/>
  <c r="D79" i="10" s="1" a="1"/>
  <c r="D79" i="10" s="1"/>
  <c r="D80" i="10" s="1" a="1"/>
  <c r="D80" i="10" s="1"/>
  <c r="D81" i="10" s="1" a="1"/>
  <c r="D81" i="10" s="1"/>
  <c r="D82" i="10" s="1" a="1"/>
  <c r="D82" i="10" s="1"/>
  <c r="D83" i="10" s="1" a="1"/>
  <c r="D83" i="10" s="1"/>
  <c r="D84" i="10" s="1" a="1"/>
  <c r="D84" i="10" s="1"/>
  <c r="D85" i="10" s="1" a="1"/>
  <c r="D85" i="10" s="1"/>
  <c r="D86" i="10" s="1" a="1"/>
  <c r="D86" i="10" s="1"/>
  <c r="D87" i="10" s="1" a="1"/>
  <c r="D87" i="10" s="1"/>
  <c r="D88" i="10" s="1" a="1"/>
  <c r="D88" i="10" s="1"/>
  <c r="D89" i="10" s="1" a="1"/>
  <c r="D89" i="10" s="1"/>
  <c r="D90" i="10" s="1" a="1"/>
  <c r="D90" i="10" s="1"/>
  <c r="D91" i="10" s="1" a="1"/>
  <c r="D91" i="10" s="1"/>
  <c r="D92" i="10" s="1" a="1"/>
  <c r="D92" i="10" s="1"/>
  <c r="D93" i="10" s="1" a="1"/>
  <c r="D93" i="10" s="1"/>
  <c r="D94" i="10" s="1" a="1"/>
  <c r="D94" i="10" s="1"/>
  <c r="D95" i="10" s="1" a="1"/>
  <c r="D95" i="10" s="1"/>
  <c r="D96" i="10" s="1" a="1"/>
  <c r="D96" i="10" s="1"/>
  <c r="D97" i="10" s="1" a="1"/>
  <c r="D97" i="10" s="1"/>
  <c r="D98" i="10" s="1" a="1"/>
  <c r="D98" i="10" s="1"/>
  <c r="D99" i="10" s="1" a="1"/>
  <c r="D99" i="10" s="1"/>
  <c r="D100" i="10" s="1" a="1"/>
  <c r="D100" i="10" s="1"/>
  <c r="D101" i="10" s="1" a="1"/>
  <c r="D101" i="10" s="1"/>
  <c r="D102" i="10" s="1" a="1"/>
  <c r="D102" i="10" s="1"/>
  <c r="D103" i="10" s="1" a="1"/>
  <c r="D103" i="10" s="1"/>
  <c r="D104" i="10" s="1" a="1"/>
  <c r="D104" i="10" s="1"/>
  <c r="D105" i="10" s="1" a="1"/>
  <c r="D105" i="10" s="1"/>
  <c r="D106" i="10" s="1" a="1"/>
  <c r="D106" i="10" s="1"/>
  <c r="D107" i="10" s="1" a="1"/>
  <c r="D107" i="10" s="1"/>
  <c r="D108" i="10" s="1" a="1"/>
  <c r="D108" i="10" s="1"/>
  <c r="D109" i="10" s="1" a="1"/>
  <c r="D109" i="10" s="1"/>
  <c r="D110" i="10" s="1" a="1"/>
  <c r="D110" i="10" s="1"/>
  <c r="D111" i="10" s="1" a="1"/>
  <c r="D111" i="10" s="1"/>
  <c r="D112" i="10" s="1" a="1"/>
  <c r="D112" i="10" s="1"/>
  <c r="D113" i="10" s="1" a="1"/>
  <c r="D113" i="10" s="1"/>
  <c r="D114" i="10" s="1" a="1"/>
  <c r="D114" i="10" s="1"/>
  <c r="D115" i="10" s="1" a="1"/>
  <c r="D115" i="10" s="1"/>
  <c r="D116" i="10" s="1" a="1"/>
  <c r="D116" i="10" s="1"/>
  <c r="D117" i="10" s="1" a="1"/>
  <c r="D117" i="10" s="1"/>
  <c r="D118" i="10" s="1" a="1"/>
  <c r="D118" i="10" s="1"/>
  <c r="D119" i="10" s="1" a="1"/>
  <c r="D119" i="10" s="1"/>
  <c r="D120" i="10" s="1" a="1"/>
  <c r="D120" i="10" s="1"/>
  <c r="D121" i="10" s="1" a="1"/>
  <c r="D121" i="10" s="1"/>
  <c r="D122" i="10" s="1" a="1"/>
  <c r="D122" i="10" s="1"/>
  <c r="D123" i="10" s="1" a="1"/>
  <c r="D123" i="10" s="1"/>
  <c r="D124" i="10" s="1" a="1"/>
  <c r="D124" i="10" s="1"/>
  <c r="D125" i="10" s="1" a="1"/>
  <c r="D125" i="10" s="1"/>
  <c r="D126" i="10" s="1" a="1"/>
  <c r="D126" i="10" s="1"/>
  <c r="D127" i="10" s="1" a="1"/>
  <c r="D127" i="10" s="1"/>
  <c r="D128" i="10" s="1" a="1"/>
  <c r="D128" i="10" s="1"/>
  <c r="D129" i="10" s="1" a="1"/>
  <c r="D129" i="10" s="1"/>
  <c r="D130" i="10" s="1" a="1"/>
  <c r="D130" i="10" s="1"/>
  <c r="D131" i="10" s="1" a="1"/>
  <c r="D131" i="10" s="1"/>
  <c r="D132" i="10" s="1" a="1"/>
  <c r="D132" i="10" s="1"/>
  <c r="D133" i="10" s="1" a="1"/>
  <c r="D133" i="10" s="1"/>
  <c r="D134" i="10" s="1" a="1"/>
  <c r="D134" i="10" s="1"/>
  <c r="D135" i="10" s="1" a="1"/>
  <c r="D135" i="10" s="1"/>
  <c r="D136" i="10" s="1" a="1"/>
  <c r="D136" i="10" s="1"/>
  <c r="D137" i="10" s="1" a="1"/>
  <c r="D137" i="10" s="1"/>
  <c r="D138" i="10" s="1" a="1"/>
  <c r="D138" i="10" s="1"/>
  <c r="D139" i="10" s="1" a="1"/>
  <c r="D139" i="10" s="1"/>
  <c r="D140" i="10" s="1" a="1"/>
  <c r="D140" i="10" s="1"/>
  <c r="D141" i="10" s="1" a="1"/>
  <c r="D141" i="10" s="1"/>
  <c r="D142" i="10" s="1" a="1"/>
  <c r="D142" i="10" s="1"/>
  <c r="D143" i="10" s="1" a="1"/>
  <c r="D143" i="10" s="1"/>
  <c r="D144" i="10" s="1" a="1"/>
  <c r="D144" i="10" s="1"/>
  <c r="D145" i="10" s="1" a="1"/>
  <c r="D145" i="10" s="1"/>
  <c r="D146" i="10" s="1" a="1"/>
  <c r="D146" i="10" s="1"/>
  <c r="D147" i="10" s="1" a="1"/>
  <c r="D147" i="10" s="1"/>
  <c r="D148" i="10" s="1" a="1"/>
  <c r="D148" i="10" s="1"/>
  <c r="D149" i="10" s="1" a="1"/>
  <c r="D149" i="10" s="1"/>
  <c r="D150" i="10" s="1" a="1"/>
  <c r="D150" i="10" s="1"/>
  <c r="D151" i="10" s="1" a="1"/>
  <c r="D151" i="10" s="1"/>
  <c r="D152" i="10" s="1" a="1"/>
  <c r="D152" i="10" s="1"/>
  <c r="D153" i="10" s="1" a="1"/>
  <c r="D153" i="10" s="1"/>
  <c r="D154" i="10" s="1" a="1"/>
  <c r="D154" i="10" s="1"/>
  <c r="D155" i="10" s="1" a="1"/>
  <c r="D155" i="10" s="1"/>
  <c r="D156" i="10" s="1" a="1"/>
  <c r="D156" i="10" s="1"/>
  <c r="D157" i="10" s="1" a="1"/>
  <c r="D157" i="10" s="1"/>
  <c r="D158" i="10" s="1" a="1"/>
  <c r="D158" i="10" s="1"/>
  <c r="D159" i="10" s="1" a="1"/>
  <c r="D159" i="10" s="1"/>
  <c r="D160" i="10" s="1" a="1"/>
  <c r="D160" i="10" s="1"/>
  <c r="D161" i="10" s="1" a="1"/>
  <c r="D161" i="10" s="1"/>
  <c r="D162" i="10" s="1" a="1"/>
  <c r="D162" i="10" s="1"/>
  <c r="D163" i="10" s="1" a="1"/>
  <c r="D163" i="10" s="1"/>
  <c r="D164" i="10" s="1" a="1"/>
  <c r="D164" i="10" s="1"/>
  <c r="D165" i="10" s="1" a="1"/>
  <c r="D165" i="10" s="1"/>
  <c r="D166" i="10" s="1" a="1"/>
  <c r="D166" i="10" s="1"/>
  <c r="D167" i="10" s="1" a="1"/>
  <c r="D167" i="10" s="1"/>
  <c r="D168" i="10" s="1" a="1"/>
  <c r="D168" i="10" s="1"/>
  <c r="D169" i="10" s="1" a="1"/>
  <c r="D169" i="10" s="1"/>
  <c r="D170" i="10" s="1" a="1"/>
  <c r="D170" i="10" s="1"/>
  <c r="D171" i="10" s="1" a="1"/>
  <c r="D171" i="10" s="1"/>
  <c r="D172" i="10" s="1" a="1"/>
  <c r="D172" i="10" s="1"/>
  <c r="D173" i="10" s="1" a="1"/>
  <c r="D173" i="10" s="1"/>
  <c r="D174" i="10" s="1" a="1"/>
  <c r="D174" i="10" s="1"/>
  <c r="D175" i="10" s="1" a="1"/>
  <c r="D175" i="10" s="1"/>
  <c r="D176" i="10" s="1" a="1"/>
  <c r="D176" i="10" s="1"/>
  <c r="D177" i="10" s="1" a="1"/>
  <c r="D177" i="10" s="1"/>
  <c r="D178" i="10" s="1" a="1"/>
  <c r="D178" i="10" s="1"/>
  <c r="D179" i="10" s="1" a="1"/>
  <c r="D179" i="10" s="1"/>
  <c r="D180" i="10" s="1" a="1"/>
  <c r="D180" i="10" s="1"/>
  <c r="D181" i="10" s="1" a="1"/>
  <c r="D181" i="10" s="1"/>
  <c r="D182" i="10" s="1" a="1"/>
  <c r="D182" i="10" s="1"/>
  <c r="D183" i="10" s="1" a="1"/>
  <c r="D183" i="10" s="1"/>
  <c r="D184" i="10" s="1" a="1"/>
  <c r="D184" i="10" s="1"/>
  <c r="D185" i="10" s="1" a="1"/>
  <c r="D185" i="10" s="1"/>
  <c r="D186" i="10" s="1" a="1"/>
  <c r="D186" i="10" s="1"/>
  <c r="D187" i="10" s="1" a="1"/>
  <c r="D187" i="10" s="1"/>
  <c r="D188" i="10" s="1" a="1"/>
  <c r="D188" i="10" s="1"/>
  <c r="D189" i="10" s="1" a="1"/>
  <c r="D189" i="10" s="1"/>
  <c r="D190" i="10" s="1" a="1"/>
  <c r="D190" i="10" s="1"/>
  <c r="D191" i="10" s="1" a="1"/>
  <c r="D191" i="10" s="1"/>
  <c r="D192" i="10" s="1" a="1"/>
  <c r="D192" i="10" s="1"/>
  <c r="D193" i="10" s="1" a="1"/>
  <c r="D193" i="10" s="1"/>
  <c r="D194" i="10" s="1" a="1"/>
  <c r="D194" i="10" s="1"/>
  <c r="D195" i="10" s="1" a="1"/>
  <c r="D195" i="10" s="1"/>
  <c r="D196" i="10" s="1" a="1"/>
  <c r="D196" i="10" s="1"/>
  <c r="D197" i="10" s="1" a="1"/>
  <c r="D197" i="10" s="1"/>
  <c r="D198" i="10" s="1" a="1"/>
  <c r="D198" i="10" s="1"/>
  <c r="D199" i="10" s="1" a="1"/>
  <c r="D199" i="10" s="1"/>
  <c r="D200" i="10" s="1" a="1"/>
  <c r="D200" i="10" s="1"/>
  <c r="D201" i="10" s="1" a="1"/>
  <c r="D201" i="10" s="1"/>
  <c r="D202" i="10" s="1" a="1"/>
  <c r="D202" i="10" s="1"/>
  <c r="D203" i="10" s="1" a="1"/>
  <c r="D203" i="10" s="1"/>
  <c r="D204" i="10" s="1" a="1"/>
  <c r="D204" i="10" s="1"/>
  <c r="D205" i="10" s="1" a="1"/>
  <c r="D205" i="10" s="1"/>
  <c r="D206" i="10" s="1" a="1"/>
  <c r="D206" i="10" s="1"/>
  <c r="D207" i="10" s="1" a="1"/>
  <c r="D207" i="10" s="1"/>
  <c r="D208" i="10" s="1" a="1"/>
  <c r="D208" i="10" s="1"/>
  <c r="D209" i="10" s="1" a="1"/>
  <c r="D209" i="10" s="1"/>
  <c r="D210" i="10" s="1" a="1"/>
  <c r="D210" i="10" s="1"/>
  <c r="D211" i="10" s="1" a="1"/>
  <c r="D211" i="10" s="1"/>
  <c r="D212" i="10" s="1" a="1"/>
  <c r="D212" i="10" s="1"/>
  <c r="D213" i="10" s="1" a="1"/>
  <c r="D213" i="10" s="1"/>
  <c r="D214" i="10" s="1" a="1"/>
  <c r="D214" i="10" s="1"/>
  <c r="D215" i="10" s="1" a="1"/>
  <c r="D215" i="10" s="1"/>
  <c r="D216" i="10" s="1" a="1"/>
  <c r="D216" i="10" s="1"/>
  <c r="D217" i="10" s="1" a="1"/>
  <c r="D217" i="10" s="1"/>
  <c r="D218" i="10" s="1" a="1"/>
  <c r="D218" i="10" s="1"/>
  <c r="D219" i="10" s="1" a="1"/>
  <c r="D219" i="10" s="1"/>
  <c r="D220" i="10" s="1" a="1"/>
  <c r="D220" i="10" s="1"/>
  <c r="D221" i="10" s="1" a="1"/>
  <c r="D221" i="10" s="1"/>
  <c r="D222" i="10" s="1" a="1"/>
  <c r="D222" i="10" s="1"/>
  <c r="D223" i="10" s="1" a="1"/>
  <c r="D223" i="10" s="1"/>
  <c r="D224" i="10" s="1" a="1"/>
  <c r="D224" i="10" s="1"/>
  <c r="D225" i="10" s="1" a="1"/>
  <c r="D225" i="10" s="1"/>
  <c r="D226" i="10" s="1" a="1"/>
  <c r="D226" i="10" s="1"/>
  <c r="D227" i="10" s="1" a="1"/>
  <c r="D227" i="10" s="1"/>
  <c r="D228" i="10" s="1" a="1"/>
  <c r="D228" i="10" s="1"/>
  <c r="D229" i="10" s="1" a="1"/>
  <c r="D229" i="10" s="1"/>
  <c r="D230" i="10" s="1" a="1"/>
  <c r="D230" i="10" s="1"/>
  <c r="D231" i="10" s="1" a="1"/>
  <c r="D231" i="10" s="1"/>
  <c r="D232" i="10" s="1" a="1"/>
  <c r="D232" i="10" s="1"/>
  <c r="D233" i="10" s="1" a="1"/>
  <c r="D233" i="10" s="1"/>
  <c r="D234" i="10" s="1" a="1"/>
  <c r="D234" i="10" s="1"/>
  <c r="D235" i="10" s="1" a="1"/>
  <c r="D235" i="10" s="1"/>
  <c r="D236" i="10" s="1" a="1"/>
  <c r="D236" i="10" s="1"/>
  <c r="D237" i="10" s="1" a="1"/>
  <c r="D237" i="10" s="1"/>
  <c r="D238" i="10" s="1" a="1"/>
  <c r="D238" i="10" s="1"/>
  <c r="D239" i="10" s="1" a="1"/>
  <c r="D239" i="10" s="1"/>
  <c r="D240" i="10" s="1" a="1"/>
  <c r="D240" i="10" s="1"/>
  <c r="D241" i="10" s="1" a="1"/>
  <c r="D241" i="10" s="1"/>
  <c r="D242" i="10" s="1" a="1"/>
  <c r="D242" i="10" s="1"/>
  <c r="D243" i="10" s="1" a="1"/>
  <c r="D243" i="10" s="1"/>
  <c r="D244" i="10" s="1" a="1"/>
  <c r="D244" i="10" s="1"/>
  <c r="D245" i="10" s="1" a="1"/>
  <c r="D245" i="10" s="1"/>
  <c r="D246" i="10" s="1" a="1"/>
  <c r="D246" i="10" s="1"/>
  <c r="D247" i="10" s="1" a="1"/>
  <c r="D247" i="10" s="1"/>
  <c r="D248" i="10" s="1" a="1"/>
  <c r="D248" i="10" s="1"/>
  <c r="D249" i="10" s="1" a="1"/>
  <c r="D249" i="10" s="1"/>
  <c r="D250" i="10" s="1" a="1"/>
  <c r="D250" i="10" s="1"/>
  <c r="D251" i="10" s="1" a="1"/>
  <c r="D251" i="10" s="1"/>
  <c r="D252" i="10" s="1" a="1"/>
  <c r="D252" i="10" s="1"/>
  <c r="D253" i="10" s="1" a="1"/>
  <c r="D253" i="10" s="1"/>
  <c r="D254" i="10" s="1" a="1"/>
  <c r="D254" i="10" s="1"/>
  <c r="D255" i="10" s="1" a="1"/>
  <c r="D255" i="10" s="1"/>
  <c r="D256" i="10" s="1" a="1"/>
  <c r="D256" i="10" s="1"/>
  <c r="D257" i="10" s="1" a="1"/>
  <c r="D257" i="10" s="1"/>
  <c r="D258" i="10" s="1" a="1"/>
  <c r="D258" i="10" s="1"/>
  <c r="D259" i="10" s="1" a="1"/>
  <c r="D259" i="10" s="1"/>
  <c r="D260" i="10" s="1" a="1"/>
  <c r="D260" i="10" s="1"/>
  <c r="D261" i="10" s="1" a="1"/>
  <c r="D261" i="10" s="1"/>
  <c r="D262" i="10" s="1" a="1"/>
  <c r="D262" i="10" s="1"/>
  <c r="D263" i="10" s="1" a="1"/>
  <c r="D263" i="10" s="1"/>
  <c r="D264" i="10" s="1" a="1"/>
  <c r="D264" i="10" s="1"/>
  <c r="D265" i="10" s="1" a="1"/>
  <c r="D265" i="10" s="1"/>
  <c r="D266" i="10" s="1" a="1"/>
  <c r="D266" i="10" s="1"/>
  <c r="D267" i="10" s="1" a="1"/>
  <c r="D267" i="10" s="1"/>
  <c r="D268" i="10" s="1" a="1"/>
  <c r="D268" i="10" s="1"/>
  <c r="D269" i="10" s="1" a="1"/>
  <c r="D269" i="10" s="1"/>
  <c r="D270" i="10" s="1" a="1"/>
  <c r="D270" i="10" s="1"/>
  <c r="D271" i="10" s="1" a="1"/>
  <c r="D271" i="10" s="1"/>
  <c r="D272" i="10" s="1" a="1"/>
  <c r="D272" i="10" s="1"/>
  <c r="D273" i="10" s="1" a="1"/>
  <c r="D273" i="10" s="1"/>
  <c r="D274" i="10" s="1" a="1"/>
  <c r="D274" i="10" s="1"/>
  <c r="D275" i="10" s="1" a="1"/>
  <c r="D275" i="10" s="1"/>
  <c r="D276" i="10" s="1" a="1"/>
  <c r="D276" i="10" s="1"/>
  <c r="D277" i="10" s="1" a="1"/>
  <c r="D277" i="10" s="1"/>
  <c r="D278" i="10" s="1" a="1"/>
  <c r="D278" i="10" s="1"/>
  <c r="D279" i="10" s="1" a="1"/>
  <c r="D279" i="10" s="1"/>
  <c r="D280" i="10" s="1" a="1"/>
  <c r="D280" i="10" s="1"/>
  <c r="D281" i="10" s="1" a="1"/>
  <c r="D281" i="10" s="1"/>
  <c r="D282" i="10" s="1" a="1"/>
  <c r="D282" i="10" s="1"/>
  <c r="D283" i="10" s="1" a="1"/>
  <c r="D283" i="10" s="1"/>
  <c r="D284" i="10" s="1" a="1"/>
  <c r="D284" i="10" s="1"/>
  <c r="D285" i="10" s="1" a="1"/>
  <c r="D285" i="10" s="1"/>
  <c r="D286" i="10" s="1" a="1"/>
  <c r="D286" i="10" s="1"/>
  <c r="D287" i="10" s="1" a="1"/>
  <c r="D287" i="10" s="1"/>
  <c r="D288" i="10" s="1" a="1"/>
  <c r="D288" i="10" s="1"/>
  <c r="D289" i="10" s="1" a="1"/>
  <c r="D289" i="10" s="1"/>
  <c r="D290" i="10" s="1" a="1"/>
  <c r="D290" i="10" s="1"/>
  <c r="D291" i="10" s="1" a="1"/>
  <c r="D291" i="10" s="1"/>
  <c r="D292" i="10" s="1" a="1"/>
  <c r="D292" i="10" s="1"/>
  <c r="D293" i="10" s="1" a="1"/>
  <c r="D293" i="10" s="1"/>
  <c r="D294" i="10" s="1" a="1"/>
  <c r="D294" i="10" s="1"/>
  <c r="D295" i="10" s="1" a="1"/>
  <c r="D295" i="10" s="1"/>
  <c r="D296" i="10" s="1" a="1"/>
  <c r="D296" i="10" s="1"/>
  <c r="D297" i="10" s="1" a="1"/>
  <c r="D297" i="10" s="1"/>
  <c r="D298" i="10" s="1" a="1"/>
  <c r="D298" i="10" s="1"/>
  <c r="D299" i="10" s="1" a="1"/>
  <c r="D299" i="10" s="1"/>
  <c r="D300" i="10" s="1" a="1"/>
  <c r="D300" i="10" s="1"/>
  <c r="D301" i="10" s="1" a="1"/>
  <c r="D301" i="10" s="1"/>
  <c r="D302" i="10" s="1" a="1"/>
  <c r="D302" i="10" s="1"/>
  <c r="D303" i="10" s="1" a="1"/>
  <c r="D303" i="10" s="1"/>
  <c r="D304" i="10" s="1" a="1"/>
  <c r="D304" i="10" s="1"/>
  <c r="D305" i="10" s="1" a="1"/>
  <c r="D305" i="10" s="1"/>
  <c r="D306" i="10" s="1" a="1"/>
  <c r="D306" i="10" s="1"/>
  <c r="D307" i="10" s="1" a="1"/>
  <c r="D307" i="10" s="1"/>
  <c r="D308" i="10" s="1" a="1"/>
  <c r="D308" i="10" s="1"/>
  <c r="D309" i="10" s="1" a="1"/>
  <c r="D309" i="10" s="1"/>
  <c r="D310" i="10" s="1" a="1"/>
  <c r="D310" i="10" s="1"/>
  <c r="D311" i="10" s="1" a="1"/>
  <c r="D311" i="10" s="1"/>
  <c r="D312" i="10" s="1" a="1"/>
  <c r="D312" i="10" s="1"/>
  <c r="D313" i="10" s="1" a="1"/>
  <c r="D313" i="10" s="1"/>
  <c r="D314" i="10" s="1" a="1"/>
  <c r="D314" i="10" s="1"/>
  <c r="D315" i="10" s="1" a="1"/>
  <c r="D315" i="10" s="1"/>
  <c r="D316" i="10" s="1" a="1"/>
  <c r="D316" i="10" s="1"/>
  <c r="D317" i="10" s="1" a="1"/>
  <c r="D317" i="10" s="1"/>
  <c r="D318" i="10" s="1" a="1"/>
  <c r="D318" i="10" s="1"/>
  <c r="D319" i="10" s="1" a="1"/>
  <c r="D319" i="10" s="1"/>
  <c r="D320" i="10" s="1" a="1"/>
  <c r="D320" i="10" s="1"/>
  <c r="D321" i="10" s="1" a="1"/>
  <c r="D321" i="10" s="1"/>
  <c r="D322" i="10" s="1" a="1"/>
  <c r="D322" i="10" s="1"/>
  <c r="D323" i="10" s="1" a="1"/>
  <c r="D323" i="10" s="1"/>
  <c r="D324" i="10" s="1" a="1"/>
  <c r="D324" i="10" s="1"/>
  <c r="D325" i="10" s="1" a="1"/>
  <c r="D325" i="10" s="1"/>
  <c r="D326" i="10" s="1" a="1"/>
  <c r="D326" i="10" s="1"/>
  <c r="D327" i="10" s="1" a="1"/>
  <c r="D327" i="10" s="1"/>
  <c r="D328" i="10" s="1" a="1"/>
  <c r="D328" i="10" s="1"/>
  <c r="D329" i="10" s="1" a="1"/>
  <c r="D329" i="10" s="1"/>
  <c r="D330" i="10" s="1" a="1"/>
  <c r="D330" i="10" s="1"/>
  <c r="D331" i="10" s="1" a="1"/>
  <c r="D331" i="10" s="1"/>
  <c r="D332" i="10" s="1" a="1"/>
  <c r="D332" i="10" s="1"/>
  <c r="D333" i="10" s="1" a="1"/>
  <c r="D333" i="10" s="1"/>
  <c r="D334" i="10" s="1" a="1"/>
  <c r="D334" i="10" s="1"/>
  <c r="D335" i="10" s="1" a="1"/>
  <c r="D335" i="10" s="1"/>
  <c r="D336" i="10" s="1" a="1"/>
  <c r="D336" i="10" s="1"/>
  <c r="D337" i="10" s="1" a="1"/>
  <c r="D337" i="10" s="1"/>
  <c r="D338" i="10" s="1" a="1"/>
  <c r="D338" i="10" s="1"/>
  <c r="D339" i="10" s="1" a="1"/>
  <c r="D339" i="10" s="1"/>
  <c r="D340" i="10" s="1" a="1"/>
  <c r="D340" i="10" s="1"/>
  <c r="D341" i="10" s="1" a="1"/>
  <c r="D341" i="10" s="1"/>
  <c r="D342" i="10" s="1" a="1"/>
  <c r="D342" i="10" s="1"/>
  <c r="D343" i="10" s="1" a="1"/>
  <c r="D343" i="10" s="1"/>
  <c r="D344" i="10" s="1" a="1"/>
  <c r="D344" i="10" s="1"/>
  <c r="D345" i="10" s="1" a="1"/>
  <c r="D345" i="10" s="1"/>
  <c r="D346" i="10" s="1" a="1"/>
  <c r="D346" i="10" s="1"/>
  <c r="D347" i="10" s="1" a="1"/>
  <c r="D347" i="10" s="1"/>
  <c r="D348" i="10" s="1" a="1"/>
  <c r="D348" i="10" s="1"/>
  <c r="D349" i="10" s="1" a="1"/>
  <c r="D349" i="10" s="1"/>
  <c r="D350" i="10" s="1" a="1"/>
  <c r="D350" i="10" s="1"/>
  <c r="D351" i="10" s="1" a="1"/>
  <c r="D351" i="10" s="1"/>
  <c r="D352" i="10" s="1" a="1"/>
  <c r="D352" i="10" s="1"/>
  <c r="D353" i="10" s="1" a="1"/>
  <c r="D353" i="10" s="1"/>
  <c r="D354" i="10" s="1" a="1"/>
  <c r="D354" i="10" s="1"/>
  <c r="D355" i="10" s="1" a="1"/>
  <c r="D355" i="10" s="1"/>
  <c r="D356" i="10" s="1" a="1"/>
  <c r="D356" i="10" s="1"/>
  <c r="D357" i="10" s="1" a="1"/>
  <c r="D357" i="10" s="1"/>
  <c r="D358" i="10" s="1" a="1"/>
  <c r="D358" i="10" s="1"/>
  <c r="D359" i="10" s="1" a="1"/>
  <c r="D359" i="10" s="1"/>
  <c r="D360" i="10" s="1" a="1"/>
  <c r="D360" i="10" s="1"/>
  <c r="D361" i="10" s="1" a="1"/>
  <c r="D361" i="10" s="1"/>
  <c r="D362" i="10" s="1" a="1"/>
  <c r="D362" i="10" s="1"/>
  <c r="D363" i="10" s="1" a="1"/>
  <c r="D363" i="10" s="1"/>
  <c r="D364" i="10" s="1" a="1"/>
  <c r="D364" i="10" s="1"/>
  <c r="D365" i="10" s="1" a="1"/>
  <c r="D365" i="10" s="1"/>
  <c r="D366" i="10" s="1" a="1"/>
  <c r="D366" i="10" s="1"/>
  <c r="D367" i="10" s="1" a="1"/>
  <c r="D367" i="10" s="1"/>
  <c r="D368" i="10" s="1" a="1"/>
  <c r="D368" i="10" s="1"/>
  <c r="D369" i="10" s="1" a="1"/>
  <c r="D369" i="10" s="1"/>
  <c r="D370" i="10" s="1" a="1"/>
  <c r="D370" i="10" s="1"/>
  <c r="D371" i="10" s="1" a="1"/>
  <c r="D371" i="10" s="1"/>
  <c r="D372" i="10" s="1" a="1"/>
  <c r="D372" i="10" s="1"/>
  <c r="D373" i="10" s="1" a="1"/>
  <c r="D373" i="10" s="1"/>
  <c r="D374" i="10" s="1" a="1"/>
  <c r="D374" i="10" s="1"/>
  <c r="D375" i="10" s="1" a="1"/>
  <c r="D375" i="10" s="1"/>
  <c r="D376" i="10" s="1" a="1"/>
  <c r="D376" i="10" s="1"/>
  <c r="D377" i="10" s="1" a="1"/>
  <c r="D377" i="10" s="1"/>
  <c r="D378" i="10" s="1" a="1"/>
  <c r="D378" i="10" s="1"/>
  <c r="D379" i="10" s="1" a="1"/>
  <c r="D379" i="10" s="1"/>
  <c r="D380" i="10" s="1" a="1"/>
  <c r="D380" i="10" s="1"/>
  <c r="D381" i="10" s="1" a="1"/>
  <c r="D381" i="10" s="1"/>
  <c r="D382" i="10" s="1" a="1"/>
  <c r="D382" i="10" s="1"/>
  <c r="D383" i="10" s="1" a="1"/>
  <c r="D383" i="10" s="1"/>
  <c r="D384" i="10" s="1" a="1"/>
  <c r="D384" i="10" s="1"/>
  <c r="D385" i="10" s="1" a="1"/>
  <c r="D385" i="10" s="1"/>
  <c r="D386" i="10" s="1" a="1"/>
  <c r="D386" i="10" s="1"/>
  <c r="D387" i="10" s="1" a="1"/>
  <c r="D387" i="10" s="1"/>
  <c r="D388" i="10" s="1" a="1"/>
  <c r="D388" i="10" s="1"/>
  <c r="D389" i="10" s="1" a="1"/>
  <c r="D389" i="10" s="1"/>
  <c r="D390" i="10" s="1" a="1"/>
  <c r="D390" i="10" s="1"/>
  <c r="D391" i="10" s="1" a="1"/>
  <c r="D391" i="10" s="1"/>
  <c r="D392" i="10" s="1" a="1"/>
  <c r="D392" i="10" s="1"/>
  <c r="D393" i="10" s="1" a="1"/>
  <c r="D393" i="10" s="1"/>
  <c r="D394" i="10" s="1" a="1"/>
  <c r="D394" i="10" s="1"/>
  <c r="D395" i="10" s="1" a="1"/>
  <c r="D395" i="10" s="1"/>
  <c r="D396" i="10" s="1" a="1"/>
  <c r="D396" i="10" s="1"/>
  <c r="D397" i="10" s="1" a="1"/>
  <c r="D397" i="10" s="1"/>
  <c r="D398" i="10" s="1" a="1"/>
  <c r="D398" i="10" s="1"/>
  <c r="D399" i="10" s="1" a="1"/>
  <c r="D399" i="10" s="1"/>
  <c r="D400" i="10" s="1" a="1"/>
  <c r="D400" i="10" s="1"/>
  <c r="D401" i="10" s="1" a="1"/>
  <c r="D401" i="10" s="1"/>
  <c r="D402" i="10" s="1" a="1"/>
  <c r="D402" i="10" s="1"/>
  <c r="D403" i="10" s="1" a="1"/>
  <c r="D403" i="10" s="1"/>
  <c r="D404" i="10" s="1" a="1"/>
  <c r="D404" i="10" s="1"/>
  <c r="D405" i="10" s="1" a="1"/>
  <c r="D405" i="10" s="1"/>
  <c r="D406" i="10" s="1" a="1"/>
  <c r="D406" i="10" s="1"/>
  <c r="D407" i="10" s="1" a="1"/>
  <c r="D407" i="10" s="1"/>
  <c r="D408" i="10" s="1" a="1"/>
  <c r="D408" i="10" s="1"/>
  <c r="D409" i="10" s="1" a="1"/>
  <c r="D409" i="10" s="1"/>
  <c r="D410" i="10" s="1" a="1"/>
  <c r="D410" i="10" s="1"/>
  <c r="D411" i="10" s="1" a="1"/>
  <c r="D411" i="10" s="1"/>
  <c r="D412" i="10" s="1" a="1"/>
  <c r="D412" i="10" s="1"/>
  <c r="D413" i="10" s="1" a="1"/>
  <c r="D413" i="10" s="1"/>
  <c r="D414" i="10" s="1" a="1"/>
  <c r="D414" i="10" s="1"/>
  <c r="D415" i="10" s="1" a="1"/>
  <c r="D415" i="10" s="1"/>
  <c r="D416" i="10" s="1" a="1"/>
  <c r="D416" i="10" s="1"/>
  <c r="D417" i="10" s="1" a="1"/>
  <c r="D417" i="10" s="1"/>
  <c r="D418" i="10" s="1" a="1"/>
  <c r="D418" i="10" s="1"/>
  <c r="D419" i="10" s="1" a="1"/>
  <c r="D419" i="10" s="1"/>
  <c r="D420" i="10" s="1" a="1"/>
  <c r="D420" i="10" s="1"/>
  <c r="D421" i="10" s="1" a="1"/>
  <c r="D421" i="10" s="1"/>
  <c r="D422" i="10" s="1" a="1"/>
  <c r="D422" i="10" s="1"/>
  <c r="D423" i="10" s="1" a="1"/>
  <c r="D423" i="10" s="1"/>
  <c r="D424" i="10" s="1" a="1"/>
  <c r="D424" i="10" s="1"/>
  <c r="D425" i="10" s="1" a="1"/>
  <c r="D425" i="10" s="1"/>
  <c r="D426" i="10" s="1" a="1"/>
  <c r="D426" i="10" s="1"/>
  <c r="D427" i="10" s="1" a="1"/>
  <c r="D427" i="10" s="1"/>
  <c r="D428" i="10" s="1" a="1"/>
  <c r="D428" i="10" s="1"/>
  <c r="D429" i="10" s="1" a="1"/>
  <c r="D429" i="10" s="1"/>
  <c r="D430" i="10" s="1" a="1"/>
  <c r="D430" i="10" s="1"/>
  <c r="D431" i="10" s="1" a="1"/>
  <c r="D431" i="10" s="1"/>
  <c r="D432" i="10" s="1" a="1"/>
  <c r="D432" i="10" s="1"/>
  <c r="D433" i="10" s="1" a="1"/>
  <c r="D433" i="10" s="1"/>
  <c r="D434" i="10" s="1" a="1"/>
  <c r="D434" i="10" s="1"/>
  <c r="D435" i="10" s="1" a="1"/>
  <c r="D435" i="10" s="1"/>
  <c r="D436" i="10" s="1" a="1"/>
  <c r="D436" i="10" s="1"/>
  <c r="D437" i="10" s="1" a="1"/>
  <c r="D437" i="10" s="1"/>
  <c r="D438" i="10" s="1" a="1"/>
  <c r="D438" i="10" s="1"/>
  <c r="D439" i="10" s="1" a="1"/>
  <c r="D439" i="10" s="1"/>
  <c r="D440" i="10" s="1" a="1"/>
  <c r="D440" i="10" s="1"/>
  <c r="D441" i="10" s="1" a="1"/>
  <c r="D441" i="10" s="1"/>
  <c r="D442" i="10" s="1" a="1"/>
  <c r="D442" i="10" s="1"/>
  <c r="D443" i="10" s="1" a="1"/>
  <c r="D443" i="10" s="1"/>
  <c r="D444" i="10" s="1" a="1"/>
  <c r="D444" i="10" s="1"/>
  <c r="D445" i="10" s="1" a="1"/>
  <c r="D445" i="10" s="1"/>
  <c r="D446" i="10" s="1" a="1"/>
  <c r="D446" i="10" s="1"/>
  <c r="D447" i="10" s="1" a="1"/>
  <c r="D447" i="10" s="1"/>
  <c r="D448" i="10" s="1" a="1"/>
  <c r="D448" i="10" s="1"/>
  <c r="D449" i="10" s="1" a="1"/>
  <c r="D449" i="10" s="1"/>
  <c r="D450" i="10" s="1" a="1"/>
  <c r="D450" i="10" s="1"/>
  <c r="D451" i="10" s="1" a="1"/>
  <c r="D451" i="10" s="1"/>
  <c r="D452" i="10" s="1" a="1"/>
  <c r="D452" i="10" s="1"/>
  <c r="D453" i="10" s="1" a="1"/>
  <c r="D453" i="10" s="1"/>
  <c r="D454" i="10" s="1" a="1"/>
  <c r="D454" i="10" s="1"/>
  <c r="D455" i="10" s="1" a="1"/>
  <c r="D455" i="10" s="1"/>
  <c r="D456" i="10" s="1" a="1"/>
  <c r="D456" i="10" s="1"/>
  <c r="D457" i="10" s="1" a="1"/>
  <c r="D457" i="10" s="1"/>
  <c r="D458" i="10" s="1" a="1"/>
  <c r="D458" i="10" s="1"/>
  <c r="D459" i="10" s="1" a="1"/>
  <c r="D459" i="10" s="1"/>
  <c r="D460" i="10" s="1" a="1"/>
  <c r="D460" i="10" s="1"/>
  <c r="D461" i="10" s="1" a="1"/>
  <c r="D461" i="10" s="1"/>
  <c r="D462" i="10" s="1" a="1"/>
  <c r="D462" i="10" s="1"/>
  <c r="D463" i="10" s="1" a="1"/>
  <c r="D463" i="10" s="1"/>
  <c r="D464" i="10" s="1" a="1"/>
  <c r="D464" i="10" s="1"/>
  <c r="D465" i="10" s="1" a="1"/>
  <c r="D465" i="10" s="1"/>
  <c r="D466" i="10" s="1" a="1"/>
  <c r="D466" i="10" s="1"/>
  <c r="D467" i="10" s="1" a="1"/>
  <c r="D467" i="10" s="1"/>
  <c r="D468" i="10" s="1" a="1"/>
  <c r="D468" i="10" s="1"/>
  <c r="D469" i="10" s="1" a="1"/>
  <c r="D469" i="10" s="1"/>
  <c r="D470" i="10" s="1" a="1"/>
  <c r="D470" i="10" s="1"/>
  <c r="D471" i="10" s="1" a="1"/>
  <c r="D471" i="10" s="1"/>
  <c r="D472" i="10" s="1" a="1"/>
  <c r="D472" i="10" s="1"/>
  <c r="D473" i="10" s="1" a="1"/>
  <c r="D473" i="10" s="1"/>
  <c r="D474" i="10" s="1" a="1"/>
  <c r="D474" i="10" s="1"/>
  <c r="D475" i="10" s="1" a="1"/>
  <c r="D475" i="10" s="1"/>
  <c r="D476" i="10" s="1" a="1"/>
  <c r="D476" i="10" s="1"/>
  <c r="D477" i="10" s="1" a="1"/>
  <c r="D477" i="10" s="1"/>
  <c r="D478" i="10" s="1" a="1"/>
  <c r="D478" i="10" s="1"/>
  <c r="D479" i="10" s="1" a="1"/>
  <c r="D479" i="10" s="1"/>
  <c r="D480" i="10" s="1" a="1"/>
  <c r="D480" i="10" s="1"/>
  <c r="D481" i="10" s="1" a="1"/>
  <c r="D481" i="10" s="1"/>
  <c r="D482" i="10" s="1" a="1"/>
  <c r="D482" i="10" s="1"/>
  <c r="D483" i="10" s="1" a="1"/>
  <c r="D483" i="10" s="1"/>
  <c r="D484" i="10" s="1" a="1"/>
  <c r="D484" i="10" s="1"/>
  <c r="D485" i="10" s="1" a="1"/>
  <c r="D485" i="10" s="1"/>
  <c r="D486" i="10" s="1" a="1"/>
  <c r="D486" i="10" s="1"/>
  <c r="D487" i="10" s="1" a="1"/>
  <c r="D487" i="10" s="1"/>
  <c r="D488" i="10" s="1" a="1"/>
  <c r="D488" i="10" s="1"/>
  <c r="D489" i="10" s="1" a="1"/>
  <c r="D489" i="10" s="1"/>
  <c r="D490" i="10" s="1" a="1"/>
  <c r="D490" i="10" s="1"/>
  <c r="D491" i="10" s="1" a="1"/>
  <c r="D491" i="10" s="1"/>
  <c r="D492" i="10" s="1" a="1"/>
  <c r="D492" i="10" s="1"/>
  <c r="D493" i="10" s="1" a="1"/>
  <c r="D493" i="10" s="1"/>
  <c r="D494" i="10" s="1" a="1"/>
  <c r="D494" i="10" s="1"/>
  <c r="D495" i="10" s="1" a="1"/>
  <c r="D495" i="10" s="1"/>
  <c r="D496" i="10" s="1" a="1"/>
  <c r="D496" i="10" s="1"/>
  <c r="D497" i="10" s="1" a="1"/>
  <c r="D497" i="10" s="1"/>
  <c r="D498" i="10" s="1" a="1"/>
  <c r="D498" i="10" s="1"/>
  <c r="D499" i="10" s="1" a="1"/>
  <c r="D499" i="10" s="1"/>
  <c r="D500" i="10" s="1" a="1"/>
  <c r="D500" i="10" s="1"/>
  <c r="D501" i="10" s="1" a="1"/>
  <c r="D501" i="10" s="1"/>
  <c r="D502" i="10" s="1" a="1"/>
  <c r="D502" i="10" s="1"/>
  <c r="D503" i="10" s="1" a="1"/>
  <c r="D503" i="10" s="1"/>
  <c r="D504" i="10" s="1" a="1"/>
  <c r="D504" i="10" s="1"/>
  <c r="D505" i="10" s="1" a="1"/>
  <c r="D505" i="10" s="1"/>
  <c r="D506" i="10" s="1" a="1"/>
  <c r="D506" i="10" s="1"/>
  <c r="D507" i="10" s="1" a="1"/>
  <c r="D507" i="10" s="1"/>
  <c r="D508" i="10" s="1" a="1"/>
  <c r="D508" i="10" s="1"/>
  <c r="D509" i="10" s="1" a="1"/>
  <c r="D509" i="10" s="1"/>
  <c r="D510" i="10" s="1" a="1"/>
  <c r="D510" i="10" s="1"/>
  <c r="D511" i="10" s="1" a="1"/>
  <c r="D511" i="10" s="1"/>
  <c r="D512" i="10" s="1" a="1"/>
  <c r="D512" i="10" s="1"/>
  <c r="D513" i="10" s="1" a="1"/>
  <c r="D513" i="10" s="1"/>
  <c r="D514" i="10" s="1" a="1"/>
  <c r="D514" i="10" s="1"/>
  <c r="D515" i="10" s="1" a="1"/>
  <c r="D515" i="10" s="1"/>
  <c r="D516" i="10" s="1" a="1"/>
  <c r="D516" i="10" s="1"/>
  <c r="D517" i="10" s="1" a="1"/>
  <c r="D517" i="10" s="1"/>
  <c r="D518" i="10" s="1" a="1"/>
  <c r="D518" i="10" s="1"/>
  <c r="D519" i="10" s="1" a="1"/>
  <c r="D519" i="10" s="1"/>
  <c r="D520" i="10" s="1" a="1"/>
  <c r="D520" i="10" s="1"/>
  <c r="D521" i="10" s="1" a="1"/>
  <c r="D521" i="10" s="1"/>
  <c r="D522" i="10" s="1" a="1"/>
  <c r="D522" i="10" s="1"/>
  <c r="D523" i="10" s="1" a="1"/>
  <c r="D523" i="10" s="1"/>
  <c r="D524" i="10" s="1" a="1"/>
  <c r="D524" i="10" s="1"/>
  <c r="D525" i="10" s="1" a="1"/>
  <c r="D525" i="10" s="1"/>
  <c r="D526" i="10" s="1" a="1"/>
  <c r="D526" i="10" s="1"/>
  <c r="D527" i="10" s="1" a="1"/>
  <c r="D527" i="10" s="1"/>
  <c r="D528" i="10" s="1" a="1"/>
  <c r="D528" i="10" s="1"/>
  <c r="D529" i="10" s="1" a="1"/>
  <c r="D529" i="10" s="1"/>
  <c r="D530" i="10" s="1" a="1"/>
  <c r="D530" i="10" s="1"/>
  <c r="D531" i="10" s="1" a="1"/>
  <c r="D531" i="10" s="1"/>
  <c r="D532" i="10" s="1" a="1"/>
  <c r="D532" i="10" s="1"/>
  <c r="D533" i="10" s="1" a="1"/>
  <c r="D533" i="10" s="1"/>
  <c r="D534" i="10" s="1" a="1"/>
  <c r="D534" i="10" s="1"/>
  <c r="D535" i="10" s="1" a="1"/>
  <c r="D535" i="10" s="1"/>
  <c r="D536" i="10" s="1" a="1"/>
  <c r="D536" i="10" s="1"/>
  <c r="D537" i="10" s="1" a="1"/>
  <c r="D537" i="10" s="1"/>
  <c r="D538" i="10" s="1" a="1"/>
  <c r="D538" i="10" s="1"/>
  <c r="D539" i="10" s="1" a="1"/>
  <c r="D539" i="10" s="1"/>
  <c r="D540" i="10" s="1" a="1"/>
  <c r="D540" i="10" s="1"/>
  <c r="D541" i="10" s="1" a="1"/>
  <c r="D541" i="10" s="1"/>
  <c r="D542" i="10" s="1" a="1"/>
  <c r="D542" i="10" s="1"/>
  <c r="D543" i="10" s="1" a="1"/>
  <c r="D543" i="10" s="1"/>
  <c r="D544" i="10" s="1" a="1"/>
  <c r="D544" i="10" s="1"/>
  <c r="D545" i="10" s="1" a="1"/>
  <c r="D545" i="10" s="1"/>
  <c r="D546" i="10" s="1" a="1"/>
  <c r="D546" i="10" s="1"/>
  <c r="D547" i="10" s="1" a="1"/>
  <c r="D547" i="10" s="1"/>
  <c r="D548" i="10" s="1" a="1"/>
  <c r="D548" i="10" s="1"/>
  <c r="D549" i="10" s="1" a="1"/>
  <c r="D549" i="10" s="1"/>
  <c r="D550" i="10" s="1" a="1"/>
  <c r="D550" i="10" s="1"/>
  <c r="D551" i="10" s="1" a="1"/>
  <c r="D551" i="10" s="1"/>
  <c r="D552" i="10" s="1" a="1"/>
  <c r="D552" i="10" s="1"/>
  <c r="D553" i="10" s="1" a="1"/>
  <c r="D553" i="10" s="1"/>
  <c r="D554" i="10" s="1" a="1"/>
  <c r="D554" i="10" s="1"/>
  <c r="D555" i="10" s="1" a="1"/>
  <c r="D555" i="10" s="1"/>
  <c r="D556" i="10" s="1" a="1"/>
  <c r="D556" i="10" s="1"/>
  <c r="D557" i="10" s="1" a="1"/>
  <c r="D557" i="10" s="1"/>
  <c r="D558" i="10" s="1" a="1"/>
  <c r="D558" i="10" s="1"/>
  <c r="D559" i="10" s="1" a="1"/>
  <c r="D559" i="10" s="1"/>
  <c r="D560" i="10" s="1" a="1"/>
  <c r="D560" i="10" s="1"/>
  <c r="D561" i="10" s="1" a="1"/>
  <c r="D561" i="10" s="1"/>
  <c r="D562" i="10" s="1" a="1"/>
  <c r="D562" i="10" s="1"/>
  <c r="D563" i="10" s="1" a="1"/>
  <c r="D563" i="10" s="1"/>
  <c r="D564" i="10" s="1" a="1"/>
  <c r="D564" i="10" s="1"/>
  <c r="D565" i="10" s="1" a="1"/>
  <c r="D565" i="10" s="1"/>
  <c r="D566" i="10" s="1" a="1"/>
  <c r="D566" i="10" s="1"/>
  <c r="D567" i="10" s="1" a="1"/>
  <c r="D567" i="10" s="1"/>
  <c r="D568" i="10" s="1" a="1"/>
  <c r="D568" i="10" s="1"/>
  <c r="D569" i="10" s="1" a="1"/>
  <c r="D569" i="10" s="1"/>
  <c r="D570" i="10" s="1" a="1"/>
  <c r="D570" i="10" s="1"/>
  <c r="D571" i="10" s="1" a="1"/>
  <c r="D571" i="10" s="1"/>
  <c r="D572" i="10" s="1" a="1"/>
  <c r="D572" i="10" s="1"/>
  <c r="D573" i="10" s="1" a="1"/>
  <c r="D573" i="10" s="1"/>
  <c r="D574" i="10" s="1" a="1"/>
  <c r="D574" i="10" s="1"/>
  <c r="D575" i="10" s="1" a="1"/>
  <c r="D575" i="10" s="1"/>
  <c r="D576" i="10" s="1" a="1"/>
  <c r="D576" i="10" s="1"/>
  <c r="D577" i="10" s="1" a="1"/>
  <c r="D577" i="10" s="1"/>
  <c r="D578" i="10" s="1" a="1"/>
  <c r="D578" i="10" s="1"/>
  <c r="D579" i="10" s="1" a="1"/>
  <c r="D579" i="10" s="1"/>
  <c r="D580" i="10" s="1" a="1"/>
  <c r="D580" i="10" s="1"/>
  <c r="D581" i="10" s="1" a="1"/>
  <c r="D581" i="10" s="1"/>
  <c r="D582" i="10" s="1" a="1"/>
  <c r="D582" i="10" s="1"/>
  <c r="D583" i="10" s="1" a="1"/>
  <c r="D583" i="10" s="1"/>
  <c r="D584" i="10" s="1" a="1"/>
  <c r="D584" i="10" s="1"/>
  <c r="D585" i="10" s="1" a="1"/>
  <c r="D585" i="10" s="1"/>
  <c r="D586" i="10" s="1" a="1"/>
  <c r="D586" i="10" s="1"/>
  <c r="D587" i="10" s="1" a="1"/>
  <c r="D587" i="10" s="1"/>
  <c r="D588" i="10" s="1" a="1"/>
  <c r="D588" i="10" s="1"/>
  <c r="D589" i="10" s="1" a="1"/>
  <c r="D589" i="10" s="1"/>
  <c r="D590" i="10" s="1" a="1"/>
  <c r="D590" i="10" s="1"/>
  <c r="D591" i="10" s="1" a="1"/>
  <c r="D591" i="10" s="1"/>
  <c r="D592" i="10" s="1" a="1"/>
  <c r="D592" i="10" s="1"/>
  <c r="D593" i="10" s="1" a="1"/>
  <c r="D593" i="10" s="1"/>
  <c r="D594" i="10" s="1" a="1"/>
  <c r="D594" i="10" s="1"/>
  <c r="D595" i="10" s="1" a="1"/>
  <c r="D595" i="10" s="1"/>
  <c r="D596" i="10" s="1" a="1"/>
  <c r="D596" i="10" s="1"/>
  <c r="D597" i="10" s="1" a="1"/>
  <c r="D597" i="10" s="1"/>
  <c r="D598" i="10" s="1" a="1"/>
  <c r="D598" i="10" s="1"/>
  <c r="D599" i="10" s="1" a="1"/>
  <c r="D599" i="10" s="1"/>
  <c r="D600" i="10" s="1" a="1"/>
  <c r="D600" i="10" s="1"/>
  <c r="D601" i="10" s="1" a="1"/>
  <c r="D601" i="10" s="1"/>
  <c r="D602" i="10" s="1" a="1"/>
  <c r="D602" i="10" s="1"/>
  <c r="D603" i="10" s="1" a="1"/>
  <c r="D603" i="10" s="1"/>
  <c r="D604" i="10" s="1" a="1"/>
  <c r="D604" i="10" s="1"/>
  <c r="D605" i="10" s="1" a="1"/>
  <c r="D605" i="10" s="1"/>
  <c r="D606" i="10" s="1" a="1"/>
  <c r="D606" i="10" s="1"/>
  <c r="D607" i="10" s="1" a="1"/>
  <c r="D607" i="10" s="1"/>
  <c r="D608" i="10" s="1" a="1"/>
  <c r="D608" i="10" s="1"/>
  <c r="D609" i="10" s="1" a="1"/>
  <c r="D609" i="10" s="1"/>
  <c r="D610" i="10" s="1" a="1"/>
  <c r="D610" i="10" s="1"/>
  <c r="D611" i="10" s="1" a="1"/>
  <c r="D611" i="10" s="1"/>
  <c r="D612" i="10" s="1" a="1"/>
  <c r="D612" i="10" s="1"/>
  <c r="D613" i="10" s="1" a="1"/>
  <c r="D613" i="10" s="1"/>
  <c r="D614" i="10" s="1" a="1"/>
  <c r="D614" i="10" s="1"/>
  <c r="D615" i="10" s="1" a="1"/>
  <c r="D615" i="10" s="1"/>
  <c r="D616" i="10" s="1" a="1"/>
  <c r="D616" i="10" s="1"/>
  <c r="D617" i="10" s="1" a="1"/>
  <c r="D617" i="10" s="1"/>
  <c r="D618" i="10" s="1" a="1"/>
  <c r="D618" i="10" s="1"/>
  <c r="D619" i="10" s="1" a="1"/>
  <c r="D619" i="10" s="1"/>
  <c r="D620" i="10" s="1" a="1"/>
  <c r="D620" i="10" s="1"/>
  <c r="D621" i="10" s="1" a="1"/>
  <c r="D621" i="10" s="1"/>
  <c r="D622" i="10" s="1" a="1"/>
  <c r="D622" i="10" s="1"/>
  <c r="D623" i="10" s="1" a="1"/>
  <c r="D623" i="10" s="1"/>
  <c r="D624" i="10" s="1" a="1"/>
  <c r="D624" i="10" s="1"/>
  <c r="D625" i="10" s="1" a="1"/>
  <c r="D625" i="10" s="1"/>
  <c r="D626" i="10" s="1" a="1"/>
  <c r="D626" i="10" s="1"/>
  <c r="D627" i="10" s="1" a="1"/>
  <c r="D627" i="10" s="1"/>
  <c r="D628" i="10" s="1" a="1"/>
  <c r="D628" i="10" s="1"/>
  <c r="D629" i="10" s="1" a="1"/>
  <c r="D629" i="10" s="1"/>
  <c r="D630" i="10" s="1" a="1"/>
  <c r="D630" i="10" s="1"/>
  <c r="D631" i="10" s="1" a="1"/>
  <c r="D631" i="10" s="1"/>
  <c r="D632" i="10" s="1" a="1"/>
  <c r="D632" i="10" s="1"/>
  <c r="D633" i="10" s="1" a="1"/>
  <c r="D633" i="10" s="1"/>
  <c r="D634" i="10" s="1" a="1"/>
  <c r="D634" i="10" s="1"/>
  <c r="D635" i="10" s="1" a="1"/>
  <c r="D635" i="10" s="1"/>
  <c r="D636" i="10" s="1" a="1"/>
  <c r="D636" i="10" s="1"/>
  <c r="D637" i="10" s="1" a="1"/>
  <c r="D637" i="10" s="1"/>
  <c r="D638" i="10" s="1" a="1"/>
  <c r="D638" i="10" s="1"/>
  <c r="D639" i="10" s="1" a="1"/>
  <c r="D639" i="10" s="1"/>
  <c r="D640" i="10" s="1" a="1"/>
  <c r="D640" i="10" s="1"/>
  <c r="D641" i="10" s="1" a="1"/>
  <c r="D641" i="10" s="1"/>
  <c r="D642" i="10" s="1" a="1"/>
  <c r="D642" i="10" s="1"/>
  <c r="D643" i="10" s="1" a="1"/>
  <c r="D643" i="10" s="1"/>
  <c r="D644" i="10" s="1" a="1"/>
  <c r="D644" i="10" s="1"/>
  <c r="D645" i="10" s="1" a="1"/>
  <c r="D645" i="10" s="1"/>
  <c r="D646" i="10" s="1" a="1"/>
  <c r="D646" i="10" s="1"/>
  <c r="D647" i="10" s="1" a="1"/>
  <c r="D647" i="10" s="1"/>
  <c r="D648" i="10" s="1" a="1"/>
  <c r="D648" i="10" s="1"/>
  <c r="D649" i="10" s="1" a="1"/>
  <c r="D649" i="10" s="1"/>
  <c r="D650" i="10" s="1" a="1"/>
  <c r="D650" i="10" s="1"/>
  <c r="D651" i="10" s="1" a="1"/>
  <c r="D651" i="10" s="1"/>
  <c r="D652" i="10" s="1" a="1"/>
  <c r="D652" i="10" s="1"/>
  <c r="D653" i="10" s="1" a="1"/>
  <c r="D653" i="10" s="1"/>
  <c r="D654" i="10" s="1" a="1"/>
  <c r="D654" i="10" s="1"/>
  <c r="D655" i="10" s="1" a="1"/>
  <c r="D655" i="10" s="1"/>
  <c r="D656" i="10" s="1" a="1"/>
  <c r="D656" i="10" s="1"/>
  <c r="D657" i="10" s="1" a="1"/>
  <c r="D657" i="10" s="1"/>
  <c r="D658" i="10" s="1" a="1"/>
  <c r="D658" i="10" s="1"/>
  <c r="D659" i="10" s="1" a="1"/>
  <c r="D659" i="10" s="1"/>
  <c r="D660" i="10" s="1" a="1"/>
  <c r="D660" i="10" s="1"/>
  <c r="D661" i="10" s="1" a="1"/>
  <c r="D661" i="10" s="1"/>
  <c r="D662" i="10" s="1" a="1"/>
  <c r="D662" i="10" s="1"/>
  <c r="D663" i="10" s="1" a="1"/>
  <c r="D663" i="10" s="1"/>
  <c r="D664" i="10" s="1" a="1"/>
  <c r="D664" i="10" s="1"/>
  <c r="D665" i="10" s="1" a="1"/>
  <c r="D665" i="10" s="1"/>
  <c r="D666" i="10" s="1" a="1"/>
  <c r="D666" i="10" s="1"/>
  <c r="D667" i="10" s="1" a="1"/>
  <c r="D667" i="10" s="1"/>
  <c r="D668" i="10" s="1" a="1"/>
  <c r="D668" i="10" s="1"/>
  <c r="D669" i="10" s="1" a="1"/>
  <c r="D669" i="10" s="1"/>
  <c r="D670" i="10" s="1" a="1"/>
  <c r="D670" i="10" s="1"/>
  <c r="D671" i="10" s="1" a="1"/>
  <c r="D671" i="10" s="1"/>
  <c r="D672" i="10" s="1" a="1"/>
  <c r="D672" i="10" s="1"/>
  <c r="D673" i="10" s="1" a="1"/>
  <c r="D673" i="10" s="1"/>
  <c r="D674" i="10" s="1" a="1"/>
  <c r="D674" i="10" s="1"/>
  <c r="D675" i="10" s="1" a="1"/>
  <c r="D675" i="10" s="1"/>
  <c r="D676" i="10" s="1" a="1"/>
  <c r="D676" i="10" s="1"/>
  <c r="D677" i="10" s="1" a="1"/>
  <c r="D677" i="10" s="1"/>
  <c r="D678" i="10" s="1" a="1"/>
  <c r="D678" i="10" s="1"/>
  <c r="D679" i="10" s="1" a="1"/>
  <c r="D679" i="10" s="1"/>
  <c r="D680" i="10" s="1" a="1"/>
  <c r="D680" i="10" s="1"/>
  <c r="D681" i="10" s="1" a="1"/>
  <c r="D681" i="10" s="1"/>
  <c r="D682" i="10" s="1" a="1"/>
  <c r="D682" i="10" s="1"/>
  <c r="D683" i="10" s="1" a="1"/>
  <c r="D683" i="10" s="1"/>
  <c r="D684" i="10" s="1" a="1"/>
  <c r="D684" i="10" s="1"/>
  <c r="D685" i="10" s="1" a="1"/>
  <c r="D685" i="10" s="1"/>
  <c r="D686" i="10" s="1" a="1"/>
  <c r="D686" i="10" s="1"/>
  <c r="D687" i="10" s="1" a="1"/>
  <c r="D687" i="10" s="1"/>
  <c r="D688" i="10" s="1" a="1"/>
  <c r="D688" i="10" s="1"/>
  <c r="D689" i="10" s="1" a="1"/>
  <c r="D689" i="10" s="1"/>
  <c r="D690" i="10" s="1" a="1"/>
  <c r="D690" i="10" s="1"/>
  <c r="D691" i="10" s="1" a="1"/>
  <c r="D691" i="10" s="1"/>
  <c r="D692" i="10" s="1" a="1"/>
  <c r="D692" i="10" s="1"/>
  <c r="D693" i="10" s="1" a="1"/>
  <c r="D693" i="10" s="1"/>
  <c r="D694" i="10" s="1" a="1"/>
  <c r="D694" i="10" s="1"/>
  <c r="D695" i="10" s="1" a="1"/>
  <c r="D695" i="10" s="1"/>
  <c r="D696" i="10" s="1" a="1"/>
  <c r="D696" i="10" s="1"/>
  <c r="D697" i="10" s="1" a="1"/>
  <c r="D697" i="10" s="1"/>
  <c r="D698" i="10" s="1" a="1"/>
  <c r="D698" i="10" s="1"/>
  <c r="D699" i="10" s="1" a="1"/>
  <c r="D699" i="10" s="1"/>
  <c r="D700" i="10" s="1" a="1"/>
  <c r="D700" i="10" s="1"/>
  <c r="D701" i="10" s="1" a="1"/>
  <c r="D701" i="10" s="1"/>
  <c r="D702" i="10" s="1" a="1"/>
  <c r="D702" i="10" s="1"/>
  <c r="D703" i="10" s="1" a="1"/>
  <c r="D703" i="10" s="1"/>
  <c r="D704" i="10" s="1" a="1"/>
  <c r="D704" i="10" s="1"/>
  <c r="D705" i="10" s="1" a="1"/>
  <c r="D705" i="10" s="1"/>
  <c r="D706" i="10" s="1" a="1"/>
  <c r="D706" i="10" s="1"/>
  <c r="D707" i="10" s="1" a="1"/>
  <c r="D707" i="10" s="1"/>
  <c r="D708" i="10" s="1" a="1"/>
  <c r="D708" i="10" s="1"/>
  <c r="D709" i="10" s="1" a="1"/>
  <c r="D709" i="10" s="1"/>
  <c r="D710" i="10" s="1" a="1"/>
  <c r="D710" i="10" s="1"/>
  <c r="D711" i="10" s="1" a="1"/>
  <c r="D711" i="10" s="1"/>
  <c r="D712" i="10" s="1" a="1"/>
  <c r="D712" i="10" s="1"/>
  <c r="D713" i="10" s="1" a="1"/>
  <c r="D713" i="10" s="1"/>
  <c r="D714" i="10" s="1" a="1"/>
  <c r="D714" i="10" s="1"/>
  <c r="D715" i="10" s="1" a="1"/>
  <c r="D715" i="10" s="1"/>
  <c r="D716" i="10" s="1" a="1"/>
  <c r="D716" i="10" s="1"/>
  <c r="D717" i="10" s="1" a="1"/>
  <c r="D717" i="10" s="1"/>
  <c r="D718" i="10" s="1" a="1"/>
  <c r="D718" i="10" s="1"/>
  <c r="D719" i="10" s="1" a="1"/>
  <c r="D719" i="10" s="1"/>
  <c r="D720" i="10" s="1" a="1"/>
  <c r="D720" i="10" s="1"/>
  <c r="C129" i="4"/>
  <c r="B129" i="4" s="1"/>
  <c r="C114" i="4"/>
  <c r="B114" i="4" s="1"/>
  <c r="C116" i="4"/>
  <c r="B116" i="4" s="1"/>
  <c r="B717" i="6"/>
  <c r="B5" i="10"/>
  <c r="B6" i="10" s="1" a="1"/>
  <c r="B6" i="10" s="1"/>
  <c r="B7" i="10" s="1" a="1"/>
  <c r="B7" i="10" s="1"/>
  <c r="B8" i="10" s="1" a="1"/>
  <c r="B8" i="10" s="1"/>
  <c r="B9" i="10" s="1" a="1"/>
  <c r="B9" i="10" s="1"/>
  <c r="B10" i="10" s="1" a="1"/>
  <c r="B10" i="10" s="1"/>
  <c r="B11" i="10" s="1" a="1"/>
  <c r="B11" i="10" s="1"/>
  <c r="B12" i="10" s="1" a="1"/>
  <c r="B12" i="10" s="1"/>
  <c r="B13" i="10" s="1" a="1"/>
  <c r="B13" i="10" s="1"/>
  <c r="B14" i="10" s="1" a="1"/>
  <c r="B14" i="10" s="1"/>
  <c r="B15" i="10" s="1" a="1"/>
  <c r="B15" i="10" s="1"/>
  <c r="B16" i="10" s="1" a="1"/>
  <c r="B16" i="10" s="1"/>
  <c r="B17" i="10" s="1" a="1"/>
  <c r="B17" i="10" s="1"/>
  <c r="B18" i="10" s="1" a="1"/>
  <c r="B18" i="10" s="1"/>
  <c r="B19" i="10" s="1" a="1"/>
  <c r="B19" i="10" s="1"/>
  <c r="B20" i="10" s="1" a="1"/>
  <c r="B20" i="10" s="1"/>
  <c r="B21" i="10" s="1" a="1"/>
  <c r="B21" i="10" s="1"/>
  <c r="B22" i="10" s="1" a="1"/>
  <c r="B22" i="10" s="1"/>
  <c r="B23" i="10" s="1" a="1"/>
  <c r="B23" i="10" s="1"/>
  <c r="B24" i="10" s="1" a="1"/>
  <c r="B24" i="10" s="1"/>
  <c r="B25" i="10" s="1" a="1"/>
  <c r="B25" i="10" s="1"/>
  <c r="B26" i="10" s="1" a="1"/>
  <c r="B26" i="10" s="1"/>
  <c r="B27" i="10" s="1" a="1"/>
  <c r="B27" i="10" s="1"/>
  <c r="B28" i="10" s="1" a="1"/>
  <c r="B28" i="10" s="1"/>
  <c r="B29" i="10" s="1" a="1"/>
  <c r="B29" i="10" s="1"/>
  <c r="B30" i="10" s="1" a="1"/>
  <c r="B30" i="10" s="1"/>
  <c r="B31" i="10" s="1" a="1"/>
  <c r="B31" i="10" s="1"/>
  <c r="B32" i="10" s="1" a="1"/>
  <c r="B32" i="10" s="1"/>
  <c r="B33" i="10" s="1" a="1"/>
  <c r="B33" i="10" s="1"/>
  <c r="B34" i="10" s="1" a="1"/>
  <c r="B34" i="10" s="1"/>
  <c r="B35" i="10" s="1" a="1"/>
  <c r="B35" i="10" s="1"/>
  <c r="B36" i="10" s="1" a="1"/>
  <c r="B36" i="10" s="1"/>
  <c r="B37" i="10" s="1" a="1"/>
  <c r="B37" i="10" s="1"/>
  <c r="B38" i="10" s="1" a="1"/>
  <c r="B38" i="10" s="1"/>
  <c r="B39" i="10" s="1" a="1"/>
  <c r="B39" i="10" s="1"/>
  <c r="B40" i="10" s="1" a="1"/>
  <c r="B40" i="10" s="1"/>
  <c r="B41" i="10" s="1" a="1"/>
  <c r="B41" i="10" s="1"/>
  <c r="B42" i="10" s="1" a="1"/>
  <c r="B42" i="10" s="1"/>
  <c r="B43" i="10" s="1" a="1"/>
  <c r="B43" i="10" s="1"/>
  <c r="B44" i="10" s="1" a="1"/>
  <c r="B44" i="10" s="1"/>
  <c r="B45" i="10" s="1" a="1"/>
  <c r="B45" i="10" s="1"/>
  <c r="B46" i="10" s="1" a="1"/>
  <c r="B46" i="10" s="1"/>
  <c r="B47" i="10" s="1" a="1"/>
  <c r="B47" i="10" s="1"/>
  <c r="B48" i="10" s="1" a="1"/>
  <c r="B48" i="10" s="1"/>
  <c r="B49" i="10" s="1" a="1"/>
  <c r="B49" i="10" s="1"/>
  <c r="B50" i="10" s="1" a="1"/>
  <c r="B50" i="10" s="1"/>
  <c r="B51" i="10" s="1" a="1"/>
  <c r="B51" i="10" s="1"/>
  <c r="B52" i="10" s="1" a="1"/>
  <c r="B52" i="10" s="1"/>
  <c r="B53" i="10" s="1" a="1"/>
  <c r="B53" i="10" s="1"/>
  <c r="B54" i="10" s="1" a="1"/>
  <c r="B54" i="10" s="1"/>
  <c r="B55" i="10" s="1" a="1"/>
  <c r="B55" i="10" s="1"/>
  <c r="B56" i="10" s="1" a="1"/>
  <c r="B56" i="10" s="1"/>
  <c r="B57" i="10" s="1" a="1"/>
  <c r="B57" i="10" s="1"/>
  <c r="B58" i="10" s="1" a="1"/>
  <c r="B58" i="10" s="1"/>
  <c r="B59" i="10" s="1" a="1"/>
  <c r="B59" i="10" s="1"/>
  <c r="B60" i="10" s="1" a="1"/>
  <c r="B60" i="10" s="1"/>
  <c r="B61" i="10" s="1" a="1"/>
  <c r="B61" i="10" s="1"/>
  <c r="B62" i="10" s="1" a="1"/>
  <c r="B62" i="10" s="1"/>
  <c r="B63" i="10" s="1" a="1"/>
  <c r="B63" i="10" s="1"/>
  <c r="B64" i="10" s="1" a="1"/>
  <c r="B64" i="10" s="1"/>
  <c r="B65" i="10" s="1" a="1"/>
  <c r="B65" i="10" s="1"/>
  <c r="B66" i="10" s="1" a="1"/>
  <c r="B66" i="10" s="1"/>
  <c r="B67" i="10" s="1" a="1"/>
  <c r="B67" i="10" s="1"/>
  <c r="B68" i="10" s="1" a="1"/>
  <c r="B68" i="10" s="1"/>
  <c r="B69" i="10" s="1" a="1"/>
  <c r="B69" i="10" s="1"/>
  <c r="B70" i="10" s="1" a="1"/>
  <c r="B70" i="10" s="1"/>
  <c r="B71" i="10" s="1" a="1"/>
  <c r="B71" i="10" s="1"/>
  <c r="B72" i="10" s="1" a="1"/>
  <c r="B72" i="10" s="1"/>
  <c r="B73" i="10" s="1" a="1"/>
  <c r="B73" i="10" s="1"/>
  <c r="B74" i="10" s="1" a="1"/>
  <c r="B74" i="10" s="1"/>
  <c r="B75" i="10" s="1" a="1"/>
  <c r="B75" i="10" s="1"/>
  <c r="B76" i="10" s="1" a="1"/>
  <c r="B76" i="10" s="1"/>
  <c r="B77" i="10" s="1" a="1"/>
  <c r="B77" i="10" s="1"/>
  <c r="B78" i="10" s="1" a="1"/>
  <c r="B78" i="10" s="1"/>
  <c r="B79" i="10" s="1" a="1"/>
  <c r="B79" i="10" s="1"/>
  <c r="B80" i="10" s="1" a="1"/>
  <c r="B80" i="10" s="1"/>
  <c r="B81" i="10" s="1" a="1"/>
  <c r="B81" i="10" s="1"/>
  <c r="B82" i="10" s="1" a="1"/>
  <c r="B82" i="10" s="1"/>
  <c r="B83" i="10" s="1" a="1"/>
  <c r="B83" i="10" s="1"/>
  <c r="B84" i="10" s="1" a="1"/>
  <c r="B84" i="10" s="1"/>
  <c r="B85" i="10" s="1" a="1"/>
  <c r="B85" i="10" s="1"/>
  <c r="B86" i="10" s="1" a="1"/>
  <c r="B86" i="10" s="1"/>
  <c r="B87" i="10" s="1" a="1"/>
  <c r="B87" i="10" s="1"/>
  <c r="B88" i="10" s="1" a="1"/>
  <c r="B88" i="10" s="1"/>
  <c r="B89" i="10" s="1" a="1"/>
  <c r="B89" i="10" s="1"/>
  <c r="B90" i="10" s="1" a="1"/>
  <c r="B90" i="10" s="1"/>
  <c r="B91" i="10" s="1" a="1"/>
  <c r="B91" i="10" s="1"/>
  <c r="B92" i="10" s="1" a="1"/>
  <c r="B92" i="10" s="1"/>
  <c r="B93" i="10" s="1" a="1"/>
  <c r="B93" i="10" s="1"/>
  <c r="B94" i="10" s="1" a="1"/>
  <c r="B94" i="10" s="1"/>
  <c r="B95" i="10" s="1" a="1"/>
  <c r="B95" i="10" s="1"/>
  <c r="B96" i="10" s="1" a="1"/>
  <c r="B96" i="10" s="1"/>
  <c r="B97" i="10" s="1" a="1"/>
  <c r="B97" i="10" s="1"/>
  <c r="B98" i="10" s="1" a="1"/>
  <c r="B98" i="10" s="1"/>
  <c r="B99" i="10" s="1" a="1"/>
  <c r="B99" i="10" s="1"/>
  <c r="B100" i="10" s="1" a="1"/>
  <c r="B100" i="10" s="1"/>
  <c r="B101" i="10" s="1" a="1"/>
  <c r="B101" i="10" s="1"/>
  <c r="B102" i="10" s="1" a="1"/>
  <c r="B102" i="10" s="1"/>
  <c r="B103" i="10" s="1" a="1"/>
  <c r="B103" i="10" s="1"/>
  <c r="B104" i="10" s="1" a="1"/>
  <c r="B104" i="10" s="1"/>
  <c r="B105" i="10" s="1" a="1"/>
  <c r="B105" i="10" s="1"/>
  <c r="B106" i="10" s="1" a="1"/>
  <c r="B106" i="10" s="1"/>
  <c r="B107" i="10" s="1" a="1"/>
  <c r="B107" i="10" s="1"/>
  <c r="B108" i="10" s="1" a="1"/>
  <c r="B108" i="10" s="1"/>
  <c r="B109" i="10" s="1" a="1"/>
  <c r="B109" i="10" s="1"/>
  <c r="B110" i="10" s="1" a="1"/>
  <c r="B110" i="10" s="1"/>
  <c r="B111" i="10" s="1" a="1"/>
  <c r="B111" i="10" s="1"/>
  <c r="B112" i="10" s="1" a="1"/>
  <c r="B112" i="10" s="1"/>
  <c r="B113" i="10" s="1" a="1"/>
  <c r="B113" i="10" s="1"/>
  <c r="B114" i="10" s="1" a="1"/>
  <c r="B114" i="10" s="1"/>
  <c r="B115" i="10" s="1" a="1"/>
  <c r="B115" i="10" s="1"/>
  <c r="B116" i="10" s="1" a="1"/>
  <c r="B116" i="10" s="1"/>
  <c r="B117" i="10" s="1" a="1"/>
  <c r="B117" i="10" s="1"/>
  <c r="B118" i="10" s="1" a="1"/>
  <c r="B118" i="10" s="1"/>
  <c r="B119" i="10" s="1" a="1"/>
  <c r="B119" i="10" s="1"/>
  <c r="B120" i="10" s="1" a="1"/>
  <c r="B120" i="10" s="1"/>
  <c r="B121" i="10" s="1" a="1"/>
  <c r="B121" i="10" s="1"/>
  <c r="B122" i="10" s="1" a="1"/>
  <c r="B122" i="10" s="1"/>
  <c r="B123" i="10" s="1" a="1"/>
  <c r="B123" i="10" s="1"/>
  <c r="B124" i="10" s="1" a="1"/>
  <c r="B124" i="10" s="1"/>
  <c r="B125" i="10" s="1" a="1"/>
  <c r="B125" i="10" s="1"/>
  <c r="B126" i="10" s="1" a="1"/>
  <c r="B126" i="10" s="1"/>
  <c r="B127" i="10" s="1" a="1"/>
  <c r="B127" i="10" s="1"/>
  <c r="B128" i="10" s="1" a="1"/>
  <c r="B128" i="10" s="1"/>
  <c r="B129" i="10" s="1" a="1"/>
  <c r="B129" i="10" s="1"/>
  <c r="B130" i="10" s="1" a="1"/>
  <c r="B130" i="10" s="1"/>
  <c r="B131" i="10" s="1" a="1"/>
  <c r="B131" i="10" s="1"/>
  <c r="B132" i="10" s="1" a="1"/>
  <c r="B132" i="10" s="1"/>
  <c r="B133" i="10" s="1" a="1"/>
  <c r="B133" i="10" s="1"/>
  <c r="B134" i="10" s="1" a="1"/>
  <c r="B134" i="10" s="1"/>
  <c r="B135" i="10" s="1" a="1"/>
  <c r="B135" i="10" s="1"/>
  <c r="B136" i="10" s="1" a="1"/>
  <c r="B136" i="10" s="1"/>
  <c r="B137" i="10" s="1" a="1"/>
  <c r="B137" i="10" s="1"/>
  <c r="B138" i="10" s="1" a="1"/>
  <c r="B138" i="10" s="1"/>
  <c r="B139" i="10" s="1" a="1"/>
  <c r="B139" i="10" s="1"/>
  <c r="B140" i="10" s="1" a="1"/>
  <c r="B140" i="10" s="1"/>
  <c r="B141" i="10" s="1" a="1"/>
  <c r="B141" i="10" s="1"/>
  <c r="B142" i="10" s="1" a="1"/>
  <c r="B142" i="10" s="1"/>
  <c r="B143" i="10" s="1" a="1"/>
  <c r="B143" i="10" s="1"/>
  <c r="B144" i="10" s="1" a="1"/>
  <c r="B144" i="10" s="1"/>
  <c r="B145" i="10" s="1" a="1"/>
  <c r="B145" i="10" s="1"/>
  <c r="B146" i="10" s="1" a="1"/>
  <c r="B146" i="10" s="1"/>
  <c r="B147" i="10" s="1" a="1"/>
  <c r="B147" i="10" s="1"/>
  <c r="B148" i="10" s="1" a="1"/>
  <c r="B148" i="10" s="1"/>
  <c r="B149" i="10" s="1" a="1"/>
  <c r="B149" i="10" s="1"/>
  <c r="B150" i="10" s="1" a="1"/>
  <c r="B150" i="10" s="1"/>
  <c r="B151" i="10" s="1" a="1"/>
  <c r="B151" i="10" s="1"/>
  <c r="B152" i="10" s="1" a="1"/>
  <c r="B152" i="10" s="1"/>
  <c r="B153" i="10" s="1" a="1"/>
  <c r="B153" i="10" s="1"/>
  <c r="B154" i="10" s="1" a="1"/>
  <c r="B154" i="10" s="1"/>
  <c r="B155" i="10" s="1" a="1"/>
  <c r="B155" i="10" s="1"/>
  <c r="B156" i="10" s="1" a="1"/>
  <c r="B156" i="10" s="1"/>
  <c r="B157" i="10" s="1" a="1"/>
  <c r="B157" i="10" s="1"/>
  <c r="B158" i="10" s="1" a="1"/>
  <c r="B158" i="10" s="1"/>
  <c r="B159" i="10" s="1" a="1"/>
  <c r="B159" i="10" s="1"/>
  <c r="B160" i="10" s="1" a="1"/>
  <c r="B160" i="10" s="1"/>
  <c r="B161" i="10" s="1" a="1"/>
  <c r="B161" i="10" s="1"/>
  <c r="B162" i="10" s="1" a="1"/>
  <c r="B162" i="10" s="1"/>
  <c r="B163" i="10" s="1" a="1"/>
  <c r="B163" i="10" s="1"/>
  <c r="B164" i="10" s="1" a="1"/>
  <c r="B164" i="10" s="1"/>
  <c r="B165" i="10" s="1" a="1"/>
  <c r="B165" i="10" s="1"/>
  <c r="B166" i="10" s="1" a="1"/>
  <c r="B166" i="10" s="1"/>
  <c r="B167" i="10" s="1" a="1"/>
  <c r="B167" i="10" s="1"/>
  <c r="B168" i="10" s="1" a="1"/>
  <c r="B168" i="10" s="1"/>
  <c r="B169" i="10" s="1" a="1"/>
  <c r="B169" i="10" s="1"/>
  <c r="B170" i="10" s="1" a="1"/>
  <c r="B170" i="10" s="1"/>
  <c r="B171" i="10" s="1" a="1"/>
  <c r="B171" i="10" s="1"/>
  <c r="B172" i="10" s="1" a="1"/>
  <c r="B172" i="10" s="1"/>
  <c r="B173" i="10" s="1" a="1"/>
  <c r="B173" i="10" s="1"/>
  <c r="B174" i="10" s="1" a="1"/>
  <c r="B174" i="10" s="1"/>
  <c r="B175" i="10" s="1" a="1"/>
  <c r="B175" i="10" s="1"/>
  <c r="B176" i="10" s="1" a="1"/>
  <c r="B176" i="10" s="1"/>
  <c r="B177" i="10" s="1" a="1"/>
  <c r="B177" i="10" s="1"/>
  <c r="B178" i="10" s="1" a="1"/>
  <c r="B178" i="10" s="1"/>
  <c r="B179" i="10" s="1" a="1"/>
  <c r="B179" i="10" s="1"/>
  <c r="B180" i="10" s="1" a="1"/>
  <c r="B180" i="10" s="1"/>
  <c r="B181" i="10" s="1" a="1"/>
  <c r="B181" i="10" s="1"/>
  <c r="B182" i="10" s="1" a="1"/>
  <c r="B182" i="10" s="1"/>
  <c r="B183" i="10" s="1" a="1"/>
  <c r="B183" i="10" s="1"/>
  <c r="B184" i="10" s="1" a="1"/>
  <c r="B184" i="10" s="1"/>
  <c r="B185" i="10" s="1" a="1"/>
  <c r="B185" i="10" s="1"/>
  <c r="B186" i="10" s="1" a="1"/>
  <c r="B186" i="10" s="1"/>
  <c r="B187" i="10" s="1" a="1"/>
  <c r="B187" i="10" s="1"/>
  <c r="B188" i="10" s="1" a="1"/>
  <c r="B188" i="10" s="1"/>
  <c r="B189" i="10" s="1" a="1"/>
  <c r="B189" i="10" s="1"/>
  <c r="B190" i="10" s="1" a="1"/>
  <c r="B190" i="10" s="1"/>
  <c r="B191" i="10" s="1" a="1"/>
  <c r="B191" i="10" s="1"/>
  <c r="B192" i="10" s="1" a="1"/>
  <c r="B192" i="10" s="1"/>
  <c r="B193" i="10" s="1" a="1"/>
  <c r="B193" i="10" s="1"/>
  <c r="B194" i="10" s="1" a="1"/>
  <c r="B194" i="10" s="1"/>
  <c r="B195" i="10" s="1" a="1"/>
  <c r="B195" i="10" s="1"/>
  <c r="B196" i="10" s="1" a="1"/>
  <c r="B196" i="10" s="1"/>
  <c r="B197" i="10" s="1" a="1"/>
  <c r="B197" i="10" s="1"/>
  <c r="B198" i="10" s="1" a="1"/>
  <c r="B198" i="10" s="1"/>
  <c r="B199" i="10" s="1" a="1"/>
  <c r="B199" i="10" s="1"/>
  <c r="B200" i="10" s="1" a="1"/>
  <c r="B200" i="10" s="1"/>
  <c r="B201" i="10" s="1" a="1"/>
  <c r="B201" i="10" s="1"/>
  <c r="B202" i="10" s="1" a="1"/>
  <c r="B202" i="10" s="1"/>
  <c r="B203" i="10" s="1" a="1"/>
  <c r="B203" i="10" s="1"/>
  <c r="B204" i="10" s="1" a="1"/>
  <c r="B204" i="10" s="1"/>
  <c r="B205" i="10" s="1" a="1"/>
  <c r="B205" i="10" s="1"/>
  <c r="B206" i="10" s="1" a="1"/>
  <c r="B206" i="10" s="1"/>
  <c r="B207" i="10" s="1" a="1"/>
  <c r="B207" i="10" s="1"/>
  <c r="B208" i="10" s="1" a="1"/>
  <c r="B208" i="10" s="1"/>
  <c r="B209" i="10" s="1" a="1"/>
  <c r="B209" i="10" s="1"/>
  <c r="B210" i="10" s="1" a="1"/>
  <c r="B210" i="10" s="1"/>
  <c r="B211" i="10" s="1" a="1"/>
  <c r="B211" i="10" s="1"/>
  <c r="B212" i="10" s="1" a="1"/>
  <c r="B212" i="10" s="1"/>
  <c r="B213" i="10" s="1" a="1"/>
  <c r="B213" i="10" s="1"/>
  <c r="B214" i="10" s="1" a="1"/>
  <c r="B214" i="10" s="1"/>
  <c r="B215" i="10" s="1" a="1"/>
  <c r="B215" i="10" s="1"/>
  <c r="B216" i="10" s="1" a="1"/>
  <c r="B216" i="10" s="1"/>
  <c r="B217" i="10" s="1" a="1"/>
  <c r="B217" i="10" s="1"/>
  <c r="B218" i="10" s="1" a="1"/>
  <c r="B218" i="10" s="1"/>
  <c r="B219" i="10" s="1" a="1"/>
  <c r="B219" i="10" s="1"/>
  <c r="B220" i="10" s="1" a="1"/>
  <c r="B220" i="10" s="1"/>
  <c r="B221" i="10" s="1" a="1"/>
  <c r="B221" i="10" s="1"/>
  <c r="B222" i="10" s="1" a="1"/>
  <c r="B222" i="10" s="1"/>
  <c r="B223" i="10" s="1" a="1"/>
  <c r="B223" i="10" s="1"/>
  <c r="B224" i="10" s="1" a="1"/>
  <c r="B224" i="10" s="1"/>
  <c r="B225" i="10" s="1" a="1"/>
  <c r="B225" i="10" s="1"/>
  <c r="B226" i="10" s="1" a="1"/>
  <c r="B226" i="10" s="1"/>
  <c r="B227" i="10" s="1" a="1"/>
  <c r="B227" i="10" s="1"/>
  <c r="B228" i="10" s="1" a="1"/>
  <c r="B228" i="10" s="1"/>
  <c r="B229" i="10" s="1" a="1"/>
  <c r="B229" i="10" s="1"/>
  <c r="B230" i="10" s="1" a="1"/>
  <c r="B230" i="10" s="1"/>
  <c r="B231" i="10" s="1" a="1"/>
  <c r="B231" i="10" s="1"/>
  <c r="B232" i="10" s="1" a="1"/>
  <c r="B232" i="10" s="1"/>
  <c r="B233" i="10" s="1" a="1"/>
  <c r="B233" i="10" s="1"/>
  <c r="B234" i="10" s="1" a="1"/>
  <c r="B234" i="10" s="1"/>
  <c r="B235" i="10" s="1" a="1"/>
  <c r="B235" i="10" s="1"/>
  <c r="B236" i="10" s="1" a="1"/>
  <c r="B236" i="10" s="1"/>
  <c r="B237" i="10" s="1" a="1"/>
  <c r="B237" i="10" s="1"/>
  <c r="B238" i="10" s="1" a="1"/>
  <c r="B238" i="10" s="1"/>
  <c r="B239" i="10" s="1" a="1"/>
  <c r="B239" i="10" s="1"/>
  <c r="B240" i="10" s="1" a="1"/>
  <c r="B240" i="10" s="1"/>
  <c r="B241" i="10" s="1" a="1"/>
  <c r="B241" i="10" s="1"/>
  <c r="B242" i="10" s="1" a="1"/>
  <c r="B242" i="10" s="1"/>
  <c r="B243" i="10" s="1" a="1"/>
  <c r="B243" i="10" s="1"/>
  <c r="B244" i="10" s="1" a="1"/>
  <c r="B244" i="10" s="1"/>
  <c r="B245" i="10" s="1" a="1"/>
  <c r="B245" i="10" s="1"/>
  <c r="B246" i="10" s="1" a="1"/>
  <c r="B246" i="10" s="1"/>
  <c r="B247" i="10" s="1" a="1"/>
  <c r="B247" i="10" s="1"/>
  <c r="B248" i="10" s="1" a="1"/>
  <c r="B248" i="10" s="1"/>
  <c r="B249" i="10" s="1" a="1"/>
  <c r="B249" i="10" s="1"/>
  <c r="B250" i="10" s="1" a="1"/>
  <c r="B250" i="10" s="1"/>
  <c r="B251" i="10" s="1" a="1"/>
  <c r="B251" i="10" s="1"/>
  <c r="B252" i="10" s="1" a="1"/>
  <c r="B252" i="10" s="1"/>
  <c r="B253" i="10" s="1" a="1"/>
  <c r="B253" i="10" s="1"/>
  <c r="B254" i="10" s="1" a="1"/>
  <c r="B254" i="10" s="1"/>
  <c r="B255" i="10" s="1" a="1"/>
  <c r="B255" i="10" s="1"/>
  <c r="B256" i="10" s="1" a="1"/>
  <c r="B256" i="10" s="1"/>
  <c r="B257" i="10" s="1" a="1"/>
  <c r="B257" i="10" s="1"/>
  <c r="B258" i="10" s="1" a="1"/>
  <c r="B258" i="10" s="1"/>
  <c r="B259" i="10" s="1" a="1"/>
  <c r="B259" i="10" s="1"/>
  <c r="B260" i="10" s="1" a="1"/>
  <c r="B260" i="10" s="1"/>
  <c r="B261" i="10" s="1" a="1"/>
  <c r="B261" i="10" s="1"/>
  <c r="B262" i="10" s="1" a="1"/>
  <c r="B262" i="10" s="1"/>
  <c r="B263" i="10" s="1" a="1"/>
  <c r="B263" i="10" s="1"/>
  <c r="B264" i="10" s="1" a="1"/>
  <c r="B264" i="10" s="1"/>
  <c r="B265" i="10" s="1" a="1"/>
  <c r="B265" i="10" s="1"/>
  <c r="B266" i="10" s="1" a="1"/>
  <c r="B266" i="10" s="1"/>
  <c r="B267" i="10" s="1" a="1"/>
  <c r="B267" i="10" s="1"/>
  <c r="B268" i="10" s="1" a="1"/>
  <c r="B268" i="10" s="1"/>
  <c r="B269" i="10" s="1" a="1"/>
  <c r="B269" i="10" s="1"/>
  <c r="B270" i="10" s="1" a="1"/>
  <c r="B270" i="10" s="1"/>
  <c r="B271" i="10" s="1" a="1"/>
  <c r="B271" i="10" s="1"/>
  <c r="B272" i="10" s="1" a="1"/>
  <c r="B272" i="10" s="1"/>
  <c r="B273" i="10" s="1" a="1"/>
  <c r="B273" i="10" s="1"/>
  <c r="B274" i="10" s="1" a="1"/>
  <c r="B274" i="10" s="1"/>
  <c r="B275" i="10" s="1" a="1"/>
  <c r="B275" i="10" s="1"/>
  <c r="B276" i="10" s="1" a="1"/>
  <c r="B276" i="10" s="1"/>
  <c r="B277" i="10" s="1" a="1"/>
  <c r="B277" i="10" s="1"/>
  <c r="B278" i="10" s="1" a="1"/>
  <c r="B278" i="10" s="1"/>
  <c r="B279" i="10" s="1" a="1"/>
  <c r="B279" i="10" s="1"/>
  <c r="B280" i="10" s="1" a="1"/>
  <c r="B280" i="10" s="1"/>
  <c r="B281" i="10" s="1" a="1"/>
  <c r="B281" i="10" s="1"/>
  <c r="B282" i="10" s="1" a="1"/>
  <c r="B282" i="10" s="1"/>
  <c r="B283" i="10" s="1" a="1"/>
  <c r="B283" i="10" s="1"/>
  <c r="B284" i="10" s="1" a="1"/>
  <c r="B284" i="10" s="1"/>
  <c r="B285" i="10" s="1" a="1"/>
  <c r="B285" i="10" s="1"/>
  <c r="B286" i="10" s="1" a="1"/>
  <c r="B286" i="10" s="1"/>
  <c r="B287" i="10" s="1" a="1"/>
  <c r="B287" i="10" s="1"/>
  <c r="B288" i="10" s="1" a="1"/>
  <c r="B288" i="10" s="1"/>
  <c r="B289" i="10" s="1" a="1"/>
  <c r="B289" i="10" s="1"/>
  <c r="B290" i="10" s="1" a="1"/>
  <c r="B290" i="10" s="1"/>
  <c r="B291" i="10" s="1" a="1"/>
  <c r="B291" i="10" s="1"/>
  <c r="B292" i="10" s="1" a="1"/>
  <c r="B292" i="10" s="1"/>
  <c r="B293" i="10" s="1" a="1"/>
  <c r="B293" i="10" s="1"/>
  <c r="B294" i="10" s="1" a="1"/>
  <c r="B294" i="10" s="1"/>
  <c r="B295" i="10" s="1" a="1"/>
  <c r="B295" i="10" s="1"/>
  <c r="B296" i="10" s="1" a="1"/>
  <c r="B296" i="10" s="1"/>
  <c r="B297" i="10" s="1" a="1"/>
  <c r="B297" i="10" s="1"/>
  <c r="B298" i="10" s="1" a="1"/>
  <c r="B298" i="10" s="1"/>
  <c r="B299" i="10" s="1" a="1"/>
  <c r="B299" i="10" s="1"/>
  <c r="B300" i="10" s="1" a="1"/>
  <c r="B300" i="10" s="1"/>
  <c r="B301" i="10" s="1" a="1"/>
  <c r="B301" i="10" s="1"/>
  <c r="B302" i="10" s="1" a="1"/>
  <c r="B302" i="10" s="1"/>
  <c r="B303" i="10" s="1" a="1"/>
  <c r="B303" i="10" s="1"/>
  <c r="B304" i="10" s="1" a="1"/>
  <c r="B304" i="10" s="1"/>
  <c r="B305" i="10" s="1" a="1"/>
  <c r="B305" i="10" s="1"/>
  <c r="B306" i="10" s="1" a="1"/>
  <c r="B306" i="10" s="1"/>
  <c r="B307" i="10" s="1" a="1"/>
  <c r="B307" i="10" s="1"/>
  <c r="B308" i="10" s="1" a="1"/>
  <c r="B308" i="10" s="1"/>
  <c r="B309" i="10" s="1" a="1"/>
  <c r="B309" i="10" s="1"/>
  <c r="B310" i="10" s="1" a="1"/>
  <c r="B310" i="10" s="1"/>
  <c r="B311" i="10" s="1" a="1"/>
  <c r="B311" i="10" s="1"/>
  <c r="B312" i="10" s="1" a="1"/>
  <c r="B312" i="10" s="1"/>
  <c r="B313" i="10" s="1" a="1"/>
  <c r="B313" i="10" s="1"/>
  <c r="B314" i="10" s="1" a="1"/>
  <c r="B314" i="10" s="1"/>
  <c r="B315" i="10" s="1" a="1"/>
  <c r="B315" i="10" s="1"/>
  <c r="B316" i="10" s="1" a="1"/>
  <c r="B316" i="10" s="1"/>
  <c r="B317" i="10" s="1" a="1"/>
  <c r="B317" i="10" s="1"/>
  <c r="B318" i="10" s="1" a="1"/>
  <c r="B318" i="10" s="1"/>
  <c r="B319" i="10" s="1" a="1"/>
  <c r="B319" i="10" s="1"/>
  <c r="B320" i="10" s="1" a="1"/>
  <c r="B320" i="10" s="1"/>
  <c r="B321" i="10" s="1" a="1"/>
  <c r="B321" i="10" s="1"/>
  <c r="B322" i="10" s="1" a="1"/>
  <c r="B322" i="10" s="1"/>
  <c r="B323" i="10" s="1" a="1"/>
  <c r="B323" i="10" s="1"/>
  <c r="B324" i="10" s="1" a="1"/>
  <c r="B324" i="10" s="1"/>
  <c r="B325" i="10" s="1" a="1"/>
  <c r="B325" i="10" s="1"/>
  <c r="B326" i="10" s="1" a="1"/>
  <c r="B326" i="10" s="1"/>
  <c r="B327" i="10" s="1" a="1"/>
  <c r="B327" i="10" s="1"/>
  <c r="B328" i="10" s="1" a="1"/>
  <c r="B328" i="10" s="1"/>
  <c r="B329" i="10" s="1" a="1"/>
  <c r="B329" i="10" s="1"/>
  <c r="B330" i="10" s="1" a="1"/>
  <c r="B330" i="10" s="1"/>
  <c r="B331" i="10" s="1" a="1"/>
  <c r="B331" i="10" s="1"/>
  <c r="B332" i="10" s="1" a="1"/>
  <c r="B332" i="10" s="1"/>
  <c r="B333" i="10" s="1" a="1"/>
  <c r="B333" i="10" s="1"/>
  <c r="B334" i="10" s="1" a="1"/>
  <c r="B334" i="10" s="1"/>
  <c r="B335" i="10" s="1" a="1"/>
  <c r="B335" i="10" s="1"/>
  <c r="B336" i="10" s="1" a="1"/>
  <c r="B336" i="10" s="1"/>
  <c r="B337" i="10" s="1" a="1"/>
  <c r="B337" i="10" s="1"/>
  <c r="B338" i="10" s="1" a="1"/>
  <c r="B338" i="10" s="1"/>
  <c r="B339" i="10" s="1" a="1"/>
  <c r="B339" i="10" s="1"/>
  <c r="B340" i="10" s="1" a="1"/>
  <c r="B340" i="10" s="1"/>
  <c r="B341" i="10" s="1" a="1"/>
  <c r="B341" i="10" s="1"/>
  <c r="B342" i="10" s="1" a="1"/>
  <c r="B342" i="10" s="1"/>
  <c r="B343" i="10" s="1" a="1"/>
  <c r="B343" i="10" s="1"/>
  <c r="B344" i="10" s="1" a="1"/>
  <c r="B344" i="10" s="1"/>
  <c r="B345" i="10" s="1" a="1"/>
  <c r="B345" i="10" s="1"/>
  <c r="B346" i="10" s="1" a="1"/>
  <c r="B346" i="10" s="1"/>
  <c r="B347" i="10" s="1" a="1"/>
  <c r="B347" i="10" s="1"/>
  <c r="B348" i="10" s="1" a="1"/>
  <c r="B348" i="10" s="1"/>
  <c r="B349" i="10" s="1" a="1"/>
  <c r="B349" i="10" s="1"/>
  <c r="B350" i="10" s="1" a="1"/>
  <c r="B350" i="10" s="1"/>
  <c r="B351" i="10" s="1" a="1"/>
  <c r="B351" i="10" s="1"/>
  <c r="B352" i="10" s="1" a="1"/>
  <c r="B352" i="10" s="1"/>
  <c r="B353" i="10" s="1" a="1"/>
  <c r="B353" i="10" s="1"/>
  <c r="B354" i="10" s="1" a="1"/>
  <c r="B354" i="10" s="1"/>
  <c r="B355" i="10" s="1" a="1"/>
  <c r="B355" i="10" s="1"/>
  <c r="B356" i="10" s="1" a="1"/>
  <c r="B356" i="10" s="1"/>
  <c r="B357" i="10" s="1" a="1"/>
  <c r="B357" i="10" s="1"/>
  <c r="B358" i="10" s="1" a="1"/>
  <c r="B358" i="10" s="1"/>
  <c r="B359" i="10" s="1" a="1"/>
  <c r="B359" i="10" s="1"/>
  <c r="B360" i="10" s="1" a="1"/>
  <c r="B360" i="10" s="1"/>
  <c r="B361" i="10" s="1" a="1"/>
  <c r="B361" i="10" s="1"/>
  <c r="B362" i="10" s="1" a="1"/>
  <c r="B362" i="10" s="1"/>
  <c r="B363" i="10" s="1" a="1"/>
  <c r="B363" i="10" s="1"/>
  <c r="B364" i="10" s="1" a="1"/>
  <c r="B364" i="10" s="1"/>
  <c r="B365" i="10" s="1" a="1"/>
  <c r="B365" i="10" s="1"/>
  <c r="B366" i="10" s="1" a="1"/>
  <c r="B366" i="10" s="1"/>
  <c r="B367" i="10" s="1" a="1"/>
  <c r="B367" i="10" s="1"/>
  <c r="B368" i="10" s="1" a="1"/>
  <c r="B368" i="10" s="1"/>
  <c r="B369" i="10" s="1" a="1"/>
  <c r="B369" i="10" s="1"/>
  <c r="B370" i="10" s="1" a="1"/>
  <c r="B370" i="10" s="1"/>
  <c r="B371" i="10" s="1" a="1"/>
  <c r="B371" i="10" s="1"/>
  <c r="B372" i="10" s="1" a="1"/>
  <c r="B372" i="10" s="1"/>
  <c r="B373" i="10" s="1" a="1"/>
  <c r="B373" i="10" s="1"/>
  <c r="B374" i="10" s="1" a="1"/>
  <c r="B374" i="10" s="1"/>
  <c r="B375" i="10" s="1" a="1"/>
  <c r="B375" i="10" s="1"/>
  <c r="B376" i="10" s="1" a="1"/>
  <c r="B376" i="10" s="1"/>
  <c r="B377" i="10" s="1" a="1"/>
  <c r="B377" i="10" s="1"/>
  <c r="B378" i="10" s="1" a="1"/>
  <c r="B378" i="10" s="1"/>
  <c r="B379" i="10" s="1" a="1"/>
  <c r="B379" i="10" s="1"/>
  <c r="B380" i="10" s="1" a="1"/>
  <c r="B380" i="10" s="1"/>
  <c r="B381" i="10" s="1" a="1"/>
  <c r="B381" i="10" s="1"/>
  <c r="B382" i="10" s="1" a="1"/>
  <c r="B382" i="10" s="1"/>
  <c r="B383" i="10" s="1" a="1"/>
  <c r="B383" i="10" s="1"/>
  <c r="B384" i="10" s="1" a="1"/>
  <c r="B384" i="10" s="1"/>
  <c r="B385" i="10" s="1" a="1"/>
  <c r="B385" i="10" s="1"/>
  <c r="B386" i="10" s="1" a="1"/>
  <c r="B386" i="10" s="1"/>
  <c r="B387" i="10" s="1" a="1"/>
  <c r="B387" i="10" s="1"/>
  <c r="B388" i="10" s="1" a="1"/>
  <c r="B388" i="10" s="1"/>
  <c r="B389" i="10" s="1" a="1"/>
  <c r="B389" i="10" s="1"/>
  <c r="B390" i="10" s="1" a="1"/>
  <c r="B390" i="10" s="1"/>
  <c r="B391" i="10" s="1" a="1"/>
  <c r="B391" i="10" s="1"/>
  <c r="B392" i="10" s="1" a="1"/>
  <c r="B392" i="10" s="1"/>
  <c r="B393" i="10" s="1" a="1"/>
  <c r="B393" i="10" s="1"/>
  <c r="B394" i="10" s="1" a="1"/>
  <c r="B394" i="10" s="1"/>
  <c r="B395" i="10" s="1" a="1"/>
  <c r="B395" i="10" s="1"/>
  <c r="B396" i="10" s="1" a="1"/>
  <c r="B396" i="10" s="1"/>
  <c r="B397" i="10" s="1" a="1"/>
  <c r="B397" i="10" s="1"/>
  <c r="B398" i="10" s="1" a="1"/>
  <c r="B398" i="10" s="1"/>
  <c r="B399" i="10" s="1" a="1"/>
  <c r="B399" i="10" s="1"/>
  <c r="B400" i="10" s="1" a="1"/>
  <c r="B400" i="10" s="1"/>
  <c r="B401" i="10" s="1" a="1"/>
  <c r="B401" i="10" s="1"/>
  <c r="B402" i="10" s="1" a="1"/>
  <c r="B402" i="10" s="1"/>
  <c r="B403" i="10" s="1" a="1"/>
  <c r="B403" i="10" s="1"/>
  <c r="B404" i="10" s="1" a="1"/>
  <c r="B404" i="10" s="1"/>
  <c r="B405" i="10" s="1" a="1"/>
  <c r="B405" i="10" s="1"/>
  <c r="B406" i="10" s="1" a="1"/>
  <c r="B406" i="10" s="1"/>
  <c r="B407" i="10" s="1" a="1"/>
  <c r="B407" i="10" s="1"/>
  <c r="B408" i="10" s="1" a="1"/>
  <c r="B408" i="10" s="1"/>
  <c r="B409" i="10" s="1" a="1"/>
  <c r="B409" i="10" s="1"/>
  <c r="B410" i="10" s="1" a="1"/>
  <c r="B410" i="10" s="1"/>
  <c r="B411" i="10" s="1" a="1"/>
  <c r="B411" i="10" s="1"/>
  <c r="B412" i="10" s="1" a="1"/>
  <c r="B412" i="10" s="1"/>
  <c r="B413" i="10" s="1" a="1"/>
  <c r="B413" i="10" s="1"/>
  <c r="B414" i="10" s="1" a="1"/>
  <c r="B414" i="10" s="1"/>
  <c r="B415" i="10" s="1" a="1"/>
  <c r="B415" i="10" s="1"/>
  <c r="B416" i="10" s="1" a="1"/>
  <c r="B416" i="10" s="1"/>
  <c r="B417" i="10" s="1" a="1"/>
  <c r="B417" i="10" s="1"/>
  <c r="B418" i="10" s="1" a="1"/>
  <c r="B418" i="10" s="1"/>
  <c r="B419" i="10" s="1" a="1"/>
  <c r="B419" i="10" s="1"/>
  <c r="B420" i="10" s="1" a="1"/>
  <c r="B420" i="10" s="1"/>
  <c r="B421" i="10" s="1" a="1"/>
  <c r="B421" i="10" s="1"/>
  <c r="B422" i="10" s="1" a="1"/>
  <c r="B422" i="10" s="1"/>
  <c r="B423" i="10" s="1" a="1"/>
  <c r="B423" i="10" s="1"/>
  <c r="B424" i="10" s="1" a="1"/>
  <c r="B424" i="10" s="1"/>
  <c r="B425" i="10" s="1" a="1"/>
  <c r="B425" i="10" s="1"/>
  <c r="B426" i="10" s="1" a="1"/>
  <c r="B426" i="10" s="1"/>
  <c r="B427" i="10" s="1" a="1"/>
  <c r="B427" i="10" s="1"/>
  <c r="B428" i="10" s="1" a="1"/>
  <c r="B428" i="10" s="1"/>
  <c r="B429" i="10" s="1" a="1"/>
  <c r="B429" i="10" s="1"/>
  <c r="B430" i="10" s="1" a="1"/>
  <c r="B430" i="10" s="1"/>
  <c r="B431" i="10" s="1" a="1"/>
  <c r="B431" i="10" s="1"/>
  <c r="B432" i="10" s="1" a="1"/>
  <c r="B432" i="10" s="1"/>
  <c r="B433" i="10" s="1" a="1"/>
  <c r="B433" i="10" s="1"/>
  <c r="B434" i="10" s="1" a="1"/>
  <c r="B434" i="10" s="1"/>
  <c r="B435" i="10" s="1" a="1"/>
  <c r="B435" i="10" s="1"/>
  <c r="B436" i="10" s="1" a="1"/>
  <c r="B436" i="10" s="1"/>
  <c r="B437" i="10" s="1" a="1"/>
  <c r="B437" i="10" s="1"/>
  <c r="B438" i="10" s="1" a="1"/>
  <c r="B438" i="10" s="1"/>
  <c r="B439" i="10" s="1" a="1"/>
  <c r="B439" i="10" s="1"/>
  <c r="B440" i="10" s="1" a="1"/>
  <c r="B440" i="10" s="1"/>
  <c r="B441" i="10" s="1" a="1"/>
  <c r="B441" i="10" s="1"/>
  <c r="B442" i="10" s="1" a="1"/>
  <c r="B442" i="10" s="1"/>
  <c r="B443" i="10" s="1" a="1"/>
  <c r="B443" i="10" s="1"/>
  <c r="B444" i="10" s="1" a="1"/>
  <c r="B444" i="10" s="1"/>
  <c r="B445" i="10" s="1" a="1"/>
  <c r="B445" i="10" s="1"/>
  <c r="B446" i="10" s="1" a="1"/>
  <c r="B446" i="10" s="1"/>
  <c r="B447" i="10" s="1" a="1"/>
  <c r="B447" i="10" s="1"/>
  <c r="B448" i="10" s="1" a="1"/>
  <c r="B448" i="10" s="1"/>
  <c r="B449" i="10" s="1" a="1"/>
  <c r="B449" i="10" s="1"/>
  <c r="B450" i="10" s="1" a="1"/>
  <c r="B450" i="10" s="1"/>
  <c r="B451" i="10" s="1" a="1"/>
  <c r="B451" i="10" s="1"/>
  <c r="B452" i="10" s="1" a="1"/>
  <c r="B452" i="10" s="1"/>
  <c r="B453" i="10" s="1" a="1"/>
  <c r="B453" i="10" s="1"/>
  <c r="B454" i="10" s="1" a="1"/>
  <c r="B454" i="10" s="1"/>
  <c r="B455" i="10" s="1" a="1"/>
  <c r="B455" i="10" s="1"/>
  <c r="B456" i="10" s="1" a="1"/>
  <c r="B456" i="10" s="1"/>
  <c r="B457" i="10" s="1" a="1"/>
  <c r="B457" i="10" s="1"/>
  <c r="B458" i="10" s="1" a="1"/>
  <c r="B458" i="10" s="1"/>
  <c r="B459" i="10" s="1" a="1"/>
  <c r="B459" i="10" s="1"/>
  <c r="B460" i="10" s="1" a="1"/>
  <c r="B460" i="10" s="1"/>
  <c r="B461" i="10" s="1" a="1"/>
  <c r="B461" i="10" s="1"/>
  <c r="B462" i="10" s="1" a="1"/>
  <c r="B462" i="10" s="1"/>
  <c r="B463" i="10" s="1" a="1"/>
  <c r="B463" i="10" s="1"/>
  <c r="B464" i="10" s="1" a="1"/>
  <c r="B464" i="10" s="1"/>
  <c r="B465" i="10" s="1" a="1"/>
  <c r="B465" i="10" s="1"/>
  <c r="B466" i="10" s="1" a="1"/>
  <c r="B466" i="10" s="1"/>
  <c r="B467" i="10" s="1" a="1"/>
  <c r="B467" i="10" s="1"/>
  <c r="B468" i="10" s="1" a="1"/>
  <c r="B468" i="10" s="1"/>
  <c r="B469" i="10" s="1" a="1"/>
  <c r="B469" i="10" s="1"/>
  <c r="B470" i="10" s="1" a="1"/>
  <c r="B470" i="10" s="1"/>
  <c r="B471" i="10" s="1" a="1"/>
  <c r="B471" i="10" s="1"/>
  <c r="B472" i="10" s="1" a="1"/>
  <c r="B472" i="10" s="1"/>
  <c r="B473" i="10" s="1" a="1"/>
  <c r="B473" i="10" s="1"/>
  <c r="B474" i="10" s="1" a="1"/>
  <c r="B474" i="10" s="1"/>
  <c r="B475" i="10" s="1" a="1"/>
  <c r="B475" i="10" s="1"/>
  <c r="B476" i="10" s="1" a="1"/>
  <c r="B476" i="10" s="1"/>
  <c r="B477" i="10" s="1" a="1"/>
  <c r="B477" i="10" s="1"/>
  <c r="B478" i="10" s="1" a="1"/>
  <c r="B478" i="10" s="1"/>
  <c r="B479" i="10" s="1" a="1"/>
  <c r="B479" i="10" s="1"/>
  <c r="B480" i="10" s="1" a="1"/>
  <c r="B480" i="10" s="1"/>
  <c r="B481" i="10" s="1" a="1"/>
  <c r="B481" i="10" s="1"/>
  <c r="B482" i="10" s="1" a="1"/>
  <c r="B482" i="10" s="1"/>
  <c r="B483" i="10" s="1" a="1"/>
  <c r="B483" i="10" s="1"/>
  <c r="B484" i="10" s="1" a="1"/>
  <c r="B484" i="10" s="1"/>
  <c r="B485" i="10" s="1" a="1"/>
  <c r="B485" i="10" s="1"/>
  <c r="B486" i="10" s="1" a="1"/>
  <c r="B486" i="10" s="1"/>
  <c r="B487" i="10" s="1" a="1"/>
  <c r="B487" i="10" s="1"/>
  <c r="B488" i="10" s="1" a="1"/>
  <c r="B488" i="10" s="1"/>
  <c r="B489" i="10" s="1" a="1"/>
  <c r="B489" i="10" s="1"/>
  <c r="B490" i="10" s="1" a="1"/>
  <c r="B490" i="10" s="1"/>
  <c r="B491" i="10" s="1" a="1"/>
  <c r="B491" i="10" s="1"/>
  <c r="B492" i="10" s="1" a="1"/>
  <c r="B492" i="10" s="1"/>
  <c r="B493" i="10" s="1" a="1"/>
  <c r="B493" i="10" s="1"/>
  <c r="B494" i="10" s="1" a="1"/>
  <c r="B494" i="10" s="1"/>
  <c r="B495" i="10" s="1" a="1"/>
  <c r="B495" i="10" s="1"/>
  <c r="B496" i="10" s="1" a="1"/>
  <c r="B496" i="10" s="1"/>
  <c r="B497" i="10" s="1" a="1"/>
  <c r="B497" i="10" s="1"/>
  <c r="B498" i="10" s="1" a="1"/>
  <c r="B498" i="10" s="1"/>
  <c r="B499" i="10" s="1" a="1"/>
  <c r="B499" i="10" s="1"/>
  <c r="B500" i="10" s="1" a="1"/>
  <c r="B500" i="10" s="1"/>
  <c r="B501" i="10" s="1" a="1"/>
  <c r="B501" i="10" s="1"/>
  <c r="B502" i="10" s="1" a="1"/>
  <c r="B502" i="10" s="1"/>
  <c r="B503" i="10" s="1" a="1"/>
  <c r="B503" i="10" s="1"/>
  <c r="B504" i="10" s="1" a="1"/>
  <c r="B504" i="10" s="1"/>
  <c r="B505" i="10" s="1" a="1"/>
  <c r="B505" i="10" s="1"/>
  <c r="B506" i="10" s="1" a="1"/>
  <c r="B506" i="10" s="1"/>
  <c r="B507" i="10" s="1" a="1"/>
  <c r="B507" i="10" s="1"/>
  <c r="B508" i="10" s="1" a="1"/>
  <c r="B508" i="10" s="1"/>
  <c r="B509" i="10" s="1" a="1"/>
  <c r="B509" i="10" s="1"/>
  <c r="B510" i="10" s="1" a="1"/>
  <c r="B510" i="10" s="1"/>
  <c r="B511" i="10" s="1" a="1"/>
  <c r="B511" i="10" s="1"/>
  <c r="B512" i="10" s="1" a="1"/>
  <c r="B512" i="10" s="1"/>
  <c r="B513" i="10" s="1" a="1"/>
  <c r="B513" i="10" s="1"/>
  <c r="B514" i="10" s="1" a="1"/>
  <c r="B514" i="10" s="1"/>
  <c r="B515" i="10" s="1" a="1"/>
  <c r="B515" i="10" s="1"/>
  <c r="B516" i="10" s="1" a="1"/>
  <c r="B516" i="10" s="1"/>
  <c r="B517" i="10" s="1" a="1"/>
  <c r="B517" i="10" s="1"/>
  <c r="B518" i="10" s="1" a="1"/>
  <c r="B518" i="10" s="1"/>
  <c r="B519" i="10" s="1" a="1"/>
  <c r="B519" i="10" s="1"/>
  <c r="B520" i="10" s="1" a="1"/>
  <c r="B520" i="10" s="1"/>
  <c r="B521" i="10" s="1" a="1"/>
  <c r="B521" i="10" s="1"/>
  <c r="B522" i="10" s="1" a="1"/>
  <c r="B522" i="10" s="1"/>
  <c r="B523" i="10" s="1" a="1"/>
  <c r="B523" i="10" s="1"/>
  <c r="B524" i="10" s="1" a="1"/>
  <c r="B524" i="10" s="1"/>
  <c r="B525" i="10" s="1" a="1"/>
  <c r="B525" i="10" s="1"/>
  <c r="B526" i="10" s="1" a="1"/>
  <c r="B526" i="10" s="1"/>
  <c r="B527" i="10" s="1" a="1"/>
  <c r="B527" i="10" s="1"/>
  <c r="B528" i="10" s="1" a="1"/>
  <c r="B528" i="10" s="1"/>
  <c r="B529" i="10" s="1" a="1"/>
  <c r="B529" i="10" s="1"/>
  <c r="B530" i="10" s="1" a="1"/>
  <c r="B530" i="10" s="1"/>
  <c r="B531" i="10" s="1" a="1"/>
  <c r="B531" i="10" s="1"/>
  <c r="B532" i="10" s="1" a="1"/>
  <c r="B532" i="10" s="1"/>
  <c r="B533" i="10" s="1" a="1"/>
  <c r="B533" i="10" s="1"/>
  <c r="B534" i="10" s="1" a="1"/>
  <c r="B534" i="10" s="1"/>
  <c r="B535" i="10" s="1" a="1"/>
  <c r="B535" i="10" s="1"/>
  <c r="B536" i="10" s="1" a="1"/>
  <c r="B536" i="10" s="1"/>
  <c r="B537" i="10" s="1" a="1"/>
  <c r="B537" i="10" s="1"/>
  <c r="B538" i="10" s="1" a="1"/>
  <c r="B538" i="10" s="1"/>
  <c r="B539" i="10" s="1" a="1"/>
  <c r="B539" i="10" s="1"/>
  <c r="B540" i="10" s="1" a="1"/>
  <c r="B540" i="10" s="1"/>
  <c r="B541" i="10" s="1" a="1"/>
  <c r="B541" i="10" s="1"/>
  <c r="B542" i="10" s="1" a="1"/>
  <c r="B542" i="10" s="1"/>
  <c r="B543" i="10" s="1" a="1"/>
  <c r="B543" i="10" s="1"/>
  <c r="B544" i="10" s="1" a="1"/>
  <c r="B544" i="10" s="1"/>
  <c r="B545" i="10" s="1" a="1"/>
  <c r="B545" i="10" s="1"/>
  <c r="B546" i="10" s="1" a="1"/>
  <c r="B546" i="10" s="1"/>
  <c r="B547" i="10" s="1" a="1"/>
  <c r="B547" i="10" s="1"/>
  <c r="B548" i="10" s="1" a="1"/>
  <c r="B548" i="10" s="1"/>
  <c r="B549" i="10" s="1" a="1"/>
  <c r="B549" i="10" s="1"/>
  <c r="B550" i="10" s="1" a="1"/>
  <c r="B550" i="10" s="1"/>
  <c r="B551" i="10" s="1" a="1"/>
  <c r="B551" i="10" s="1"/>
  <c r="B552" i="10" s="1" a="1"/>
  <c r="B552" i="10" s="1"/>
  <c r="B553" i="10" s="1" a="1"/>
  <c r="B553" i="10" s="1"/>
  <c r="B554" i="10" s="1" a="1"/>
  <c r="B554" i="10" s="1"/>
  <c r="B555" i="10" s="1" a="1"/>
  <c r="B555" i="10" s="1"/>
  <c r="B556" i="10" s="1" a="1"/>
  <c r="B556" i="10" s="1"/>
  <c r="B557" i="10" s="1" a="1"/>
  <c r="B557" i="10" s="1"/>
  <c r="B558" i="10" s="1" a="1"/>
  <c r="B558" i="10" s="1"/>
  <c r="B559" i="10" s="1" a="1"/>
  <c r="B559" i="10" s="1"/>
  <c r="B560" i="10" s="1" a="1"/>
  <c r="B560" i="10" s="1"/>
  <c r="B561" i="10" s="1" a="1"/>
  <c r="B561" i="10" s="1"/>
  <c r="B562" i="10" s="1" a="1"/>
  <c r="B562" i="10" s="1"/>
  <c r="B563" i="10" s="1" a="1"/>
  <c r="B563" i="10" s="1"/>
  <c r="B564" i="10" s="1" a="1"/>
  <c r="B564" i="10" s="1"/>
  <c r="B565" i="10" s="1" a="1"/>
  <c r="B565" i="10" s="1"/>
  <c r="B566" i="10" s="1" a="1"/>
  <c r="B566" i="10" s="1"/>
  <c r="B567" i="10" s="1" a="1"/>
  <c r="B567" i="10" s="1"/>
  <c r="B568" i="10" s="1" a="1"/>
  <c r="B568" i="10" s="1"/>
  <c r="B569" i="10" s="1" a="1"/>
  <c r="B569" i="10" s="1"/>
  <c r="B570" i="10" s="1" a="1"/>
  <c r="B570" i="10" s="1"/>
  <c r="B571" i="10" s="1" a="1"/>
  <c r="B571" i="10" s="1"/>
  <c r="B572" i="10" s="1" a="1"/>
  <c r="B572" i="10" s="1"/>
  <c r="B573" i="10" s="1" a="1"/>
  <c r="B573" i="10" s="1"/>
  <c r="B574" i="10" s="1" a="1"/>
  <c r="B574" i="10" s="1"/>
  <c r="B575" i="10" s="1" a="1"/>
  <c r="B575" i="10" s="1"/>
  <c r="B576" i="10" s="1" a="1"/>
  <c r="B576" i="10" s="1"/>
  <c r="B577" i="10" s="1" a="1"/>
  <c r="B577" i="10" s="1"/>
  <c r="B578" i="10" s="1" a="1"/>
  <c r="B578" i="10" s="1"/>
  <c r="B579" i="10" s="1" a="1"/>
  <c r="B579" i="10" s="1"/>
  <c r="B580" i="10" s="1" a="1"/>
  <c r="B580" i="10" s="1"/>
  <c r="B581" i="10" s="1" a="1"/>
  <c r="B581" i="10" s="1"/>
  <c r="B582" i="10" s="1" a="1"/>
  <c r="B582" i="10" s="1"/>
  <c r="B583" i="10" s="1" a="1"/>
  <c r="B583" i="10" s="1"/>
  <c r="B584" i="10" s="1" a="1"/>
  <c r="B584" i="10" s="1"/>
  <c r="B585" i="10" s="1" a="1"/>
  <c r="B585" i="10" s="1"/>
  <c r="B586" i="10" s="1" a="1"/>
  <c r="B586" i="10" s="1"/>
  <c r="B587" i="10" s="1" a="1"/>
  <c r="B587" i="10" s="1"/>
  <c r="B588" i="10" s="1" a="1"/>
  <c r="B588" i="10" s="1"/>
  <c r="B589" i="10" s="1" a="1"/>
  <c r="B589" i="10" s="1"/>
  <c r="B590" i="10" s="1" a="1"/>
  <c r="B590" i="10" s="1"/>
  <c r="B591" i="10" s="1" a="1"/>
  <c r="B591" i="10" s="1"/>
  <c r="B592" i="10" s="1" a="1"/>
  <c r="B592" i="10" s="1"/>
  <c r="B593" i="10" s="1" a="1"/>
  <c r="B593" i="10" s="1"/>
  <c r="B594" i="10" s="1" a="1"/>
  <c r="B594" i="10" s="1"/>
  <c r="B595" i="10" s="1" a="1"/>
  <c r="B595" i="10" s="1"/>
  <c r="B596" i="10" s="1" a="1"/>
  <c r="B596" i="10" s="1"/>
  <c r="B597" i="10" s="1" a="1"/>
  <c r="B597" i="10" s="1"/>
  <c r="B598" i="10" s="1" a="1"/>
  <c r="B598" i="10" s="1"/>
  <c r="B599" i="10" s="1" a="1"/>
  <c r="B599" i="10" s="1"/>
  <c r="B600" i="10" s="1" a="1"/>
  <c r="B600" i="10" s="1"/>
  <c r="B601" i="10" s="1" a="1"/>
  <c r="B601" i="10" s="1"/>
  <c r="B602" i="10" s="1" a="1"/>
  <c r="B602" i="10" s="1"/>
  <c r="B603" i="10" s="1" a="1"/>
  <c r="B603" i="10" s="1"/>
  <c r="B604" i="10" s="1" a="1"/>
  <c r="B604" i="10" s="1"/>
  <c r="B605" i="10" s="1" a="1"/>
  <c r="B605" i="10" s="1"/>
  <c r="B606" i="10" s="1" a="1"/>
  <c r="B606" i="10" s="1"/>
  <c r="B607" i="10" s="1" a="1"/>
  <c r="B607" i="10" s="1"/>
  <c r="B608" i="10" s="1" a="1"/>
  <c r="B608" i="10" s="1"/>
  <c r="B609" i="10" s="1" a="1"/>
  <c r="B609" i="10" s="1"/>
  <c r="B610" i="10" s="1" a="1"/>
  <c r="B610" i="10" s="1"/>
  <c r="B611" i="10" s="1" a="1"/>
  <c r="B611" i="10" s="1"/>
  <c r="B612" i="10" s="1" a="1"/>
  <c r="B612" i="10" s="1"/>
  <c r="B613" i="10" s="1" a="1"/>
  <c r="B613" i="10" s="1"/>
  <c r="B614" i="10" s="1" a="1"/>
  <c r="B614" i="10" s="1"/>
  <c r="B615" i="10" s="1" a="1"/>
  <c r="B615" i="10" s="1"/>
  <c r="B616" i="10" s="1" a="1"/>
  <c r="B616" i="10" s="1"/>
  <c r="B617" i="10" s="1" a="1"/>
  <c r="B617" i="10" s="1"/>
  <c r="B618" i="10" s="1" a="1"/>
  <c r="B618" i="10" s="1"/>
  <c r="B619" i="10" s="1" a="1"/>
  <c r="B619" i="10" s="1"/>
  <c r="B620" i="10" s="1" a="1"/>
  <c r="B620" i="10" s="1"/>
  <c r="B621" i="10" s="1" a="1"/>
  <c r="B621" i="10" s="1"/>
  <c r="B622" i="10" s="1" a="1"/>
  <c r="B622" i="10" s="1"/>
  <c r="B623" i="10" s="1" a="1"/>
  <c r="B623" i="10" s="1"/>
  <c r="B624" i="10" s="1" a="1"/>
  <c r="B624" i="10" s="1"/>
  <c r="B625" i="10" s="1" a="1"/>
  <c r="B625" i="10" s="1"/>
  <c r="B626" i="10" s="1" a="1"/>
  <c r="B626" i="10" s="1"/>
  <c r="B627" i="10" s="1" a="1"/>
  <c r="B627" i="10" s="1"/>
  <c r="B628" i="10" s="1" a="1"/>
  <c r="B628" i="10" s="1"/>
  <c r="B629" i="10" s="1" a="1"/>
  <c r="B629" i="10" s="1"/>
  <c r="B630" i="10" s="1" a="1"/>
  <c r="B630" i="10" s="1"/>
  <c r="B631" i="10" s="1" a="1"/>
  <c r="B631" i="10" s="1"/>
  <c r="B632" i="10" s="1" a="1"/>
  <c r="B632" i="10" s="1"/>
  <c r="B633" i="10" s="1" a="1"/>
  <c r="B633" i="10" s="1"/>
  <c r="B634" i="10" s="1" a="1"/>
  <c r="B634" i="10" s="1"/>
  <c r="B635" i="10" s="1" a="1"/>
  <c r="B635" i="10" s="1"/>
  <c r="B636" i="10" s="1" a="1"/>
  <c r="B636" i="10" s="1"/>
  <c r="B637" i="10" s="1" a="1"/>
  <c r="B637" i="10" s="1"/>
  <c r="B638" i="10" s="1" a="1"/>
  <c r="B638" i="10" s="1"/>
  <c r="B639" i="10" s="1" a="1"/>
  <c r="B639" i="10" s="1"/>
  <c r="B640" i="10" s="1" a="1"/>
  <c r="B640" i="10" s="1"/>
  <c r="B641" i="10" s="1" a="1"/>
  <c r="B641" i="10" s="1"/>
  <c r="B642" i="10" s="1" a="1"/>
  <c r="B642" i="10" s="1"/>
  <c r="B643" i="10" s="1" a="1"/>
  <c r="B643" i="10" s="1"/>
  <c r="B644" i="10" s="1" a="1"/>
  <c r="B644" i="10" s="1"/>
  <c r="B645" i="10" s="1" a="1"/>
  <c r="B645" i="10" s="1"/>
  <c r="B646" i="10" s="1" a="1"/>
  <c r="B646" i="10" s="1"/>
  <c r="B647" i="10" s="1" a="1"/>
  <c r="B647" i="10" s="1"/>
  <c r="B648" i="10" s="1" a="1"/>
  <c r="B648" i="10" s="1"/>
  <c r="B649" i="10" s="1" a="1"/>
  <c r="B649" i="10" s="1"/>
  <c r="B650" i="10" s="1" a="1"/>
  <c r="B650" i="10" s="1"/>
  <c r="B651" i="10" s="1" a="1"/>
  <c r="B651" i="10" s="1"/>
  <c r="B652" i="10" s="1" a="1"/>
  <c r="B652" i="10" s="1"/>
  <c r="B653" i="10" s="1" a="1"/>
  <c r="B653" i="10" s="1"/>
  <c r="B654" i="10" s="1" a="1"/>
  <c r="B654" i="10" s="1"/>
  <c r="B655" i="10" s="1" a="1"/>
  <c r="B655" i="10" s="1"/>
  <c r="B656" i="10" s="1" a="1"/>
  <c r="B656" i="10" s="1"/>
  <c r="B657" i="10" s="1" a="1"/>
  <c r="B657" i="10" s="1"/>
  <c r="B658" i="10" s="1" a="1"/>
  <c r="B658" i="10" s="1"/>
  <c r="B659" i="10" s="1" a="1"/>
  <c r="B659" i="10" s="1"/>
  <c r="B660" i="10" s="1" a="1"/>
  <c r="B660" i="10" s="1"/>
  <c r="B661" i="10" s="1" a="1"/>
  <c r="B661" i="10" s="1"/>
  <c r="B662" i="10" s="1" a="1"/>
  <c r="B662" i="10" s="1"/>
  <c r="B663" i="10" s="1" a="1"/>
  <c r="B663" i="10" s="1"/>
  <c r="B664" i="10" s="1" a="1"/>
  <c r="B664" i="10" s="1"/>
  <c r="B665" i="10" s="1" a="1"/>
  <c r="B665" i="10" s="1"/>
  <c r="B666" i="10" s="1" a="1"/>
  <c r="B666" i="10" s="1"/>
  <c r="B667" i="10" s="1" a="1"/>
  <c r="B667" i="10" s="1"/>
  <c r="B668" i="10" s="1" a="1"/>
  <c r="B668" i="10" s="1"/>
  <c r="B669" i="10" s="1" a="1"/>
  <c r="B669" i="10" s="1"/>
  <c r="B670" i="10" s="1" a="1"/>
  <c r="B670" i="10" s="1"/>
  <c r="B671" i="10" s="1" a="1"/>
  <c r="B671" i="10" s="1"/>
  <c r="B672" i="10" s="1" a="1"/>
  <c r="B672" i="10" s="1"/>
  <c r="B673" i="10" s="1" a="1"/>
  <c r="B673" i="10" s="1"/>
  <c r="B674" i="10" s="1" a="1"/>
  <c r="B674" i="10" s="1"/>
  <c r="B675" i="10" s="1" a="1"/>
  <c r="B675" i="10" s="1"/>
  <c r="B676" i="10" s="1" a="1"/>
  <c r="B676" i="10" s="1"/>
  <c r="B677" i="10" s="1" a="1"/>
  <c r="B677" i="10" s="1"/>
  <c r="B678" i="10" s="1" a="1"/>
  <c r="B678" i="10" s="1"/>
  <c r="B679" i="10" s="1" a="1"/>
  <c r="B679" i="10" s="1"/>
  <c r="B680" i="10" s="1" a="1"/>
  <c r="B680" i="10" s="1"/>
  <c r="B681" i="10" s="1" a="1"/>
  <c r="B681" i="10" s="1"/>
  <c r="B682" i="10" s="1" a="1"/>
  <c r="B682" i="10" s="1"/>
  <c r="B683" i="10" s="1" a="1"/>
  <c r="B683" i="10" s="1"/>
  <c r="B684" i="10" s="1" a="1"/>
  <c r="B684" i="10" s="1"/>
  <c r="B685" i="10" s="1" a="1"/>
  <c r="B685" i="10" s="1"/>
  <c r="B686" i="10" s="1" a="1"/>
  <c r="B686" i="10" s="1"/>
  <c r="B687" i="10" s="1" a="1"/>
  <c r="B687" i="10" s="1"/>
  <c r="B688" i="10" s="1" a="1"/>
  <c r="B688" i="10" s="1"/>
  <c r="B689" i="10" s="1" a="1"/>
  <c r="B689" i="10" s="1"/>
  <c r="B690" i="10" s="1" a="1"/>
  <c r="B690" i="10" s="1"/>
  <c r="B691" i="10" s="1" a="1"/>
  <c r="B691" i="10" s="1"/>
  <c r="B692" i="10" s="1" a="1"/>
  <c r="B692" i="10" s="1"/>
  <c r="B693" i="10" s="1" a="1"/>
  <c r="B693" i="10" s="1"/>
  <c r="B694" i="10" s="1" a="1"/>
  <c r="B694" i="10" s="1"/>
  <c r="B695" i="10" s="1" a="1"/>
  <c r="B695" i="10" s="1"/>
  <c r="B696" i="10" s="1" a="1"/>
  <c r="B696" i="10" s="1"/>
  <c r="B697" i="10" s="1" a="1"/>
  <c r="B697" i="10" s="1"/>
  <c r="B698" i="10" s="1" a="1"/>
  <c r="B698" i="10" s="1"/>
  <c r="B699" i="10" s="1" a="1"/>
  <c r="B699" i="10" s="1"/>
  <c r="B700" i="10" s="1" a="1"/>
  <c r="B700" i="10" s="1"/>
  <c r="B701" i="10" s="1" a="1"/>
  <c r="B701" i="10" s="1"/>
  <c r="B702" i="10" s="1" a="1"/>
  <c r="B702" i="10" s="1"/>
  <c r="B703" i="10" s="1" a="1"/>
  <c r="B703" i="10" s="1"/>
  <c r="B704" i="10" s="1" a="1"/>
  <c r="B704" i="10" s="1"/>
  <c r="B705" i="10" s="1" a="1"/>
  <c r="B705" i="10" s="1"/>
  <c r="B706" i="10" s="1" a="1"/>
  <c r="B706" i="10" s="1"/>
  <c r="B707" i="10" s="1" a="1"/>
  <c r="B707" i="10" s="1"/>
  <c r="B708" i="10" s="1" a="1"/>
  <c r="B708" i="10" s="1"/>
  <c r="B709" i="10" s="1" a="1"/>
  <c r="B709" i="10" s="1"/>
  <c r="B710" i="10" s="1" a="1"/>
  <c r="B710" i="10" s="1"/>
  <c r="B711" i="10" s="1" a="1"/>
  <c r="B711" i="10" s="1"/>
  <c r="B712" i="10" s="1" a="1"/>
  <c r="B712" i="10" s="1"/>
  <c r="B713" i="10" s="1" a="1"/>
  <c r="B713" i="10" s="1"/>
  <c r="B714" i="10" s="1" a="1"/>
  <c r="B714" i="10" s="1"/>
  <c r="B715" i="10" s="1" a="1"/>
  <c r="B715" i="10" s="1"/>
  <c r="B716" i="10" s="1" a="1"/>
  <c r="B716" i="10" s="1"/>
  <c r="B717" i="10" s="1" a="1"/>
  <c r="B717" i="10" s="1"/>
  <c r="B718" i="10" s="1" a="1"/>
  <c r="B718" i="10" s="1"/>
  <c r="B719" i="10" s="1" a="1"/>
  <c r="B719" i="10" s="1"/>
  <c r="B720" i="10" s="1" a="1"/>
  <c r="B720" i="10" s="1"/>
  <c r="E717" i="6"/>
  <c r="E5" i="10"/>
  <c r="E6" i="10" s="1" a="1"/>
  <c r="E6" i="10" s="1"/>
  <c r="E7" i="10" s="1" a="1"/>
  <c r="E7" i="10" s="1"/>
  <c r="E8" i="10" s="1" a="1"/>
  <c r="E8" i="10" s="1"/>
  <c r="E9" i="10" s="1" a="1"/>
  <c r="E9" i="10" s="1"/>
  <c r="E10" i="10" s="1" a="1"/>
  <c r="E10" i="10" s="1"/>
  <c r="E11" i="10" s="1" a="1"/>
  <c r="E11" i="10" s="1"/>
  <c r="E12" i="10" s="1" a="1"/>
  <c r="E12" i="10" s="1"/>
  <c r="E13" i="10" s="1" a="1"/>
  <c r="E13" i="10" s="1"/>
  <c r="E14" i="10" s="1" a="1"/>
  <c r="E14" i="10" s="1"/>
  <c r="E15" i="10" s="1" a="1"/>
  <c r="E15" i="10" s="1"/>
  <c r="E16" i="10" s="1" a="1"/>
  <c r="E16" i="10" s="1"/>
  <c r="E17" i="10" s="1" a="1"/>
  <c r="E17" i="10" s="1"/>
  <c r="E18" i="10" s="1" a="1"/>
  <c r="E18" i="10" s="1"/>
  <c r="E19" i="10" s="1" a="1"/>
  <c r="E19" i="10" s="1"/>
  <c r="E20" i="10" s="1" a="1"/>
  <c r="E20" i="10" s="1"/>
  <c r="E21" i="10" s="1" a="1"/>
  <c r="E21" i="10" s="1"/>
  <c r="E22" i="10" s="1" a="1"/>
  <c r="E22" i="10" s="1"/>
  <c r="E23" i="10" s="1" a="1"/>
  <c r="E23" i="10" s="1"/>
  <c r="E24" i="10" s="1" a="1"/>
  <c r="E24" i="10" s="1"/>
  <c r="E25" i="10" s="1" a="1"/>
  <c r="E25" i="10" s="1"/>
  <c r="E26" i="10" s="1" a="1"/>
  <c r="E26" i="10" s="1"/>
  <c r="E27" i="10" s="1" a="1"/>
  <c r="E27" i="10" s="1"/>
  <c r="E28" i="10" s="1" a="1"/>
  <c r="E28" i="10" s="1"/>
  <c r="E29" i="10" s="1" a="1"/>
  <c r="E29" i="10" s="1"/>
  <c r="E30" i="10" s="1" a="1"/>
  <c r="E30" i="10" s="1"/>
  <c r="E31" i="10" s="1" a="1"/>
  <c r="E31" i="10" s="1"/>
  <c r="E32" i="10" s="1" a="1"/>
  <c r="E32" i="10" s="1"/>
  <c r="E33" i="10" s="1" a="1"/>
  <c r="E33" i="10" s="1"/>
  <c r="E34" i="10" s="1" a="1"/>
  <c r="E34" i="10" s="1"/>
  <c r="E35" i="10" s="1" a="1"/>
  <c r="E35" i="10" s="1"/>
  <c r="E36" i="10" s="1" a="1"/>
  <c r="E36" i="10" s="1"/>
  <c r="E37" i="10" s="1" a="1"/>
  <c r="E37" i="10" s="1"/>
  <c r="E38" i="10" s="1" a="1"/>
  <c r="E38" i="10" s="1"/>
  <c r="E39" i="10" s="1" a="1"/>
  <c r="E39" i="10" s="1"/>
  <c r="E40" i="10" s="1" a="1"/>
  <c r="E40" i="10" s="1"/>
  <c r="E41" i="10" s="1" a="1"/>
  <c r="E41" i="10" s="1"/>
  <c r="E42" i="10" s="1" a="1"/>
  <c r="E42" i="10" s="1"/>
  <c r="E43" i="10" s="1" a="1"/>
  <c r="E43" i="10" s="1"/>
  <c r="E44" i="10" s="1" a="1"/>
  <c r="E44" i="10" s="1"/>
  <c r="E45" i="10" s="1" a="1"/>
  <c r="E45" i="10" s="1"/>
  <c r="E46" i="10" s="1" a="1"/>
  <c r="E46" i="10" s="1"/>
  <c r="E47" i="10" s="1" a="1"/>
  <c r="E47" i="10" s="1"/>
  <c r="E48" i="10" s="1" a="1"/>
  <c r="E48" i="10" s="1"/>
  <c r="E49" i="10" s="1" a="1"/>
  <c r="E49" i="10" s="1"/>
  <c r="E50" i="10" s="1" a="1"/>
  <c r="E50" i="10" s="1"/>
  <c r="E51" i="10" s="1" a="1"/>
  <c r="E51" i="10" s="1"/>
  <c r="E52" i="10" s="1" a="1"/>
  <c r="E52" i="10" s="1"/>
  <c r="E53" i="10" s="1" a="1"/>
  <c r="E53" i="10" s="1"/>
  <c r="E54" i="10" s="1" a="1"/>
  <c r="E54" i="10" s="1"/>
  <c r="E55" i="10" s="1" a="1"/>
  <c r="E55" i="10" s="1"/>
  <c r="E56" i="10" s="1" a="1"/>
  <c r="E56" i="10" s="1"/>
  <c r="E57" i="10" s="1" a="1"/>
  <c r="E57" i="10" s="1"/>
  <c r="E58" i="10" s="1" a="1"/>
  <c r="E58" i="10" s="1"/>
  <c r="E59" i="10" s="1" a="1"/>
  <c r="E59" i="10" s="1"/>
  <c r="E60" i="10" s="1" a="1"/>
  <c r="E60" i="10" s="1"/>
  <c r="E61" i="10" s="1" a="1"/>
  <c r="E61" i="10" s="1"/>
  <c r="E62" i="10" s="1" a="1"/>
  <c r="E62" i="10" s="1"/>
  <c r="E63" i="10" s="1" a="1"/>
  <c r="E63" i="10" s="1"/>
  <c r="E64" i="10" s="1" a="1"/>
  <c r="E64" i="10" s="1"/>
  <c r="E65" i="10" s="1" a="1"/>
  <c r="E65" i="10" s="1"/>
  <c r="E66" i="10" s="1" a="1"/>
  <c r="E66" i="10" s="1"/>
  <c r="E67" i="10" s="1" a="1"/>
  <c r="E67" i="10" s="1"/>
  <c r="E68" i="10" s="1" a="1"/>
  <c r="E68" i="10" s="1"/>
  <c r="E69" i="10" s="1" a="1"/>
  <c r="E69" i="10" s="1"/>
  <c r="E70" i="10" s="1" a="1"/>
  <c r="E70" i="10" s="1"/>
  <c r="E71" i="10" s="1" a="1"/>
  <c r="E71" i="10" s="1"/>
  <c r="E72" i="10" s="1" a="1"/>
  <c r="E72" i="10" s="1"/>
  <c r="E73" i="10" s="1" a="1"/>
  <c r="E73" i="10" s="1"/>
  <c r="E74" i="10" s="1" a="1"/>
  <c r="E74" i="10" s="1"/>
  <c r="E75" i="10" s="1" a="1"/>
  <c r="E75" i="10" s="1"/>
  <c r="E76" i="10" s="1" a="1"/>
  <c r="E76" i="10" s="1"/>
  <c r="E77" i="10" s="1" a="1"/>
  <c r="E77" i="10" s="1"/>
  <c r="E78" i="10" s="1" a="1"/>
  <c r="E78" i="10" s="1"/>
  <c r="E79" i="10" s="1" a="1"/>
  <c r="E79" i="10" s="1"/>
  <c r="E80" i="10" s="1" a="1"/>
  <c r="E80" i="10" s="1"/>
  <c r="E81" i="10" s="1" a="1"/>
  <c r="E81" i="10" s="1"/>
  <c r="E82" i="10" s="1" a="1"/>
  <c r="E82" i="10" s="1"/>
  <c r="E83" i="10" s="1" a="1"/>
  <c r="E83" i="10" s="1"/>
  <c r="E84" i="10" s="1" a="1"/>
  <c r="E84" i="10" s="1"/>
  <c r="E85" i="10" s="1" a="1"/>
  <c r="E85" i="10" s="1"/>
  <c r="E86" i="10" s="1" a="1"/>
  <c r="E86" i="10" s="1"/>
  <c r="E87" i="10" s="1" a="1"/>
  <c r="E87" i="10" s="1"/>
  <c r="E88" i="10" s="1" a="1"/>
  <c r="E88" i="10" s="1"/>
  <c r="E89" i="10" s="1" a="1"/>
  <c r="E89" i="10" s="1"/>
  <c r="E90" i="10" s="1" a="1"/>
  <c r="E90" i="10" s="1"/>
  <c r="E91" i="10" s="1" a="1"/>
  <c r="E91" i="10" s="1"/>
  <c r="E92" i="10" s="1" a="1"/>
  <c r="E92" i="10" s="1"/>
  <c r="E93" i="10" s="1" a="1"/>
  <c r="E93" i="10" s="1"/>
  <c r="E94" i="10" s="1" a="1"/>
  <c r="E94" i="10" s="1"/>
  <c r="E95" i="10" s="1" a="1"/>
  <c r="E95" i="10" s="1"/>
  <c r="E96" i="10" s="1" a="1"/>
  <c r="E96" i="10" s="1"/>
  <c r="E97" i="10" s="1" a="1"/>
  <c r="E97" i="10" s="1"/>
  <c r="E98" i="10" s="1" a="1"/>
  <c r="E98" i="10" s="1"/>
  <c r="E99" i="10" s="1" a="1"/>
  <c r="E99" i="10" s="1"/>
  <c r="E100" i="10" s="1" a="1"/>
  <c r="E100" i="10" s="1"/>
  <c r="E101" i="10" s="1" a="1"/>
  <c r="E101" i="10" s="1"/>
  <c r="E102" i="10" s="1" a="1"/>
  <c r="E102" i="10" s="1"/>
  <c r="E103" i="10" s="1" a="1"/>
  <c r="E103" i="10" s="1"/>
  <c r="E104" i="10" s="1" a="1"/>
  <c r="E104" i="10" s="1"/>
  <c r="E105" i="10" s="1" a="1"/>
  <c r="E105" i="10" s="1"/>
  <c r="E106" i="10" s="1" a="1"/>
  <c r="E106" i="10" s="1"/>
  <c r="E107" i="10" s="1" a="1"/>
  <c r="E107" i="10" s="1"/>
  <c r="E108" i="10" s="1" a="1"/>
  <c r="E108" i="10" s="1"/>
  <c r="E109" i="10" s="1" a="1"/>
  <c r="E109" i="10" s="1"/>
  <c r="E110" i="10" s="1" a="1"/>
  <c r="E110" i="10" s="1"/>
  <c r="E111" i="10" s="1" a="1"/>
  <c r="E111" i="10" s="1"/>
  <c r="E112" i="10" s="1" a="1"/>
  <c r="E112" i="10" s="1"/>
  <c r="E113" i="10" s="1" a="1"/>
  <c r="E113" i="10" s="1"/>
  <c r="E114" i="10" s="1" a="1"/>
  <c r="E114" i="10" s="1"/>
  <c r="E115" i="10" s="1" a="1"/>
  <c r="E115" i="10" s="1"/>
  <c r="E116" i="10" s="1" a="1"/>
  <c r="E116" i="10" s="1"/>
  <c r="E117" i="10" s="1" a="1"/>
  <c r="E117" i="10" s="1"/>
  <c r="E118" i="10" s="1" a="1"/>
  <c r="E118" i="10" s="1"/>
  <c r="E119" i="10" s="1" a="1"/>
  <c r="E119" i="10" s="1"/>
  <c r="E120" i="10" s="1" a="1"/>
  <c r="E120" i="10" s="1"/>
  <c r="E121" i="10" s="1" a="1"/>
  <c r="E121" i="10" s="1"/>
  <c r="E122" i="10" s="1" a="1"/>
  <c r="E122" i="10" s="1"/>
  <c r="E123" i="10" s="1" a="1"/>
  <c r="E123" i="10" s="1"/>
  <c r="E124" i="10" s="1" a="1"/>
  <c r="E124" i="10" s="1"/>
  <c r="E125" i="10" s="1" a="1"/>
  <c r="E125" i="10" s="1"/>
  <c r="E126" i="10" s="1" a="1"/>
  <c r="E126" i="10" s="1"/>
  <c r="E127" i="10" s="1" a="1"/>
  <c r="E127" i="10" s="1"/>
  <c r="E128" i="10" s="1" a="1"/>
  <c r="E128" i="10" s="1"/>
  <c r="E129" i="10" s="1" a="1"/>
  <c r="E129" i="10" s="1"/>
  <c r="E130" i="10" s="1" a="1"/>
  <c r="E130" i="10" s="1"/>
  <c r="E131" i="10" s="1" a="1"/>
  <c r="E131" i="10" s="1"/>
  <c r="E132" i="10" s="1" a="1"/>
  <c r="E132" i="10" s="1"/>
  <c r="E133" i="10" s="1" a="1"/>
  <c r="E133" i="10" s="1"/>
  <c r="E134" i="10" s="1" a="1"/>
  <c r="E134" i="10" s="1"/>
  <c r="E135" i="10" s="1" a="1"/>
  <c r="E135" i="10" s="1"/>
  <c r="E136" i="10" s="1" a="1"/>
  <c r="E136" i="10" s="1"/>
  <c r="E137" i="10" s="1" a="1"/>
  <c r="E137" i="10" s="1"/>
  <c r="E138" i="10" s="1" a="1"/>
  <c r="E138" i="10" s="1"/>
  <c r="E139" i="10" s="1" a="1"/>
  <c r="E139" i="10" s="1"/>
  <c r="E140" i="10" s="1" a="1"/>
  <c r="E140" i="10" s="1"/>
  <c r="E141" i="10" s="1" a="1"/>
  <c r="E141" i="10" s="1"/>
  <c r="E142" i="10" s="1" a="1"/>
  <c r="E142" i="10" s="1"/>
  <c r="E143" i="10" s="1" a="1"/>
  <c r="E143" i="10" s="1"/>
  <c r="E144" i="10" s="1" a="1"/>
  <c r="E144" i="10" s="1"/>
  <c r="E145" i="10" s="1" a="1"/>
  <c r="E145" i="10" s="1"/>
  <c r="E146" i="10" s="1" a="1"/>
  <c r="E146" i="10" s="1"/>
  <c r="E147" i="10" s="1" a="1"/>
  <c r="E147" i="10" s="1"/>
  <c r="E148" i="10" s="1" a="1"/>
  <c r="E148" i="10" s="1"/>
  <c r="E149" i="10" s="1" a="1"/>
  <c r="E149" i="10" s="1"/>
  <c r="E150" i="10" s="1" a="1"/>
  <c r="E150" i="10" s="1"/>
  <c r="E151" i="10" s="1" a="1"/>
  <c r="E151" i="10" s="1"/>
  <c r="E152" i="10" s="1" a="1"/>
  <c r="E152" i="10" s="1"/>
  <c r="E153" i="10" s="1" a="1"/>
  <c r="E153" i="10" s="1"/>
  <c r="E154" i="10" s="1" a="1"/>
  <c r="E154" i="10" s="1"/>
  <c r="E155" i="10" s="1" a="1"/>
  <c r="E155" i="10" s="1"/>
  <c r="E156" i="10" s="1" a="1"/>
  <c r="E156" i="10" s="1"/>
  <c r="E157" i="10" s="1" a="1"/>
  <c r="E157" i="10" s="1"/>
  <c r="E158" i="10" s="1" a="1"/>
  <c r="E158" i="10" s="1"/>
  <c r="E159" i="10" s="1" a="1"/>
  <c r="E159" i="10" s="1"/>
  <c r="E160" i="10" s="1" a="1"/>
  <c r="E160" i="10" s="1"/>
  <c r="E161" i="10" s="1" a="1"/>
  <c r="E161" i="10" s="1"/>
  <c r="E162" i="10" s="1" a="1"/>
  <c r="E162" i="10" s="1"/>
  <c r="E163" i="10" s="1" a="1"/>
  <c r="E163" i="10" s="1"/>
  <c r="E164" i="10" s="1" a="1"/>
  <c r="E164" i="10" s="1"/>
  <c r="E165" i="10" s="1" a="1"/>
  <c r="E165" i="10" s="1"/>
  <c r="E166" i="10" s="1" a="1"/>
  <c r="E166" i="10" s="1"/>
  <c r="E167" i="10" s="1" a="1"/>
  <c r="E167" i="10" s="1"/>
  <c r="E168" i="10" s="1" a="1"/>
  <c r="E168" i="10" s="1"/>
  <c r="E169" i="10" s="1" a="1"/>
  <c r="E169" i="10" s="1"/>
  <c r="E170" i="10" s="1" a="1"/>
  <c r="E170" i="10" s="1"/>
  <c r="E171" i="10" s="1" a="1"/>
  <c r="E171" i="10" s="1"/>
  <c r="E172" i="10" s="1" a="1"/>
  <c r="E172" i="10" s="1"/>
  <c r="E173" i="10" s="1" a="1"/>
  <c r="E173" i="10" s="1"/>
  <c r="E174" i="10" s="1" a="1"/>
  <c r="E174" i="10" s="1"/>
  <c r="E175" i="10" s="1" a="1"/>
  <c r="E175" i="10" s="1"/>
  <c r="E176" i="10" s="1" a="1"/>
  <c r="E176" i="10" s="1"/>
  <c r="E177" i="10" s="1" a="1"/>
  <c r="E177" i="10" s="1"/>
  <c r="E178" i="10" s="1" a="1"/>
  <c r="E178" i="10" s="1"/>
  <c r="E179" i="10" s="1" a="1"/>
  <c r="E179" i="10" s="1"/>
  <c r="E180" i="10" s="1" a="1"/>
  <c r="E180" i="10" s="1"/>
  <c r="E181" i="10" s="1" a="1"/>
  <c r="E181" i="10" s="1"/>
  <c r="E182" i="10" s="1" a="1"/>
  <c r="E182" i="10" s="1"/>
  <c r="E183" i="10" s="1" a="1"/>
  <c r="E183" i="10" s="1"/>
  <c r="E184" i="10" s="1" a="1"/>
  <c r="E184" i="10" s="1"/>
  <c r="E185" i="10" s="1" a="1"/>
  <c r="E185" i="10" s="1"/>
  <c r="E186" i="10" s="1" a="1"/>
  <c r="E186" i="10" s="1"/>
  <c r="E187" i="10" s="1" a="1"/>
  <c r="E187" i="10" s="1"/>
  <c r="E188" i="10" s="1" a="1"/>
  <c r="E188" i="10" s="1"/>
  <c r="E189" i="10" s="1" a="1"/>
  <c r="E189" i="10" s="1"/>
  <c r="E190" i="10" s="1" a="1"/>
  <c r="E190" i="10" s="1"/>
  <c r="E191" i="10" s="1" a="1"/>
  <c r="E191" i="10" s="1"/>
  <c r="E192" i="10" s="1" a="1"/>
  <c r="E192" i="10" s="1"/>
  <c r="E193" i="10" s="1" a="1"/>
  <c r="E193" i="10" s="1"/>
  <c r="E194" i="10" s="1" a="1"/>
  <c r="E194" i="10" s="1"/>
  <c r="E195" i="10" s="1" a="1"/>
  <c r="E195" i="10" s="1"/>
  <c r="E196" i="10" s="1" a="1"/>
  <c r="E196" i="10" s="1"/>
  <c r="E197" i="10" s="1" a="1"/>
  <c r="E197" i="10" s="1"/>
  <c r="E198" i="10" s="1" a="1"/>
  <c r="E198" i="10" s="1"/>
  <c r="E199" i="10" s="1" a="1"/>
  <c r="E199" i="10" s="1"/>
  <c r="E200" i="10" s="1" a="1"/>
  <c r="E200" i="10" s="1"/>
  <c r="E201" i="10" s="1" a="1"/>
  <c r="E201" i="10" s="1"/>
  <c r="E202" i="10" s="1" a="1"/>
  <c r="E202" i="10" s="1"/>
  <c r="E203" i="10" s="1" a="1"/>
  <c r="E203" i="10" s="1"/>
  <c r="E204" i="10" s="1" a="1"/>
  <c r="E204" i="10" s="1"/>
  <c r="E205" i="10" s="1" a="1"/>
  <c r="E205" i="10" s="1"/>
  <c r="E206" i="10" s="1" a="1"/>
  <c r="E206" i="10" s="1"/>
  <c r="E207" i="10" s="1" a="1"/>
  <c r="E207" i="10" s="1"/>
  <c r="E208" i="10" s="1" a="1"/>
  <c r="E208" i="10" s="1"/>
  <c r="E209" i="10" s="1" a="1"/>
  <c r="E209" i="10" s="1"/>
  <c r="E210" i="10" s="1" a="1"/>
  <c r="E210" i="10" s="1"/>
  <c r="E211" i="10" s="1" a="1"/>
  <c r="E211" i="10" s="1"/>
  <c r="E212" i="10" s="1" a="1"/>
  <c r="E212" i="10" s="1"/>
  <c r="E213" i="10" s="1" a="1"/>
  <c r="E213" i="10" s="1"/>
  <c r="E214" i="10" s="1" a="1"/>
  <c r="E214" i="10" s="1"/>
  <c r="E215" i="10" s="1" a="1"/>
  <c r="E215" i="10" s="1"/>
  <c r="E216" i="10" s="1" a="1"/>
  <c r="E216" i="10" s="1"/>
  <c r="E217" i="10" s="1" a="1"/>
  <c r="E217" i="10" s="1"/>
  <c r="E218" i="10" s="1" a="1"/>
  <c r="E218" i="10" s="1"/>
  <c r="E219" i="10" s="1" a="1"/>
  <c r="E219" i="10" s="1"/>
  <c r="E220" i="10" s="1" a="1"/>
  <c r="E220" i="10" s="1"/>
  <c r="E221" i="10" s="1" a="1"/>
  <c r="E221" i="10" s="1"/>
  <c r="E222" i="10" s="1" a="1"/>
  <c r="E222" i="10" s="1"/>
  <c r="E223" i="10" s="1" a="1"/>
  <c r="E223" i="10" s="1"/>
  <c r="E224" i="10" s="1" a="1"/>
  <c r="E224" i="10" s="1"/>
  <c r="E225" i="10" s="1" a="1"/>
  <c r="E225" i="10" s="1"/>
  <c r="E226" i="10" s="1" a="1"/>
  <c r="E226" i="10" s="1"/>
  <c r="E227" i="10" s="1" a="1"/>
  <c r="E227" i="10" s="1"/>
  <c r="E228" i="10" s="1" a="1"/>
  <c r="E228" i="10" s="1"/>
  <c r="E229" i="10" s="1" a="1"/>
  <c r="E229" i="10" s="1"/>
  <c r="E230" i="10" s="1" a="1"/>
  <c r="E230" i="10" s="1"/>
  <c r="E231" i="10" s="1" a="1"/>
  <c r="E231" i="10" s="1"/>
  <c r="E232" i="10" s="1" a="1"/>
  <c r="E232" i="10" s="1"/>
  <c r="E233" i="10" s="1" a="1"/>
  <c r="E233" i="10" s="1"/>
  <c r="E234" i="10" s="1" a="1"/>
  <c r="E234" i="10" s="1"/>
  <c r="E235" i="10" s="1" a="1"/>
  <c r="E235" i="10" s="1"/>
  <c r="E236" i="10" s="1" a="1"/>
  <c r="E236" i="10" s="1"/>
  <c r="E237" i="10" s="1" a="1"/>
  <c r="E237" i="10" s="1"/>
  <c r="E238" i="10" s="1" a="1"/>
  <c r="E238" i="10" s="1"/>
  <c r="E239" i="10" s="1" a="1"/>
  <c r="E239" i="10" s="1"/>
  <c r="E240" i="10" s="1" a="1"/>
  <c r="E240" i="10" s="1"/>
  <c r="E241" i="10" s="1" a="1"/>
  <c r="E241" i="10" s="1"/>
  <c r="E242" i="10" s="1" a="1"/>
  <c r="E242" i="10" s="1"/>
  <c r="E243" i="10" s="1" a="1"/>
  <c r="E243" i="10" s="1"/>
  <c r="E244" i="10" s="1" a="1"/>
  <c r="E244" i="10" s="1"/>
  <c r="E245" i="10" s="1" a="1"/>
  <c r="E245" i="10" s="1"/>
  <c r="E246" i="10" s="1" a="1"/>
  <c r="E246" i="10" s="1"/>
  <c r="E247" i="10" s="1" a="1"/>
  <c r="E247" i="10" s="1"/>
  <c r="E248" i="10" s="1" a="1"/>
  <c r="E248" i="10" s="1"/>
  <c r="E249" i="10" s="1" a="1"/>
  <c r="E249" i="10" s="1"/>
  <c r="E250" i="10" s="1" a="1"/>
  <c r="E250" i="10" s="1"/>
  <c r="E251" i="10" s="1" a="1"/>
  <c r="E251" i="10" s="1"/>
  <c r="E252" i="10" s="1" a="1"/>
  <c r="E252" i="10" s="1"/>
  <c r="E253" i="10" s="1" a="1"/>
  <c r="E253" i="10" s="1"/>
  <c r="E254" i="10" s="1" a="1"/>
  <c r="E254" i="10" s="1"/>
  <c r="E255" i="10" s="1" a="1"/>
  <c r="E255" i="10" s="1"/>
  <c r="E256" i="10" s="1" a="1"/>
  <c r="E256" i="10" s="1"/>
  <c r="E257" i="10" s="1" a="1"/>
  <c r="E257" i="10" s="1"/>
  <c r="E258" i="10" s="1" a="1"/>
  <c r="E258" i="10" s="1"/>
  <c r="E259" i="10" s="1" a="1"/>
  <c r="E259" i="10" s="1"/>
  <c r="E260" i="10" s="1" a="1"/>
  <c r="E260" i="10" s="1"/>
  <c r="E261" i="10" s="1" a="1"/>
  <c r="E261" i="10" s="1"/>
  <c r="E262" i="10" s="1" a="1"/>
  <c r="E262" i="10" s="1"/>
  <c r="E263" i="10" s="1" a="1"/>
  <c r="E263" i="10" s="1"/>
  <c r="E264" i="10" s="1" a="1"/>
  <c r="E264" i="10" s="1"/>
  <c r="E265" i="10" s="1" a="1"/>
  <c r="E265" i="10" s="1"/>
  <c r="E266" i="10" s="1" a="1"/>
  <c r="E266" i="10" s="1"/>
  <c r="E267" i="10" s="1" a="1"/>
  <c r="E267" i="10" s="1"/>
  <c r="E268" i="10" s="1" a="1"/>
  <c r="E268" i="10" s="1"/>
  <c r="E269" i="10" s="1" a="1"/>
  <c r="E269" i="10" s="1"/>
  <c r="E270" i="10" s="1" a="1"/>
  <c r="E270" i="10" s="1"/>
  <c r="E271" i="10" s="1" a="1"/>
  <c r="E271" i="10" s="1"/>
  <c r="E272" i="10" s="1" a="1"/>
  <c r="E272" i="10" s="1"/>
  <c r="E273" i="10" s="1" a="1"/>
  <c r="E273" i="10" s="1"/>
  <c r="E274" i="10" s="1" a="1"/>
  <c r="E274" i="10" s="1"/>
  <c r="E275" i="10" s="1" a="1"/>
  <c r="E275" i="10" s="1"/>
  <c r="E276" i="10" s="1" a="1"/>
  <c r="E276" i="10" s="1"/>
  <c r="E277" i="10" s="1" a="1"/>
  <c r="E277" i="10" s="1"/>
  <c r="E278" i="10" s="1" a="1"/>
  <c r="E278" i="10" s="1"/>
  <c r="E279" i="10" s="1" a="1"/>
  <c r="E279" i="10" s="1"/>
  <c r="E280" i="10" s="1" a="1"/>
  <c r="E280" i="10" s="1"/>
  <c r="E281" i="10" s="1" a="1"/>
  <c r="E281" i="10" s="1"/>
  <c r="E282" i="10" s="1" a="1"/>
  <c r="E282" i="10" s="1"/>
  <c r="E283" i="10" s="1" a="1"/>
  <c r="E283" i="10" s="1"/>
  <c r="E284" i="10" s="1" a="1"/>
  <c r="E284" i="10" s="1"/>
  <c r="E285" i="10" s="1" a="1"/>
  <c r="E285" i="10" s="1"/>
  <c r="E286" i="10" s="1" a="1"/>
  <c r="E286" i="10" s="1"/>
  <c r="E287" i="10" s="1" a="1"/>
  <c r="E287" i="10" s="1"/>
  <c r="E288" i="10" s="1" a="1"/>
  <c r="E288" i="10" s="1"/>
  <c r="E289" i="10" s="1" a="1"/>
  <c r="E289" i="10" s="1"/>
  <c r="E290" i="10" s="1" a="1"/>
  <c r="E290" i="10" s="1"/>
  <c r="E291" i="10" s="1" a="1"/>
  <c r="E291" i="10" s="1"/>
  <c r="E292" i="10" s="1" a="1"/>
  <c r="E292" i="10" s="1"/>
  <c r="E293" i="10" s="1" a="1"/>
  <c r="E293" i="10" s="1"/>
  <c r="E294" i="10" s="1" a="1"/>
  <c r="E294" i="10" s="1"/>
  <c r="E295" i="10" s="1" a="1"/>
  <c r="E295" i="10" s="1"/>
  <c r="E296" i="10" s="1" a="1"/>
  <c r="E296" i="10" s="1"/>
  <c r="E297" i="10" s="1" a="1"/>
  <c r="E297" i="10" s="1"/>
  <c r="E298" i="10" s="1" a="1"/>
  <c r="E298" i="10" s="1"/>
  <c r="E299" i="10" s="1" a="1"/>
  <c r="E299" i="10" s="1"/>
  <c r="E300" i="10" s="1" a="1"/>
  <c r="E300" i="10" s="1"/>
  <c r="E301" i="10" s="1" a="1"/>
  <c r="E301" i="10" s="1"/>
  <c r="E302" i="10" s="1" a="1"/>
  <c r="E302" i="10" s="1"/>
  <c r="E303" i="10" s="1" a="1"/>
  <c r="E303" i="10" s="1"/>
  <c r="E304" i="10" s="1" a="1"/>
  <c r="E304" i="10" s="1"/>
  <c r="E305" i="10" s="1" a="1"/>
  <c r="E305" i="10" s="1"/>
  <c r="E306" i="10" s="1" a="1"/>
  <c r="E306" i="10" s="1"/>
  <c r="E307" i="10" s="1" a="1"/>
  <c r="E307" i="10" s="1"/>
  <c r="E308" i="10" s="1" a="1"/>
  <c r="E308" i="10" s="1"/>
  <c r="E309" i="10" s="1" a="1"/>
  <c r="E309" i="10" s="1"/>
  <c r="E310" i="10" s="1" a="1"/>
  <c r="E310" i="10" s="1"/>
  <c r="E311" i="10" s="1" a="1"/>
  <c r="E311" i="10" s="1"/>
  <c r="E312" i="10" s="1" a="1"/>
  <c r="E312" i="10" s="1"/>
  <c r="E313" i="10" s="1" a="1"/>
  <c r="E313" i="10" s="1"/>
  <c r="E314" i="10" s="1" a="1"/>
  <c r="E314" i="10" s="1"/>
  <c r="E315" i="10" s="1" a="1"/>
  <c r="E315" i="10" s="1"/>
  <c r="E316" i="10" s="1" a="1"/>
  <c r="E316" i="10" s="1"/>
  <c r="E317" i="10" s="1" a="1"/>
  <c r="E317" i="10" s="1"/>
  <c r="E318" i="10" s="1" a="1"/>
  <c r="E318" i="10" s="1"/>
  <c r="E319" i="10" s="1" a="1"/>
  <c r="E319" i="10" s="1"/>
  <c r="E320" i="10" s="1" a="1"/>
  <c r="E320" i="10" s="1"/>
  <c r="E321" i="10" s="1" a="1"/>
  <c r="E321" i="10" s="1"/>
  <c r="E322" i="10" s="1" a="1"/>
  <c r="E322" i="10" s="1"/>
  <c r="E323" i="10" s="1" a="1"/>
  <c r="E323" i="10" s="1"/>
  <c r="E324" i="10" s="1" a="1"/>
  <c r="E324" i="10" s="1"/>
  <c r="E325" i="10" s="1" a="1"/>
  <c r="E325" i="10" s="1"/>
  <c r="E326" i="10" s="1" a="1"/>
  <c r="E326" i="10" s="1"/>
  <c r="E327" i="10" s="1" a="1"/>
  <c r="E327" i="10" s="1"/>
  <c r="E328" i="10" s="1" a="1"/>
  <c r="E328" i="10" s="1"/>
  <c r="E329" i="10" s="1" a="1"/>
  <c r="E329" i="10" s="1"/>
  <c r="E330" i="10" s="1" a="1"/>
  <c r="E330" i="10" s="1"/>
  <c r="E331" i="10" s="1" a="1"/>
  <c r="E331" i="10" s="1"/>
  <c r="E332" i="10" s="1" a="1"/>
  <c r="E332" i="10" s="1"/>
  <c r="E333" i="10" s="1" a="1"/>
  <c r="E333" i="10" s="1"/>
  <c r="E334" i="10" s="1" a="1"/>
  <c r="E334" i="10" s="1"/>
  <c r="E335" i="10" s="1" a="1"/>
  <c r="E335" i="10" s="1"/>
  <c r="E336" i="10" s="1" a="1"/>
  <c r="E336" i="10" s="1"/>
  <c r="E337" i="10" s="1" a="1"/>
  <c r="E337" i="10" s="1"/>
  <c r="E338" i="10" s="1" a="1"/>
  <c r="E338" i="10" s="1"/>
  <c r="E339" i="10" s="1" a="1"/>
  <c r="E339" i="10" s="1"/>
  <c r="E340" i="10" s="1" a="1"/>
  <c r="E340" i="10" s="1"/>
  <c r="E341" i="10" s="1" a="1"/>
  <c r="E341" i="10" s="1"/>
  <c r="E342" i="10" s="1" a="1"/>
  <c r="E342" i="10" s="1"/>
  <c r="E343" i="10" s="1" a="1"/>
  <c r="E343" i="10" s="1"/>
  <c r="E344" i="10" s="1" a="1"/>
  <c r="E344" i="10" s="1"/>
  <c r="E345" i="10" s="1" a="1"/>
  <c r="E345" i="10" s="1"/>
  <c r="E346" i="10" s="1" a="1"/>
  <c r="E346" i="10" s="1"/>
  <c r="E347" i="10" s="1" a="1"/>
  <c r="E347" i="10" s="1"/>
  <c r="E348" i="10" s="1" a="1"/>
  <c r="E348" i="10" s="1"/>
  <c r="E349" i="10" s="1" a="1"/>
  <c r="E349" i="10" s="1"/>
  <c r="E350" i="10" s="1" a="1"/>
  <c r="E350" i="10" s="1"/>
  <c r="E351" i="10" s="1" a="1"/>
  <c r="E351" i="10" s="1"/>
  <c r="E352" i="10" s="1" a="1"/>
  <c r="E352" i="10" s="1"/>
  <c r="E353" i="10" s="1" a="1"/>
  <c r="E353" i="10" s="1"/>
  <c r="E354" i="10" s="1" a="1"/>
  <c r="E354" i="10" s="1"/>
  <c r="E355" i="10" s="1" a="1"/>
  <c r="E355" i="10" s="1"/>
  <c r="E356" i="10" s="1" a="1"/>
  <c r="E356" i="10" s="1"/>
  <c r="E357" i="10" s="1" a="1"/>
  <c r="E357" i="10" s="1"/>
  <c r="E358" i="10" s="1" a="1"/>
  <c r="E358" i="10" s="1"/>
  <c r="E359" i="10" s="1" a="1"/>
  <c r="E359" i="10" s="1"/>
  <c r="E360" i="10" s="1" a="1"/>
  <c r="E360" i="10" s="1"/>
  <c r="E361" i="10" s="1" a="1"/>
  <c r="E361" i="10" s="1"/>
  <c r="E362" i="10" s="1" a="1"/>
  <c r="E362" i="10" s="1"/>
  <c r="E363" i="10" s="1" a="1"/>
  <c r="E363" i="10" s="1"/>
  <c r="E364" i="10" s="1" a="1"/>
  <c r="E364" i="10" s="1"/>
  <c r="E365" i="10" s="1" a="1"/>
  <c r="E365" i="10" s="1"/>
  <c r="E366" i="10" s="1" a="1"/>
  <c r="E366" i="10" s="1"/>
  <c r="E367" i="10" s="1" a="1"/>
  <c r="E367" i="10" s="1"/>
  <c r="E368" i="10" s="1" a="1"/>
  <c r="E368" i="10" s="1"/>
  <c r="E369" i="10" s="1" a="1"/>
  <c r="E369" i="10" s="1"/>
  <c r="E370" i="10" s="1" a="1"/>
  <c r="E370" i="10" s="1"/>
  <c r="E371" i="10" s="1" a="1"/>
  <c r="E371" i="10" s="1"/>
  <c r="E372" i="10" s="1" a="1"/>
  <c r="E372" i="10" s="1"/>
  <c r="E373" i="10" s="1" a="1"/>
  <c r="E373" i="10" s="1"/>
  <c r="E374" i="10" s="1" a="1"/>
  <c r="E374" i="10" s="1"/>
  <c r="E375" i="10" s="1" a="1"/>
  <c r="E375" i="10" s="1"/>
  <c r="E376" i="10" s="1" a="1"/>
  <c r="E376" i="10" s="1"/>
  <c r="E377" i="10" s="1" a="1"/>
  <c r="E377" i="10" s="1"/>
  <c r="E378" i="10" s="1" a="1"/>
  <c r="E378" i="10" s="1"/>
  <c r="E379" i="10" s="1" a="1"/>
  <c r="E379" i="10" s="1"/>
  <c r="E380" i="10" s="1" a="1"/>
  <c r="E380" i="10" s="1"/>
  <c r="E381" i="10" s="1" a="1"/>
  <c r="E381" i="10" s="1"/>
  <c r="E382" i="10" s="1" a="1"/>
  <c r="E382" i="10" s="1"/>
  <c r="E383" i="10" s="1" a="1"/>
  <c r="E383" i="10" s="1"/>
  <c r="E384" i="10" s="1" a="1"/>
  <c r="E384" i="10" s="1"/>
  <c r="E385" i="10" s="1" a="1"/>
  <c r="E385" i="10" s="1"/>
  <c r="E386" i="10" s="1" a="1"/>
  <c r="E386" i="10" s="1"/>
  <c r="E387" i="10" s="1" a="1"/>
  <c r="E387" i="10" s="1"/>
  <c r="E388" i="10" s="1" a="1"/>
  <c r="E388" i="10" s="1"/>
  <c r="E389" i="10" s="1" a="1"/>
  <c r="E389" i="10" s="1"/>
  <c r="E390" i="10" s="1" a="1"/>
  <c r="E390" i="10" s="1"/>
  <c r="E391" i="10" s="1" a="1"/>
  <c r="E391" i="10" s="1"/>
  <c r="E392" i="10" s="1" a="1"/>
  <c r="E392" i="10" s="1"/>
  <c r="E393" i="10" s="1" a="1"/>
  <c r="E393" i="10" s="1"/>
  <c r="E394" i="10" s="1" a="1"/>
  <c r="E394" i="10" s="1"/>
  <c r="E395" i="10" s="1" a="1"/>
  <c r="E395" i="10" s="1"/>
  <c r="E396" i="10" s="1" a="1"/>
  <c r="E396" i="10" s="1"/>
  <c r="E397" i="10" s="1" a="1"/>
  <c r="E397" i="10" s="1"/>
  <c r="E398" i="10" s="1" a="1"/>
  <c r="E398" i="10" s="1"/>
  <c r="E399" i="10" s="1" a="1"/>
  <c r="E399" i="10" s="1"/>
  <c r="E400" i="10" s="1" a="1"/>
  <c r="E400" i="10" s="1"/>
  <c r="E401" i="10" s="1" a="1"/>
  <c r="E401" i="10" s="1"/>
  <c r="E402" i="10" s="1" a="1"/>
  <c r="E402" i="10" s="1"/>
  <c r="E403" i="10" s="1" a="1"/>
  <c r="E403" i="10" s="1"/>
  <c r="E404" i="10" s="1" a="1"/>
  <c r="E404" i="10" s="1"/>
  <c r="E405" i="10" s="1" a="1"/>
  <c r="E405" i="10" s="1"/>
  <c r="E406" i="10" s="1" a="1"/>
  <c r="E406" i="10" s="1"/>
  <c r="E407" i="10" s="1" a="1"/>
  <c r="E407" i="10" s="1"/>
  <c r="E408" i="10" s="1" a="1"/>
  <c r="E408" i="10" s="1"/>
  <c r="E409" i="10" s="1" a="1"/>
  <c r="E409" i="10" s="1"/>
  <c r="E410" i="10" s="1" a="1"/>
  <c r="E410" i="10" s="1"/>
  <c r="E411" i="10" s="1" a="1"/>
  <c r="E411" i="10" s="1"/>
  <c r="E412" i="10" s="1" a="1"/>
  <c r="E412" i="10" s="1"/>
  <c r="E413" i="10" s="1" a="1"/>
  <c r="E413" i="10" s="1"/>
  <c r="E414" i="10" s="1" a="1"/>
  <c r="E414" i="10" s="1"/>
  <c r="E415" i="10" s="1" a="1"/>
  <c r="E415" i="10" s="1"/>
  <c r="E416" i="10" s="1" a="1"/>
  <c r="E416" i="10" s="1"/>
  <c r="E417" i="10" s="1" a="1"/>
  <c r="E417" i="10" s="1"/>
  <c r="E418" i="10" s="1" a="1"/>
  <c r="E418" i="10" s="1"/>
  <c r="E419" i="10" s="1" a="1"/>
  <c r="E419" i="10" s="1"/>
  <c r="E420" i="10" s="1" a="1"/>
  <c r="E420" i="10" s="1"/>
  <c r="E421" i="10" s="1" a="1"/>
  <c r="E421" i="10" s="1"/>
  <c r="E422" i="10" s="1" a="1"/>
  <c r="E422" i="10" s="1"/>
  <c r="E423" i="10" s="1" a="1"/>
  <c r="E423" i="10" s="1"/>
  <c r="E424" i="10" s="1" a="1"/>
  <c r="E424" i="10" s="1"/>
  <c r="E425" i="10" s="1" a="1"/>
  <c r="E425" i="10" s="1"/>
  <c r="E426" i="10" s="1" a="1"/>
  <c r="E426" i="10" s="1"/>
  <c r="E427" i="10" s="1" a="1"/>
  <c r="E427" i="10" s="1"/>
  <c r="E428" i="10" s="1" a="1"/>
  <c r="E428" i="10" s="1"/>
  <c r="E429" i="10" s="1" a="1"/>
  <c r="E429" i="10" s="1"/>
  <c r="E430" i="10" s="1" a="1"/>
  <c r="E430" i="10" s="1"/>
  <c r="E431" i="10" s="1" a="1"/>
  <c r="E431" i="10" s="1"/>
  <c r="E432" i="10" s="1" a="1"/>
  <c r="E432" i="10" s="1"/>
  <c r="E433" i="10" s="1" a="1"/>
  <c r="E433" i="10" s="1"/>
  <c r="E434" i="10" s="1" a="1"/>
  <c r="E434" i="10" s="1"/>
  <c r="E435" i="10" s="1" a="1"/>
  <c r="E435" i="10" s="1"/>
  <c r="E436" i="10" s="1" a="1"/>
  <c r="E436" i="10" s="1"/>
  <c r="E437" i="10" s="1" a="1"/>
  <c r="E437" i="10" s="1"/>
  <c r="E438" i="10" s="1" a="1"/>
  <c r="E438" i="10" s="1"/>
  <c r="E439" i="10" s="1" a="1"/>
  <c r="E439" i="10" s="1"/>
  <c r="E440" i="10" s="1" a="1"/>
  <c r="E440" i="10" s="1"/>
  <c r="E441" i="10" s="1" a="1"/>
  <c r="E441" i="10" s="1"/>
  <c r="E442" i="10" s="1" a="1"/>
  <c r="E442" i="10" s="1"/>
  <c r="E443" i="10" s="1" a="1"/>
  <c r="E443" i="10" s="1"/>
  <c r="E444" i="10" s="1" a="1"/>
  <c r="E444" i="10" s="1"/>
  <c r="E445" i="10" s="1" a="1"/>
  <c r="E445" i="10" s="1"/>
  <c r="E446" i="10" s="1" a="1"/>
  <c r="E446" i="10" s="1"/>
  <c r="E447" i="10" s="1" a="1"/>
  <c r="E447" i="10" s="1"/>
  <c r="E448" i="10" s="1" a="1"/>
  <c r="E448" i="10" s="1"/>
  <c r="E449" i="10" s="1" a="1"/>
  <c r="E449" i="10" s="1"/>
  <c r="E450" i="10" s="1" a="1"/>
  <c r="E450" i="10" s="1"/>
  <c r="E451" i="10" s="1" a="1"/>
  <c r="E451" i="10" s="1"/>
  <c r="E452" i="10" s="1" a="1"/>
  <c r="E452" i="10" s="1"/>
  <c r="E453" i="10" s="1" a="1"/>
  <c r="E453" i="10" s="1"/>
  <c r="E454" i="10" s="1" a="1"/>
  <c r="E454" i="10" s="1"/>
  <c r="E455" i="10" s="1" a="1"/>
  <c r="E455" i="10" s="1"/>
  <c r="E456" i="10" s="1" a="1"/>
  <c r="E456" i="10" s="1"/>
  <c r="E457" i="10" s="1" a="1"/>
  <c r="E457" i="10" s="1"/>
  <c r="E458" i="10" s="1" a="1"/>
  <c r="E458" i="10" s="1"/>
  <c r="E459" i="10" s="1" a="1"/>
  <c r="E459" i="10" s="1"/>
  <c r="E460" i="10" s="1" a="1"/>
  <c r="E460" i="10" s="1"/>
  <c r="E461" i="10" s="1" a="1"/>
  <c r="E461" i="10" s="1"/>
  <c r="E462" i="10" s="1" a="1"/>
  <c r="E462" i="10" s="1"/>
  <c r="E463" i="10" s="1" a="1"/>
  <c r="E463" i="10" s="1"/>
  <c r="E464" i="10" s="1" a="1"/>
  <c r="E464" i="10" s="1"/>
  <c r="E465" i="10" s="1" a="1"/>
  <c r="E465" i="10" s="1"/>
  <c r="E466" i="10" s="1" a="1"/>
  <c r="E466" i="10" s="1"/>
  <c r="E467" i="10" s="1" a="1"/>
  <c r="E467" i="10" s="1"/>
  <c r="E468" i="10" s="1" a="1"/>
  <c r="E468" i="10" s="1"/>
  <c r="E469" i="10" s="1" a="1"/>
  <c r="E469" i="10" s="1"/>
  <c r="E470" i="10" s="1" a="1"/>
  <c r="E470" i="10" s="1"/>
  <c r="E471" i="10" s="1" a="1"/>
  <c r="E471" i="10" s="1"/>
  <c r="E472" i="10" s="1" a="1"/>
  <c r="E472" i="10" s="1"/>
  <c r="E473" i="10" s="1" a="1"/>
  <c r="E473" i="10" s="1"/>
  <c r="E474" i="10" s="1" a="1"/>
  <c r="E474" i="10" s="1"/>
  <c r="E475" i="10" s="1" a="1"/>
  <c r="E475" i="10" s="1"/>
  <c r="E476" i="10" s="1" a="1"/>
  <c r="E476" i="10" s="1"/>
  <c r="E477" i="10" s="1" a="1"/>
  <c r="E477" i="10" s="1"/>
  <c r="E478" i="10" s="1" a="1"/>
  <c r="E478" i="10" s="1"/>
  <c r="E479" i="10" s="1" a="1"/>
  <c r="E479" i="10" s="1"/>
  <c r="E480" i="10" s="1" a="1"/>
  <c r="E480" i="10" s="1"/>
  <c r="E481" i="10" s="1" a="1"/>
  <c r="E481" i="10" s="1"/>
  <c r="E482" i="10" s="1" a="1"/>
  <c r="E482" i="10" s="1"/>
  <c r="E483" i="10" s="1" a="1"/>
  <c r="E483" i="10" s="1"/>
  <c r="E484" i="10" s="1" a="1"/>
  <c r="E484" i="10" s="1"/>
  <c r="E485" i="10" s="1" a="1"/>
  <c r="E485" i="10" s="1"/>
  <c r="E486" i="10" s="1" a="1"/>
  <c r="E486" i="10" s="1"/>
  <c r="E487" i="10" s="1" a="1"/>
  <c r="E487" i="10" s="1"/>
  <c r="E488" i="10" s="1" a="1"/>
  <c r="E488" i="10" s="1"/>
  <c r="E489" i="10" s="1" a="1"/>
  <c r="E489" i="10" s="1"/>
  <c r="E490" i="10" s="1" a="1"/>
  <c r="E490" i="10" s="1"/>
  <c r="E491" i="10" s="1" a="1"/>
  <c r="E491" i="10" s="1"/>
  <c r="E492" i="10" s="1" a="1"/>
  <c r="E492" i="10" s="1"/>
  <c r="E493" i="10" s="1" a="1"/>
  <c r="E493" i="10" s="1"/>
  <c r="E494" i="10" s="1" a="1"/>
  <c r="E494" i="10" s="1"/>
  <c r="E495" i="10" s="1" a="1"/>
  <c r="E495" i="10" s="1"/>
  <c r="E496" i="10" s="1" a="1"/>
  <c r="E496" i="10" s="1"/>
  <c r="E497" i="10" s="1" a="1"/>
  <c r="E497" i="10" s="1"/>
  <c r="E498" i="10" s="1" a="1"/>
  <c r="E498" i="10" s="1"/>
  <c r="E499" i="10" s="1" a="1"/>
  <c r="E499" i="10" s="1"/>
  <c r="E500" i="10" s="1" a="1"/>
  <c r="E500" i="10" s="1"/>
  <c r="E501" i="10" s="1" a="1"/>
  <c r="E501" i="10" s="1"/>
  <c r="E502" i="10" s="1" a="1"/>
  <c r="E502" i="10" s="1"/>
  <c r="E503" i="10" s="1" a="1"/>
  <c r="E503" i="10" s="1"/>
  <c r="E504" i="10" s="1" a="1"/>
  <c r="E504" i="10" s="1"/>
  <c r="E505" i="10" s="1" a="1"/>
  <c r="E505" i="10" s="1"/>
  <c r="E506" i="10" s="1" a="1"/>
  <c r="E506" i="10" s="1"/>
  <c r="E507" i="10" s="1" a="1"/>
  <c r="E507" i="10" s="1"/>
  <c r="E508" i="10" s="1" a="1"/>
  <c r="E508" i="10" s="1"/>
  <c r="E509" i="10" s="1" a="1"/>
  <c r="E509" i="10" s="1"/>
  <c r="E510" i="10" s="1" a="1"/>
  <c r="E510" i="10" s="1"/>
  <c r="E511" i="10" s="1" a="1"/>
  <c r="E511" i="10" s="1"/>
  <c r="E512" i="10" s="1" a="1"/>
  <c r="E512" i="10" s="1"/>
  <c r="E513" i="10" s="1" a="1"/>
  <c r="E513" i="10" s="1"/>
  <c r="E514" i="10" s="1" a="1"/>
  <c r="E514" i="10" s="1"/>
  <c r="E515" i="10" s="1" a="1"/>
  <c r="E515" i="10" s="1"/>
  <c r="E516" i="10" s="1" a="1"/>
  <c r="E516" i="10" s="1"/>
  <c r="E517" i="10" s="1" a="1"/>
  <c r="E517" i="10" s="1"/>
  <c r="E518" i="10" s="1" a="1"/>
  <c r="E518" i="10" s="1"/>
  <c r="E519" i="10" s="1" a="1"/>
  <c r="E519" i="10" s="1"/>
  <c r="E520" i="10" s="1" a="1"/>
  <c r="E520" i="10" s="1"/>
  <c r="E521" i="10" s="1" a="1"/>
  <c r="E521" i="10" s="1"/>
  <c r="E522" i="10" s="1" a="1"/>
  <c r="E522" i="10" s="1"/>
  <c r="E523" i="10" s="1" a="1"/>
  <c r="E523" i="10" s="1"/>
  <c r="E524" i="10" s="1" a="1"/>
  <c r="E524" i="10" s="1"/>
  <c r="E525" i="10" s="1" a="1"/>
  <c r="E525" i="10" s="1"/>
  <c r="E526" i="10" s="1" a="1"/>
  <c r="E526" i="10" s="1"/>
  <c r="E527" i="10" s="1" a="1"/>
  <c r="E527" i="10" s="1"/>
  <c r="E528" i="10" s="1" a="1"/>
  <c r="E528" i="10" s="1"/>
  <c r="E529" i="10" s="1" a="1"/>
  <c r="E529" i="10" s="1"/>
  <c r="E530" i="10" s="1" a="1"/>
  <c r="E530" i="10" s="1"/>
  <c r="E531" i="10" s="1" a="1"/>
  <c r="E531" i="10" s="1"/>
  <c r="E532" i="10" s="1" a="1"/>
  <c r="E532" i="10" s="1"/>
  <c r="E533" i="10" s="1" a="1"/>
  <c r="E533" i="10" s="1"/>
  <c r="E534" i="10" s="1" a="1"/>
  <c r="E534" i="10" s="1"/>
  <c r="E535" i="10" s="1" a="1"/>
  <c r="E535" i="10" s="1"/>
  <c r="E536" i="10" s="1" a="1"/>
  <c r="E536" i="10" s="1"/>
  <c r="E537" i="10" s="1" a="1"/>
  <c r="E537" i="10" s="1"/>
  <c r="E538" i="10" s="1" a="1"/>
  <c r="E538" i="10" s="1"/>
  <c r="E539" i="10" s="1" a="1"/>
  <c r="E539" i="10" s="1"/>
  <c r="E540" i="10" s="1" a="1"/>
  <c r="E540" i="10" s="1"/>
  <c r="E541" i="10" s="1" a="1"/>
  <c r="E541" i="10" s="1"/>
  <c r="E542" i="10" s="1" a="1"/>
  <c r="E542" i="10" s="1"/>
  <c r="E543" i="10" s="1" a="1"/>
  <c r="E543" i="10" s="1"/>
  <c r="E544" i="10" s="1" a="1"/>
  <c r="E544" i="10" s="1"/>
  <c r="E545" i="10" s="1" a="1"/>
  <c r="E545" i="10" s="1"/>
  <c r="E546" i="10" s="1" a="1"/>
  <c r="E546" i="10" s="1"/>
  <c r="E547" i="10" s="1" a="1"/>
  <c r="E547" i="10" s="1"/>
  <c r="E548" i="10" s="1" a="1"/>
  <c r="E548" i="10" s="1"/>
  <c r="E549" i="10" s="1" a="1"/>
  <c r="E549" i="10" s="1"/>
  <c r="E550" i="10" s="1" a="1"/>
  <c r="E550" i="10" s="1"/>
  <c r="E551" i="10" s="1" a="1"/>
  <c r="E551" i="10" s="1"/>
  <c r="E552" i="10" s="1" a="1"/>
  <c r="E552" i="10" s="1"/>
  <c r="E553" i="10" s="1" a="1"/>
  <c r="E553" i="10" s="1"/>
  <c r="E554" i="10" s="1" a="1"/>
  <c r="E554" i="10" s="1"/>
  <c r="E555" i="10" s="1" a="1"/>
  <c r="E555" i="10" s="1"/>
  <c r="E556" i="10" s="1" a="1"/>
  <c r="E556" i="10" s="1"/>
  <c r="E557" i="10" s="1" a="1"/>
  <c r="E557" i="10" s="1"/>
  <c r="E558" i="10" s="1" a="1"/>
  <c r="E558" i="10" s="1"/>
  <c r="E559" i="10" s="1" a="1"/>
  <c r="E559" i="10" s="1"/>
  <c r="E560" i="10" s="1" a="1"/>
  <c r="E560" i="10" s="1"/>
  <c r="E561" i="10" s="1" a="1"/>
  <c r="E561" i="10" s="1"/>
  <c r="E562" i="10" s="1" a="1"/>
  <c r="E562" i="10" s="1"/>
  <c r="E563" i="10" s="1" a="1"/>
  <c r="E563" i="10" s="1"/>
  <c r="E564" i="10" s="1" a="1"/>
  <c r="E564" i="10" s="1"/>
  <c r="E565" i="10" s="1" a="1"/>
  <c r="E565" i="10" s="1"/>
  <c r="E566" i="10" s="1" a="1"/>
  <c r="E566" i="10" s="1"/>
  <c r="E567" i="10" s="1" a="1"/>
  <c r="E567" i="10" s="1"/>
  <c r="E568" i="10" s="1" a="1"/>
  <c r="E568" i="10" s="1"/>
  <c r="E569" i="10" s="1" a="1"/>
  <c r="E569" i="10" s="1"/>
  <c r="E570" i="10" s="1" a="1"/>
  <c r="E570" i="10" s="1"/>
  <c r="E571" i="10" s="1" a="1"/>
  <c r="E571" i="10" s="1"/>
  <c r="E572" i="10" s="1" a="1"/>
  <c r="E572" i="10" s="1"/>
  <c r="E573" i="10" s="1" a="1"/>
  <c r="E573" i="10" s="1"/>
  <c r="E574" i="10" s="1" a="1"/>
  <c r="E574" i="10" s="1"/>
  <c r="E575" i="10" s="1" a="1"/>
  <c r="E575" i="10" s="1"/>
  <c r="E576" i="10" s="1" a="1"/>
  <c r="E576" i="10" s="1"/>
  <c r="E577" i="10" s="1" a="1"/>
  <c r="E577" i="10" s="1"/>
  <c r="E578" i="10" s="1" a="1"/>
  <c r="E578" i="10" s="1"/>
  <c r="E579" i="10" s="1" a="1"/>
  <c r="E579" i="10" s="1"/>
  <c r="E580" i="10" s="1" a="1"/>
  <c r="E580" i="10" s="1"/>
  <c r="E581" i="10" s="1" a="1"/>
  <c r="E581" i="10" s="1"/>
  <c r="E582" i="10" s="1" a="1"/>
  <c r="E582" i="10" s="1"/>
  <c r="E583" i="10" s="1" a="1"/>
  <c r="E583" i="10" s="1"/>
  <c r="E584" i="10" s="1" a="1"/>
  <c r="E584" i="10" s="1"/>
  <c r="E585" i="10" s="1" a="1"/>
  <c r="E585" i="10" s="1"/>
  <c r="E586" i="10" s="1" a="1"/>
  <c r="E586" i="10" s="1"/>
  <c r="E587" i="10" s="1" a="1"/>
  <c r="E587" i="10" s="1"/>
  <c r="E588" i="10" s="1" a="1"/>
  <c r="E588" i="10" s="1"/>
  <c r="E589" i="10" s="1" a="1"/>
  <c r="E589" i="10" s="1"/>
  <c r="E590" i="10" s="1" a="1"/>
  <c r="E590" i="10" s="1"/>
  <c r="E591" i="10" s="1" a="1"/>
  <c r="E591" i="10" s="1"/>
  <c r="E592" i="10" s="1" a="1"/>
  <c r="E592" i="10" s="1"/>
  <c r="E593" i="10" s="1" a="1"/>
  <c r="E593" i="10" s="1"/>
  <c r="E594" i="10" s="1" a="1"/>
  <c r="E594" i="10" s="1"/>
  <c r="E595" i="10" s="1" a="1"/>
  <c r="E595" i="10" s="1"/>
  <c r="E596" i="10" s="1" a="1"/>
  <c r="E596" i="10" s="1"/>
  <c r="E597" i="10" s="1" a="1"/>
  <c r="E597" i="10" s="1"/>
  <c r="E598" i="10" s="1" a="1"/>
  <c r="E598" i="10" s="1"/>
  <c r="E599" i="10" s="1" a="1"/>
  <c r="E599" i="10" s="1"/>
  <c r="E600" i="10" s="1" a="1"/>
  <c r="E600" i="10" s="1"/>
  <c r="E601" i="10" s="1" a="1"/>
  <c r="E601" i="10" s="1"/>
  <c r="E602" i="10" s="1" a="1"/>
  <c r="E602" i="10" s="1"/>
  <c r="E603" i="10" s="1" a="1"/>
  <c r="E603" i="10" s="1"/>
  <c r="E604" i="10" s="1" a="1"/>
  <c r="E604" i="10" s="1"/>
  <c r="E605" i="10" s="1" a="1"/>
  <c r="E605" i="10" s="1"/>
  <c r="E606" i="10" s="1" a="1"/>
  <c r="E606" i="10" s="1"/>
  <c r="E607" i="10" s="1" a="1"/>
  <c r="E607" i="10" s="1"/>
  <c r="E608" i="10" s="1" a="1"/>
  <c r="E608" i="10" s="1"/>
  <c r="E609" i="10" s="1" a="1"/>
  <c r="E609" i="10" s="1"/>
  <c r="E610" i="10" s="1" a="1"/>
  <c r="E610" i="10" s="1"/>
  <c r="E611" i="10" s="1" a="1"/>
  <c r="E611" i="10" s="1"/>
  <c r="E612" i="10" s="1" a="1"/>
  <c r="E612" i="10" s="1"/>
  <c r="E613" i="10" s="1" a="1"/>
  <c r="E613" i="10" s="1"/>
  <c r="E614" i="10" s="1" a="1"/>
  <c r="E614" i="10" s="1"/>
  <c r="E615" i="10" s="1" a="1"/>
  <c r="E615" i="10" s="1"/>
  <c r="E616" i="10" s="1" a="1"/>
  <c r="E616" i="10" s="1"/>
  <c r="E617" i="10" s="1" a="1"/>
  <c r="E617" i="10" s="1"/>
  <c r="E618" i="10" s="1" a="1"/>
  <c r="E618" i="10" s="1"/>
  <c r="E619" i="10" s="1" a="1"/>
  <c r="E619" i="10" s="1"/>
  <c r="E620" i="10" s="1" a="1"/>
  <c r="E620" i="10" s="1"/>
  <c r="E621" i="10" s="1" a="1"/>
  <c r="E621" i="10" s="1"/>
  <c r="E622" i="10" s="1" a="1"/>
  <c r="E622" i="10" s="1"/>
  <c r="E623" i="10" s="1" a="1"/>
  <c r="E623" i="10" s="1"/>
  <c r="E624" i="10" s="1" a="1"/>
  <c r="E624" i="10" s="1"/>
  <c r="E625" i="10" s="1" a="1"/>
  <c r="E625" i="10" s="1"/>
  <c r="E626" i="10" s="1" a="1"/>
  <c r="E626" i="10" s="1"/>
  <c r="E627" i="10" s="1" a="1"/>
  <c r="E627" i="10" s="1"/>
  <c r="E628" i="10" s="1" a="1"/>
  <c r="E628" i="10" s="1"/>
  <c r="E629" i="10" s="1" a="1"/>
  <c r="E629" i="10" s="1"/>
  <c r="E630" i="10" s="1" a="1"/>
  <c r="E630" i="10" s="1"/>
  <c r="E631" i="10" s="1" a="1"/>
  <c r="E631" i="10" s="1"/>
  <c r="E632" i="10" s="1" a="1"/>
  <c r="E632" i="10" s="1"/>
  <c r="E633" i="10" s="1" a="1"/>
  <c r="E633" i="10" s="1"/>
  <c r="E634" i="10" s="1" a="1"/>
  <c r="E634" i="10" s="1"/>
  <c r="E635" i="10" s="1" a="1"/>
  <c r="E635" i="10" s="1"/>
  <c r="E636" i="10" s="1" a="1"/>
  <c r="E636" i="10" s="1"/>
  <c r="E637" i="10" s="1" a="1"/>
  <c r="E637" i="10" s="1"/>
  <c r="E638" i="10" s="1" a="1"/>
  <c r="E638" i="10" s="1"/>
  <c r="E639" i="10" s="1" a="1"/>
  <c r="E639" i="10" s="1"/>
  <c r="E640" i="10" s="1" a="1"/>
  <c r="E640" i="10" s="1"/>
  <c r="E641" i="10" s="1" a="1"/>
  <c r="E641" i="10" s="1"/>
  <c r="E642" i="10" s="1" a="1"/>
  <c r="E642" i="10" s="1"/>
  <c r="E643" i="10" s="1" a="1"/>
  <c r="E643" i="10" s="1"/>
  <c r="E644" i="10" s="1" a="1"/>
  <c r="E644" i="10" s="1"/>
  <c r="E645" i="10" s="1" a="1"/>
  <c r="E645" i="10" s="1"/>
  <c r="E646" i="10" s="1" a="1"/>
  <c r="E646" i="10" s="1"/>
  <c r="E647" i="10" s="1" a="1"/>
  <c r="E647" i="10" s="1"/>
  <c r="E648" i="10" s="1" a="1"/>
  <c r="E648" i="10" s="1"/>
  <c r="E649" i="10" s="1" a="1"/>
  <c r="E649" i="10" s="1"/>
  <c r="E650" i="10" s="1" a="1"/>
  <c r="E650" i="10" s="1"/>
  <c r="E651" i="10" s="1" a="1"/>
  <c r="E651" i="10" s="1"/>
  <c r="E652" i="10" s="1" a="1"/>
  <c r="E652" i="10" s="1"/>
  <c r="E653" i="10" s="1" a="1"/>
  <c r="E653" i="10" s="1"/>
  <c r="E654" i="10" s="1" a="1"/>
  <c r="E654" i="10" s="1"/>
  <c r="E655" i="10" s="1" a="1"/>
  <c r="E655" i="10" s="1"/>
  <c r="E656" i="10" s="1" a="1"/>
  <c r="E656" i="10" s="1"/>
  <c r="E657" i="10" s="1" a="1"/>
  <c r="E657" i="10" s="1"/>
  <c r="E658" i="10" s="1" a="1"/>
  <c r="E658" i="10" s="1"/>
  <c r="E659" i="10" s="1" a="1"/>
  <c r="E659" i="10" s="1"/>
  <c r="E660" i="10" s="1" a="1"/>
  <c r="E660" i="10" s="1"/>
  <c r="E661" i="10" s="1" a="1"/>
  <c r="E661" i="10" s="1"/>
  <c r="E662" i="10" s="1" a="1"/>
  <c r="E662" i="10" s="1"/>
  <c r="E663" i="10" s="1" a="1"/>
  <c r="E663" i="10" s="1"/>
  <c r="E664" i="10" s="1" a="1"/>
  <c r="E664" i="10" s="1"/>
  <c r="E665" i="10" s="1" a="1"/>
  <c r="E665" i="10" s="1"/>
  <c r="E666" i="10" s="1" a="1"/>
  <c r="E666" i="10" s="1"/>
  <c r="E667" i="10" s="1" a="1"/>
  <c r="E667" i="10" s="1"/>
  <c r="E668" i="10" s="1" a="1"/>
  <c r="E668" i="10" s="1"/>
  <c r="E669" i="10" s="1" a="1"/>
  <c r="E669" i="10" s="1"/>
  <c r="E670" i="10" s="1" a="1"/>
  <c r="E670" i="10" s="1"/>
  <c r="E671" i="10" s="1" a="1"/>
  <c r="E671" i="10" s="1"/>
  <c r="E672" i="10" s="1" a="1"/>
  <c r="E672" i="10" s="1"/>
  <c r="E673" i="10" s="1" a="1"/>
  <c r="E673" i="10" s="1"/>
  <c r="E674" i="10" s="1" a="1"/>
  <c r="E674" i="10" s="1"/>
  <c r="E675" i="10" s="1" a="1"/>
  <c r="E675" i="10" s="1"/>
  <c r="E676" i="10" s="1" a="1"/>
  <c r="E676" i="10" s="1"/>
  <c r="E677" i="10" s="1" a="1"/>
  <c r="E677" i="10" s="1"/>
  <c r="E678" i="10" s="1" a="1"/>
  <c r="E678" i="10" s="1"/>
  <c r="E679" i="10" s="1" a="1"/>
  <c r="E679" i="10" s="1"/>
  <c r="E680" i="10" s="1" a="1"/>
  <c r="E680" i="10" s="1"/>
  <c r="E681" i="10" s="1" a="1"/>
  <c r="E681" i="10" s="1"/>
  <c r="E682" i="10" s="1" a="1"/>
  <c r="E682" i="10" s="1"/>
  <c r="E683" i="10" s="1" a="1"/>
  <c r="E683" i="10" s="1"/>
  <c r="E684" i="10" s="1" a="1"/>
  <c r="E684" i="10" s="1"/>
  <c r="E685" i="10" s="1" a="1"/>
  <c r="E685" i="10" s="1"/>
  <c r="E686" i="10" s="1" a="1"/>
  <c r="E686" i="10" s="1"/>
  <c r="E687" i="10" s="1" a="1"/>
  <c r="E687" i="10" s="1"/>
  <c r="E688" i="10" s="1" a="1"/>
  <c r="E688" i="10" s="1"/>
  <c r="E689" i="10" s="1" a="1"/>
  <c r="E689" i="10" s="1"/>
  <c r="E690" i="10" s="1" a="1"/>
  <c r="E690" i="10" s="1"/>
  <c r="E691" i="10" s="1" a="1"/>
  <c r="E691" i="10" s="1"/>
  <c r="E692" i="10" s="1" a="1"/>
  <c r="E692" i="10" s="1"/>
  <c r="E693" i="10" s="1" a="1"/>
  <c r="E693" i="10" s="1"/>
  <c r="E694" i="10" s="1" a="1"/>
  <c r="E694" i="10" s="1"/>
  <c r="E695" i="10" s="1" a="1"/>
  <c r="E695" i="10" s="1"/>
  <c r="E696" i="10" s="1" a="1"/>
  <c r="E696" i="10" s="1"/>
  <c r="E697" i="10" s="1" a="1"/>
  <c r="E697" i="10" s="1"/>
  <c r="E698" i="10" s="1" a="1"/>
  <c r="E698" i="10" s="1"/>
  <c r="E699" i="10" s="1" a="1"/>
  <c r="E699" i="10" s="1"/>
  <c r="E700" i="10" s="1" a="1"/>
  <c r="E700" i="10" s="1"/>
  <c r="E701" i="10" s="1" a="1"/>
  <c r="E701" i="10" s="1"/>
  <c r="E702" i="10" s="1" a="1"/>
  <c r="E702" i="10" s="1"/>
  <c r="E703" i="10" s="1" a="1"/>
  <c r="E703" i="10" s="1"/>
  <c r="E704" i="10" s="1" a="1"/>
  <c r="E704" i="10" s="1"/>
  <c r="E705" i="10" s="1" a="1"/>
  <c r="E705" i="10" s="1"/>
  <c r="E706" i="10" s="1" a="1"/>
  <c r="E706" i="10" s="1"/>
  <c r="E707" i="10" s="1" a="1"/>
  <c r="E707" i="10" s="1"/>
  <c r="E708" i="10" s="1" a="1"/>
  <c r="E708" i="10" s="1"/>
  <c r="E709" i="10" s="1" a="1"/>
  <c r="E709" i="10" s="1"/>
  <c r="E710" i="10" s="1" a="1"/>
  <c r="E710" i="10" s="1"/>
  <c r="E711" i="10" s="1" a="1"/>
  <c r="E711" i="10" s="1"/>
  <c r="E712" i="10" s="1" a="1"/>
  <c r="E712" i="10" s="1"/>
  <c r="E713" i="10" s="1" a="1"/>
  <c r="E713" i="10" s="1"/>
  <c r="E714" i="10" s="1" a="1"/>
  <c r="E714" i="10" s="1"/>
  <c r="E715" i="10" s="1" a="1"/>
  <c r="E715" i="10" s="1"/>
  <c r="E716" i="10" s="1" a="1"/>
  <c r="E716" i="10" s="1"/>
  <c r="E717" i="10" s="1" a="1"/>
  <c r="E717" i="10" s="1"/>
  <c r="E718" i="10" s="1" a="1"/>
  <c r="E718" i="10" s="1"/>
  <c r="E719" i="10" s="1" a="1"/>
  <c r="E719" i="10" s="1"/>
  <c r="E720" i="10" s="1" a="1"/>
  <c r="E720" i="10" s="1"/>
  <c r="C113" i="4"/>
  <c r="B113" i="4" s="1"/>
  <c r="C126" i="4"/>
  <c r="B126" i="4" s="1"/>
  <c r="D353" i="6"/>
  <c r="I7" i="6"/>
  <c r="C42" i="4"/>
  <c r="C50" i="4"/>
  <c r="C58" i="4"/>
  <c r="C43" i="4"/>
  <c r="C51" i="4"/>
  <c r="C59" i="4"/>
  <c r="C44" i="4"/>
  <c r="C52" i="4"/>
  <c r="C60" i="4"/>
  <c r="C48" i="4"/>
  <c r="C56" i="4"/>
  <c r="C41" i="4"/>
  <c r="C57" i="4"/>
  <c r="C45" i="4"/>
  <c r="C61" i="4"/>
  <c r="C46" i="4"/>
  <c r="C47" i="4"/>
  <c r="C49" i="4"/>
  <c r="C53" i="4"/>
  <c r="C54" i="4"/>
  <c r="C55" i="4"/>
  <c r="E25" i="4"/>
  <c r="D368" i="6"/>
  <c r="D360" i="6"/>
  <c r="D320" i="6"/>
  <c r="D280" i="6"/>
  <c r="D272" i="6"/>
  <c r="Y7" i="6"/>
  <c r="C161" i="5"/>
  <c r="C169" i="5"/>
  <c r="C177" i="5"/>
  <c r="C162" i="5"/>
  <c r="C170" i="5"/>
  <c r="C178" i="5"/>
  <c r="C163" i="5"/>
  <c r="C171" i="5"/>
  <c r="C179" i="5"/>
  <c r="C167" i="5"/>
  <c r="C175" i="5"/>
  <c r="C164" i="5"/>
  <c r="C180" i="5"/>
  <c r="C165" i="5"/>
  <c r="C181" i="5"/>
  <c r="C166" i="5"/>
  <c r="C168" i="5"/>
  <c r="C172" i="5"/>
  <c r="C173" i="5"/>
  <c r="C174" i="5"/>
  <c r="C176" i="5"/>
  <c r="I30" i="5"/>
  <c r="K45" i="8" s="1" a="1"/>
  <c r="K45" i="8" s="1"/>
  <c r="D359" i="6"/>
  <c r="D319" i="6"/>
  <c r="D271" i="6"/>
  <c r="B336" i="6"/>
  <c r="D334" i="6"/>
  <c r="D326" i="6"/>
  <c r="D22" i="6"/>
  <c r="N3" i="6"/>
  <c r="C27" i="3"/>
  <c r="T3" i="6"/>
  <c r="C29" i="3"/>
  <c r="Z3" i="6"/>
  <c r="C31" i="3"/>
  <c r="AF3" i="6"/>
  <c r="C33" i="3"/>
  <c r="D301" i="6"/>
  <c r="D293" i="6"/>
  <c r="D13" i="6"/>
  <c r="D308" i="6"/>
  <c r="AB7" i="6"/>
  <c r="C191" i="5"/>
  <c r="C199" i="5"/>
  <c r="C192" i="5"/>
  <c r="C200" i="5"/>
  <c r="C185" i="5"/>
  <c r="C193" i="5"/>
  <c r="C201" i="5"/>
  <c r="C189" i="5"/>
  <c r="C197" i="5"/>
  <c r="C205" i="5"/>
  <c r="C194" i="5"/>
  <c r="E31" i="5"/>
  <c r="C195" i="5"/>
  <c r="C196" i="5"/>
  <c r="C198" i="5"/>
  <c r="C186" i="5"/>
  <c r="C202" i="5"/>
  <c r="C187" i="5"/>
  <c r="C203" i="5"/>
  <c r="C188" i="5"/>
  <c r="C204" i="5"/>
  <c r="C190" i="5"/>
  <c r="D363" i="6"/>
  <c r="D355" i="6"/>
  <c r="D299" i="6"/>
  <c r="D291" i="6"/>
  <c r="D275" i="6"/>
  <c r="D11" i="6"/>
  <c r="D362" i="6"/>
  <c r="D330" i="6"/>
  <c r="D322" i="6"/>
  <c r="D298" i="6"/>
  <c r="D274" i="6"/>
  <c r="D26" i="6"/>
  <c r="D18" i="6"/>
  <c r="D10" i="6"/>
  <c r="K3" i="6"/>
  <c r="C26" i="3"/>
  <c r="Q3" i="6"/>
  <c r="C28" i="3"/>
  <c r="W3" i="6"/>
  <c r="C30" i="3"/>
  <c r="AC3" i="6"/>
  <c r="C32" i="3"/>
  <c r="AI3" i="6"/>
  <c r="C34" i="3"/>
  <c r="AO3" i="6"/>
  <c r="C36" i="3"/>
  <c r="V7" i="6"/>
  <c r="C138" i="5"/>
  <c r="C146" i="5"/>
  <c r="C154" i="5"/>
  <c r="C139" i="5"/>
  <c r="C147" i="5"/>
  <c r="C155" i="5"/>
  <c r="C140" i="5"/>
  <c r="C148" i="5"/>
  <c r="C156" i="5"/>
  <c r="C144" i="5"/>
  <c r="C152" i="5"/>
  <c r="C145" i="5"/>
  <c r="C149" i="5"/>
  <c r="C150" i="5"/>
  <c r="C151" i="5"/>
  <c r="C137" i="5"/>
  <c r="C153" i="5"/>
  <c r="C141" i="5"/>
  <c r="C157" i="5"/>
  <c r="C142" i="5"/>
  <c r="E29" i="5"/>
  <c r="C143" i="5"/>
  <c r="H3" i="6"/>
  <c r="AQ7" i="6"/>
  <c r="C309" i="5"/>
  <c r="C317" i="5"/>
  <c r="C325" i="5"/>
  <c r="C310" i="5"/>
  <c r="C318" i="5"/>
  <c r="C311" i="5"/>
  <c r="C319" i="5"/>
  <c r="C307" i="5"/>
  <c r="C315" i="5"/>
  <c r="C323" i="5"/>
  <c r="C314" i="5"/>
  <c r="C316" i="5"/>
  <c r="C320" i="5"/>
  <c r="C305" i="5"/>
  <c r="C321" i="5"/>
  <c r="C306" i="5"/>
  <c r="C322" i="5"/>
  <c r="C308" i="5"/>
  <c r="C324" i="5"/>
  <c r="F36" i="5"/>
  <c r="J51" i="8" s="1" a="1"/>
  <c r="J51" i="8" s="1"/>
  <c r="C312" i="5"/>
  <c r="C313" i="5"/>
  <c r="S7" i="6"/>
  <c r="C116" i="5"/>
  <c r="C124" i="5"/>
  <c r="C132" i="5"/>
  <c r="C117" i="5"/>
  <c r="C125" i="5"/>
  <c r="C133" i="5"/>
  <c r="C118" i="5"/>
  <c r="C126" i="5"/>
  <c r="C114" i="5"/>
  <c r="C122" i="5"/>
  <c r="C130" i="5"/>
  <c r="C115" i="5"/>
  <c r="C131" i="5"/>
  <c r="C119" i="5"/>
  <c r="C120" i="5"/>
  <c r="C121" i="5"/>
  <c r="C123" i="5"/>
  <c r="C127" i="5"/>
  <c r="I28" i="5"/>
  <c r="K43" i="8" s="1" a="1"/>
  <c r="K43" i="8" s="1"/>
  <c r="C128" i="5"/>
  <c r="C113" i="5"/>
  <c r="C129" i="5"/>
  <c r="J7" i="6"/>
  <c r="C42" i="5"/>
  <c r="C50" i="5"/>
  <c r="C58" i="5"/>
  <c r="C43" i="5"/>
  <c r="C51" i="5"/>
  <c r="C59" i="5"/>
  <c r="C44" i="5"/>
  <c r="C52" i="5"/>
  <c r="C60" i="5"/>
  <c r="C48" i="5"/>
  <c r="C56" i="5"/>
  <c r="C53" i="5"/>
  <c r="C54" i="5"/>
  <c r="C55" i="5"/>
  <c r="E25" i="5"/>
  <c r="C41" i="5"/>
  <c r="C57" i="5"/>
  <c r="C45" i="5"/>
  <c r="C61" i="5"/>
  <c r="C46" i="5"/>
  <c r="C47" i="5"/>
  <c r="C49" i="5"/>
  <c r="O7" i="6"/>
  <c r="C94" i="4"/>
  <c r="C102" i="4"/>
  <c r="C95" i="4"/>
  <c r="C103" i="4"/>
  <c r="C96" i="4"/>
  <c r="C104" i="4"/>
  <c r="C92" i="4"/>
  <c r="C100" i="4"/>
  <c r="C108" i="4"/>
  <c r="C90" i="4"/>
  <c r="C106" i="4"/>
  <c r="C91" i="4"/>
  <c r="C107" i="4"/>
  <c r="C93" i="4"/>
  <c r="C109" i="4"/>
  <c r="C97" i="4"/>
  <c r="C98" i="4"/>
  <c r="C99" i="4"/>
  <c r="C101" i="4"/>
  <c r="C89" i="4"/>
  <c r="C105" i="4"/>
  <c r="H27" i="4"/>
  <c r="AH7" i="6"/>
  <c r="C235" i="5"/>
  <c r="C243" i="5"/>
  <c r="C251" i="5"/>
  <c r="C236" i="5"/>
  <c r="C244" i="5"/>
  <c r="C252" i="5"/>
  <c r="C237" i="5"/>
  <c r="C245" i="5"/>
  <c r="C253" i="5"/>
  <c r="C233" i="5"/>
  <c r="C241" i="5"/>
  <c r="C249" i="5"/>
  <c r="C239" i="5"/>
  <c r="C240" i="5"/>
  <c r="C242" i="5"/>
  <c r="E33" i="5"/>
  <c r="C246" i="5"/>
  <c r="C247" i="5"/>
  <c r="C248" i="5"/>
  <c r="C234" i="5"/>
  <c r="C250" i="5"/>
  <c r="C238" i="5"/>
  <c r="AM7" i="6"/>
  <c r="C286" i="4"/>
  <c r="C294" i="4"/>
  <c r="C287" i="4"/>
  <c r="C295" i="4"/>
  <c r="C288" i="4"/>
  <c r="C296" i="4"/>
  <c r="C284" i="4"/>
  <c r="C292" i="4"/>
  <c r="C300" i="4"/>
  <c r="C293" i="4"/>
  <c r="C281" i="4"/>
  <c r="C297" i="4"/>
  <c r="C282" i="4"/>
  <c r="C298" i="4"/>
  <c r="C283" i="4"/>
  <c r="C299" i="4"/>
  <c r="C285" i="4"/>
  <c r="C301" i="4"/>
  <c r="C289" i="4"/>
  <c r="C290" i="4"/>
  <c r="C291" i="4"/>
  <c r="E35" i="4"/>
  <c r="L7" i="6"/>
  <c r="C72" i="4"/>
  <c r="C80" i="4"/>
  <c r="C65" i="4"/>
  <c r="C73" i="4"/>
  <c r="C81" i="4"/>
  <c r="C66" i="4"/>
  <c r="C74" i="4"/>
  <c r="C82" i="4"/>
  <c r="C70" i="4"/>
  <c r="C78" i="4"/>
  <c r="C75" i="4"/>
  <c r="C76" i="4"/>
  <c r="C77" i="4"/>
  <c r="C79" i="4"/>
  <c r="H26" i="4"/>
  <c r="C67" i="4"/>
  <c r="C83" i="4"/>
  <c r="C68" i="4"/>
  <c r="C84" i="4"/>
  <c r="C69" i="4"/>
  <c r="C85" i="4"/>
  <c r="C71" i="4"/>
  <c r="AD7" i="6"/>
  <c r="C212" i="4"/>
  <c r="C220" i="4"/>
  <c r="C228" i="4"/>
  <c r="C213" i="4"/>
  <c r="C221" i="4"/>
  <c r="C229" i="4"/>
  <c r="C214" i="4"/>
  <c r="C222" i="4"/>
  <c r="C210" i="4"/>
  <c r="C218" i="4"/>
  <c r="C226" i="4"/>
  <c r="C216" i="4"/>
  <c r="C217" i="4"/>
  <c r="C219" i="4"/>
  <c r="C223" i="4"/>
  <c r="C224" i="4"/>
  <c r="C209" i="4"/>
  <c r="C225" i="4"/>
  <c r="C211" i="4"/>
  <c r="C227" i="4"/>
  <c r="C215" i="4"/>
  <c r="I32" i="4"/>
  <c r="K35" i="8" s="1" a="1"/>
  <c r="K35" i="8" s="1"/>
  <c r="P7" i="6"/>
  <c r="C94" i="5"/>
  <c r="C102" i="5"/>
  <c r="C95" i="5"/>
  <c r="C103" i="5"/>
  <c r="C96" i="5"/>
  <c r="C104" i="5"/>
  <c r="C92" i="5"/>
  <c r="C100" i="5"/>
  <c r="C108" i="5"/>
  <c r="C99" i="5"/>
  <c r="C101" i="5"/>
  <c r="C89" i="5"/>
  <c r="C105" i="5"/>
  <c r="C90" i="5"/>
  <c r="C106" i="5"/>
  <c r="C91" i="5"/>
  <c r="C107" i="5"/>
  <c r="E27" i="5"/>
  <c r="C93" i="5"/>
  <c r="C109" i="5"/>
  <c r="C97" i="5"/>
  <c r="C98" i="5"/>
  <c r="AE7" i="6"/>
  <c r="C213" i="5"/>
  <c r="C221" i="5"/>
  <c r="C229" i="5"/>
  <c r="C214" i="5"/>
  <c r="C222" i="5"/>
  <c r="C215" i="5"/>
  <c r="C223" i="5"/>
  <c r="C211" i="5"/>
  <c r="C219" i="5"/>
  <c r="C227" i="5"/>
  <c r="C209" i="5"/>
  <c r="C225" i="5"/>
  <c r="C210" i="5"/>
  <c r="C226" i="5"/>
  <c r="F32" i="5"/>
  <c r="J47" i="8" s="1" a="1"/>
  <c r="J47" i="8" s="1"/>
  <c r="C212" i="5"/>
  <c r="C228" i="5"/>
  <c r="C216" i="5"/>
  <c r="C217" i="5"/>
  <c r="C218" i="5"/>
  <c r="C220" i="5"/>
  <c r="C224" i="5"/>
  <c r="M7" i="6"/>
  <c r="C72" i="5"/>
  <c r="C80" i="5"/>
  <c r="C65" i="5"/>
  <c r="C73" i="5"/>
  <c r="C81" i="5"/>
  <c r="C66" i="5"/>
  <c r="C74" i="5"/>
  <c r="C82" i="5"/>
  <c r="C70" i="5"/>
  <c r="C78" i="5"/>
  <c r="C68" i="5"/>
  <c r="C84" i="5"/>
  <c r="C69" i="5"/>
  <c r="C85" i="5"/>
  <c r="C71" i="5"/>
  <c r="C75" i="5"/>
  <c r="E26" i="5"/>
  <c r="C76" i="5"/>
  <c r="C77" i="5"/>
  <c r="C79" i="5"/>
  <c r="C67" i="5"/>
  <c r="C83" i="5"/>
  <c r="AG7" i="6"/>
  <c r="C234" i="4"/>
  <c r="C242" i="4"/>
  <c r="C250" i="4"/>
  <c r="C235" i="4"/>
  <c r="C243" i="4"/>
  <c r="C251" i="4"/>
  <c r="C236" i="4"/>
  <c r="C244" i="4"/>
  <c r="C252" i="4"/>
  <c r="C240" i="4"/>
  <c r="C248" i="4"/>
  <c r="C246" i="4"/>
  <c r="C247" i="4"/>
  <c r="C233" i="4"/>
  <c r="C249" i="4"/>
  <c r="C237" i="4"/>
  <c r="C253" i="4"/>
  <c r="C238" i="4"/>
  <c r="C239" i="4"/>
  <c r="C241" i="4"/>
  <c r="C245" i="4"/>
  <c r="E33" i="4"/>
  <c r="AN7" i="6"/>
  <c r="C287" i="5"/>
  <c r="C295" i="5"/>
  <c r="C288" i="5"/>
  <c r="C296" i="5"/>
  <c r="C281" i="5"/>
  <c r="C289" i="5"/>
  <c r="C297" i="5"/>
  <c r="C285" i="5"/>
  <c r="C293" i="5"/>
  <c r="C301" i="5"/>
  <c r="C283" i="5"/>
  <c r="C299" i="5"/>
  <c r="C284" i="5"/>
  <c r="C300" i="5"/>
  <c r="C286" i="5"/>
  <c r="C290" i="5"/>
  <c r="C291" i="5"/>
  <c r="I35" i="5"/>
  <c r="K50" i="8" s="1" a="1"/>
  <c r="K50" i="8" s="1"/>
  <c r="C292" i="5"/>
  <c r="C294" i="5"/>
  <c r="C282" i="5"/>
  <c r="C298" i="5"/>
  <c r="AK7" i="6"/>
  <c r="C257" i="5"/>
  <c r="C265" i="5"/>
  <c r="C273" i="5"/>
  <c r="C258" i="5"/>
  <c r="C266" i="5"/>
  <c r="C274" i="5"/>
  <c r="C259" i="5"/>
  <c r="C267" i="5"/>
  <c r="C275" i="5"/>
  <c r="C263" i="5"/>
  <c r="C271" i="5"/>
  <c r="C269" i="5"/>
  <c r="C270" i="5"/>
  <c r="C272" i="5"/>
  <c r="C260" i="5"/>
  <c r="C276" i="5"/>
  <c r="E34" i="5"/>
  <c r="C261" i="5"/>
  <c r="C277" i="5"/>
  <c r="C262" i="5"/>
  <c r="C264" i="5"/>
  <c r="C268" i="5"/>
  <c r="AJ7" i="6"/>
  <c r="C264" i="4"/>
  <c r="C272" i="4"/>
  <c r="C257" i="4"/>
  <c r="C265" i="4"/>
  <c r="C273" i="4"/>
  <c r="C258" i="4"/>
  <c r="C266" i="4"/>
  <c r="C274" i="4"/>
  <c r="C262" i="4"/>
  <c r="C270" i="4"/>
  <c r="C261" i="4"/>
  <c r="C277" i="4"/>
  <c r="C263" i="4"/>
  <c r="C267" i="4"/>
  <c r="C268" i="4"/>
  <c r="E34" i="4"/>
  <c r="C269" i="4"/>
  <c r="C271" i="4"/>
  <c r="C259" i="4"/>
  <c r="C275" i="4"/>
  <c r="C260" i="4"/>
  <c r="C276" i="4"/>
  <c r="D139" i="4" l="1"/>
  <c r="D130" i="4"/>
  <c r="D165" i="4"/>
  <c r="D204" i="4"/>
  <c r="D170" i="4"/>
  <c r="I30" i="4"/>
  <c r="K33" i="8" s="1" a="1"/>
  <c r="K33" i="8" s="1"/>
  <c r="E30" i="4"/>
  <c r="F30" i="4"/>
  <c r="J33" i="8" s="1" a="1"/>
  <c r="J33" i="8" s="1"/>
  <c r="D322" i="4"/>
  <c r="D178" i="4"/>
  <c r="D310" i="4"/>
  <c r="D141" i="4"/>
  <c r="D173" i="4"/>
  <c r="D144" i="4"/>
  <c r="D152" i="4"/>
  <c r="D147" i="4"/>
  <c r="D168" i="4"/>
  <c r="D138" i="4"/>
  <c r="B137" i="4"/>
  <c r="D163" i="4"/>
  <c r="D154" i="4"/>
  <c r="D145" i="4"/>
  <c r="D172" i="4"/>
  <c r="B167" i="4"/>
  <c r="D148" i="4"/>
  <c r="D177" i="4"/>
  <c r="D306" i="4"/>
  <c r="F29" i="4"/>
  <c r="J32" i="8" s="1" a="1"/>
  <c r="J32" i="8" s="1"/>
  <c r="D169" i="4"/>
  <c r="D179" i="4"/>
  <c r="D196" i="4"/>
  <c r="D181" i="4"/>
  <c r="E31" i="4"/>
  <c r="AA8" i="6" s="1"/>
  <c r="H29" i="4"/>
  <c r="I29" i="4"/>
  <c r="K32" i="8" s="1" a="1"/>
  <c r="K32" i="8" s="1"/>
  <c r="D149" i="4"/>
  <c r="D143" i="4"/>
  <c r="D174" i="4"/>
  <c r="D157" i="4"/>
  <c r="D176" i="4"/>
  <c r="D180" i="4"/>
  <c r="D146" i="4"/>
  <c r="D171" i="4"/>
  <c r="D162" i="4"/>
  <c r="D140" i="4"/>
  <c r="D156" i="4"/>
  <c r="E28" i="4"/>
  <c r="R8" i="6" s="1"/>
  <c r="D151" i="4"/>
  <c r="D142" i="4"/>
  <c r="H30" i="5"/>
  <c r="F28" i="4"/>
  <c r="J31" i="8" s="1" a="1"/>
  <c r="J31" i="8" s="1"/>
  <c r="F32" i="4"/>
  <c r="J35" i="8" s="1" a="1"/>
  <c r="J35" i="8" s="1"/>
  <c r="I29" i="5"/>
  <c r="K44" i="8" s="1" a="1"/>
  <c r="K44" i="8" s="1"/>
  <c r="I36" i="5"/>
  <c r="K51" i="8" s="1" a="1"/>
  <c r="K51" i="8" s="1"/>
  <c r="H25" i="4"/>
  <c r="E35" i="5"/>
  <c r="AN8" i="6" s="1"/>
  <c r="E28" i="5"/>
  <c r="S8" i="6" s="1"/>
  <c r="I34" i="5"/>
  <c r="K49" i="8" s="1" a="1"/>
  <c r="K49" i="8" s="1"/>
  <c r="E30" i="5"/>
  <c r="Y8" i="6" s="1"/>
  <c r="H31" i="4"/>
  <c r="H28" i="4"/>
  <c r="D192" i="4"/>
  <c r="D201" i="4"/>
  <c r="D191" i="4"/>
  <c r="D128" i="4"/>
  <c r="D115" i="4"/>
  <c r="D194" i="4"/>
  <c r="D131" i="4"/>
  <c r="D190" i="4"/>
  <c r="D312" i="4"/>
  <c r="D185" i="4"/>
  <c r="D161" i="4"/>
  <c r="D323" i="4"/>
  <c r="D195" i="4"/>
  <c r="B189" i="4"/>
  <c r="B198" i="4"/>
  <c r="D205" i="4"/>
  <c r="D153" i="4"/>
  <c r="D121" i="4"/>
  <c r="D166" i="4"/>
  <c r="D164" i="4"/>
  <c r="D311" i="4"/>
  <c r="D150" i="4"/>
  <c r="D125" i="4"/>
  <c r="D155" i="4"/>
  <c r="D193" i="4"/>
  <c r="F36" i="4"/>
  <c r="J39" i="8" s="1" a="1"/>
  <c r="J39" i="8" s="1"/>
  <c r="E26" i="4"/>
  <c r="L8" i="6" s="1"/>
  <c r="I32" i="5"/>
  <c r="K47" i="8" s="1" a="1"/>
  <c r="K47" i="8" s="1"/>
  <c r="H26" i="5"/>
  <c r="F33" i="5"/>
  <c r="J48" i="8" s="1" a="1"/>
  <c r="J48" i="8" s="1"/>
  <c r="H28" i="5"/>
  <c r="I27" i="4"/>
  <c r="K30" i="8" s="1" a="1"/>
  <c r="K30" i="8" s="1"/>
  <c r="F34" i="4"/>
  <c r="J37" i="8" s="1" a="1"/>
  <c r="J37" i="8" s="1"/>
  <c r="H36" i="4"/>
  <c r="F26" i="4"/>
  <c r="J29" i="8" s="1" a="1"/>
  <c r="J29" i="8" s="1"/>
  <c r="H32" i="5"/>
  <c r="F26" i="5"/>
  <c r="J41" i="8" s="1" a="1"/>
  <c r="J41" i="8" s="1"/>
  <c r="H33" i="5"/>
  <c r="F31" i="5"/>
  <c r="J46" i="8" s="1" a="1"/>
  <c r="J46" i="8" s="1"/>
  <c r="E27" i="4"/>
  <c r="H34" i="4"/>
  <c r="D175" i="4"/>
  <c r="I36" i="4"/>
  <c r="K39" i="8" s="1" a="1"/>
  <c r="K39" i="8" s="1"/>
  <c r="I26" i="4"/>
  <c r="K29" i="8" s="1" a="1"/>
  <c r="K29" i="8" s="1"/>
  <c r="F34" i="5"/>
  <c r="J49" i="8" s="1" a="1"/>
  <c r="J49" i="8" s="1"/>
  <c r="F31" i="4"/>
  <c r="J34" i="8" s="1" a="1"/>
  <c r="J34" i="8" s="1"/>
  <c r="I26" i="5"/>
  <c r="K41" i="8" s="1" a="1"/>
  <c r="K41" i="8" s="1"/>
  <c r="I33" i="5"/>
  <c r="K48" i="8" s="1" a="1"/>
  <c r="K48" i="8" s="1"/>
  <c r="H31" i="5"/>
  <c r="E36" i="5"/>
  <c r="AQ8" i="6" s="1"/>
  <c r="F35" i="5"/>
  <c r="J50" i="8" s="1" a="1"/>
  <c r="J50" i="8" s="1"/>
  <c r="I34" i="4"/>
  <c r="K37" i="8" s="1" a="1"/>
  <c r="K37" i="8" s="1"/>
  <c r="H34" i="5"/>
  <c r="F29" i="5"/>
  <c r="J44" i="8" s="1" a="1"/>
  <c r="J44" i="8" s="1"/>
  <c r="I31" i="5"/>
  <c r="K46" i="8" s="1" a="1"/>
  <c r="K46" i="8" s="1"/>
  <c r="H36" i="5"/>
  <c r="H35" i="5"/>
  <c r="F33" i="4"/>
  <c r="J36" i="8" s="1" a="1"/>
  <c r="J36" i="8" s="1"/>
  <c r="F30" i="5"/>
  <c r="J45" i="8" s="1" a="1"/>
  <c r="J45" i="8" s="1"/>
  <c r="E32" i="4"/>
  <c r="F25" i="4"/>
  <c r="J28" i="8" s="1" a="1"/>
  <c r="J28" i="8" s="1"/>
  <c r="H29" i="5"/>
  <c r="F35" i="4"/>
  <c r="J38" i="8" s="1" a="1"/>
  <c r="J38" i="8" s="1"/>
  <c r="F25" i="5"/>
  <c r="J40" i="8" s="1" a="1"/>
  <c r="J40" i="8" s="1"/>
  <c r="H33" i="4"/>
  <c r="F27" i="5"/>
  <c r="J42" i="8" s="1" a="1"/>
  <c r="J42" i="8" s="1"/>
  <c r="I33" i="4"/>
  <c r="K36" i="8" s="1" a="1"/>
  <c r="K36" i="8" s="1"/>
  <c r="H27" i="5"/>
  <c r="H35" i="4"/>
  <c r="H25" i="5"/>
  <c r="H32" i="4"/>
  <c r="I25" i="4"/>
  <c r="K28" i="8" s="1" a="1"/>
  <c r="K28" i="8" s="1"/>
  <c r="E32" i="5"/>
  <c r="AE8" i="6" s="1"/>
  <c r="I35" i="4"/>
  <c r="K38" i="8" s="1" a="1"/>
  <c r="K38" i="8" s="1"/>
  <c r="F28" i="5"/>
  <c r="J43" i="8" s="1" a="1"/>
  <c r="J43" i="8" s="1"/>
  <c r="F27" i="4"/>
  <c r="J30" i="8" s="1" a="1"/>
  <c r="J30" i="8" s="1"/>
  <c r="I25" i="5"/>
  <c r="K40" i="8" s="1" a="1"/>
  <c r="K40" i="8" s="1"/>
  <c r="I27" i="5"/>
  <c r="K42" i="8" s="1" a="1"/>
  <c r="K42" i="8" s="1"/>
  <c r="D307" i="4"/>
  <c r="D186" i="4"/>
  <c r="D133" i="4"/>
  <c r="D132" i="4"/>
  <c r="D202" i="4"/>
  <c r="D309" i="4"/>
  <c r="D127" i="4"/>
  <c r="D317" i="4"/>
  <c r="D199" i="4"/>
  <c r="D119" i="4"/>
  <c r="D187" i="4"/>
  <c r="D321" i="4"/>
  <c r="D320" i="4"/>
  <c r="D197" i="4"/>
  <c r="D120" i="4"/>
  <c r="D315" i="4"/>
  <c r="D313" i="4"/>
  <c r="D308" i="4"/>
  <c r="D200" i="4"/>
  <c r="D118" i="4"/>
  <c r="D188" i="4"/>
  <c r="D122" i="4"/>
  <c r="D305" i="4"/>
  <c r="D324" i="4"/>
  <c r="D203" i="4"/>
  <c r="D314" i="4"/>
  <c r="D325" i="4"/>
  <c r="D316" i="4"/>
  <c r="D114" i="4"/>
  <c r="D318" i="4"/>
  <c r="D123" i="4"/>
  <c r="D319" i="4"/>
  <c r="AE9" i="6"/>
  <c r="V10" i="6"/>
  <c r="AG8" i="6"/>
  <c r="D124" i="4"/>
  <c r="D113" i="4"/>
  <c r="D126" i="4"/>
  <c r="D117" i="4"/>
  <c r="D129" i="4"/>
  <c r="D116" i="4"/>
  <c r="I8" i="6"/>
  <c r="AN10" i="6"/>
  <c r="Y10" i="6"/>
  <c r="AD10" i="6"/>
  <c r="AA10" i="6"/>
  <c r="R10" i="6"/>
  <c r="B270" i="5"/>
  <c r="D270" i="5"/>
  <c r="D266" i="5"/>
  <c r="B266" i="5"/>
  <c r="D282" i="5"/>
  <c r="B282" i="5"/>
  <c r="N7" i="6"/>
  <c r="C95" i="3"/>
  <c r="C103" i="3"/>
  <c r="C96" i="3"/>
  <c r="C104" i="3"/>
  <c r="C93" i="3"/>
  <c r="C105" i="3"/>
  <c r="C94" i="3"/>
  <c r="C106" i="3"/>
  <c r="C97" i="3"/>
  <c r="C89" i="3"/>
  <c r="C90" i="3"/>
  <c r="C91" i="3"/>
  <c r="C101" i="3"/>
  <c r="C92" i="3"/>
  <c r="C102" i="3"/>
  <c r="C98" i="3"/>
  <c r="C99" i="3"/>
  <c r="B99" i="3" s="1"/>
  <c r="C109" i="3"/>
  <c r="C100" i="3"/>
  <c r="C107" i="3"/>
  <c r="C108" i="3"/>
  <c r="E27" i="3"/>
  <c r="D74" i="4"/>
  <c r="B74" i="4"/>
  <c r="D290" i="4"/>
  <c r="B290" i="4"/>
  <c r="D282" i="4"/>
  <c r="B282" i="4"/>
  <c r="B284" i="4"/>
  <c r="D284" i="4"/>
  <c r="B277" i="5"/>
  <c r="D277" i="5"/>
  <c r="B109" i="5"/>
  <c r="D109" i="5"/>
  <c r="D105" i="5"/>
  <c r="B105" i="5"/>
  <c r="B92" i="5"/>
  <c r="D92" i="5"/>
  <c r="D83" i="5"/>
  <c r="B83" i="5"/>
  <c r="B75" i="5"/>
  <c r="D75" i="5"/>
  <c r="D82" i="5"/>
  <c r="B82" i="5"/>
  <c r="B228" i="5"/>
  <c r="D228" i="5"/>
  <c r="D209" i="5"/>
  <c r="B209" i="5"/>
  <c r="B229" i="5"/>
  <c r="D229" i="5"/>
  <c r="B293" i="5"/>
  <c r="D293" i="5"/>
  <c r="D287" i="5"/>
  <c r="B287" i="5"/>
  <c r="B262" i="5"/>
  <c r="D262" i="5"/>
  <c r="D227" i="4"/>
  <c r="B227" i="4"/>
  <c r="B216" i="4"/>
  <c r="D216" i="4"/>
  <c r="B213" i="4"/>
  <c r="D213" i="4"/>
  <c r="B85" i="4"/>
  <c r="D85" i="4"/>
  <c r="B276" i="4"/>
  <c r="D276" i="4"/>
  <c r="B268" i="4"/>
  <c r="D268" i="4"/>
  <c r="D266" i="4"/>
  <c r="B266" i="4"/>
  <c r="B245" i="4"/>
  <c r="D245" i="4"/>
  <c r="D249" i="4"/>
  <c r="B249" i="4"/>
  <c r="B236" i="4"/>
  <c r="D236" i="4"/>
  <c r="B267" i="4"/>
  <c r="D267" i="4"/>
  <c r="B258" i="4"/>
  <c r="D258" i="4"/>
  <c r="B286" i="5"/>
  <c r="D286" i="5"/>
  <c r="B272" i="5"/>
  <c r="D272" i="5"/>
  <c r="D274" i="5"/>
  <c r="B274" i="5"/>
  <c r="D298" i="5"/>
  <c r="B298" i="5"/>
  <c r="D114" i="5"/>
  <c r="B114" i="5"/>
  <c r="D116" i="5"/>
  <c r="B116" i="5"/>
  <c r="B245" i="5"/>
  <c r="D245" i="5"/>
  <c r="D89" i="4"/>
  <c r="B89" i="4"/>
  <c r="B93" i="4"/>
  <c r="D93" i="4"/>
  <c r="B100" i="4"/>
  <c r="D100" i="4"/>
  <c r="B47" i="5"/>
  <c r="D47" i="5"/>
  <c r="B284" i="5"/>
  <c r="D284" i="5"/>
  <c r="D297" i="5"/>
  <c r="B297" i="5"/>
  <c r="B247" i="4"/>
  <c r="D247" i="4"/>
  <c r="B243" i="4"/>
  <c r="D243" i="4"/>
  <c r="B79" i="5"/>
  <c r="D79" i="5"/>
  <c r="B85" i="5"/>
  <c r="D85" i="5"/>
  <c r="D66" i="5"/>
  <c r="B66" i="5"/>
  <c r="B220" i="5"/>
  <c r="D220" i="5"/>
  <c r="B219" i="5"/>
  <c r="D219" i="5"/>
  <c r="B213" i="5"/>
  <c r="D213" i="5"/>
  <c r="B101" i="5"/>
  <c r="D101" i="5"/>
  <c r="B96" i="5"/>
  <c r="D96" i="5"/>
  <c r="D225" i="4"/>
  <c r="B225" i="4"/>
  <c r="D242" i="5"/>
  <c r="B242" i="5"/>
  <c r="B237" i="5"/>
  <c r="D237" i="5"/>
  <c r="B101" i="4"/>
  <c r="D101" i="4"/>
  <c r="D107" i="4"/>
  <c r="B107" i="4"/>
  <c r="B92" i="4"/>
  <c r="D92" i="4"/>
  <c r="B46" i="5"/>
  <c r="D46" i="5"/>
  <c r="B55" i="5"/>
  <c r="D55" i="5"/>
  <c r="D59" i="5"/>
  <c r="B59" i="5"/>
  <c r="B113" i="5"/>
  <c r="D113" i="5"/>
  <c r="B308" i="5"/>
  <c r="D308" i="5"/>
  <c r="B301" i="4"/>
  <c r="D301" i="4"/>
  <c r="H7" i="6"/>
  <c r="C60" i="3"/>
  <c r="C52" i="3"/>
  <c r="C44" i="3"/>
  <c r="C59" i="3"/>
  <c r="C51" i="3"/>
  <c r="C58" i="3"/>
  <c r="C50" i="3"/>
  <c r="C42" i="3"/>
  <c r="C54" i="3"/>
  <c r="C46" i="3"/>
  <c r="C49" i="3"/>
  <c r="C48" i="3"/>
  <c r="C47" i="3"/>
  <c r="C61" i="3"/>
  <c r="C45" i="3"/>
  <c r="E25" i="3"/>
  <c r="H8" i="6" s="1"/>
  <c r="C57" i="3"/>
  <c r="C56" i="3"/>
  <c r="C55" i="3"/>
  <c r="C53" i="3"/>
  <c r="B157" i="5"/>
  <c r="D157" i="5"/>
  <c r="B149" i="5"/>
  <c r="D149" i="5"/>
  <c r="D147" i="5"/>
  <c r="B147" i="5"/>
  <c r="D211" i="5"/>
  <c r="B211" i="5"/>
  <c r="B223" i="5"/>
  <c r="D223" i="5"/>
  <c r="D107" i="5"/>
  <c r="B107" i="5"/>
  <c r="B45" i="5"/>
  <c r="D45" i="5"/>
  <c r="B53" i="5"/>
  <c r="D53" i="5"/>
  <c r="D43" i="5"/>
  <c r="B43" i="5"/>
  <c r="D131" i="5"/>
  <c r="B131" i="5"/>
  <c r="B125" i="5"/>
  <c r="D125" i="5"/>
  <c r="D315" i="5"/>
  <c r="B315" i="5"/>
  <c r="B309" i="5"/>
  <c r="D309" i="5"/>
  <c r="B141" i="5"/>
  <c r="D141" i="5"/>
  <c r="D145" i="5"/>
  <c r="B145" i="5"/>
  <c r="D139" i="5"/>
  <c r="B139" i="5"/>
  <c r="B200" i="5"/>
  <c r="D200" i="5"/>
  <c r="B103" i="5"/>
  <c r="D103" i="5"/>
  <c r="D281" i="5"/>
  <c r="B281" i="5"/>
  <c r="B239" i="4"/>
  <c r="D239" i="4"/>
  <c r="B248" i="4"/>
  <c r="D248" i="4"/>
  <c r="D250" i="4"/>
  <c r="B250" i="4"/>
  <c r="B95" i="5"/>
  <c r="D95" i="5"/>
  <c r="D223" i="4"/>
  <c r="B223" i="4"/>
  <c r="B214" i="4"/>
  <c r="D214" i="4"/>
  <c r="B71" i="4"/>
  <c r="D71" i="4"/>
  <c r="D67" i="4"/>
  <c r="B67" i="4"/>
  <c r="B78" i="4"/>
  <c r="D78" i="4"/>
  <c r="B80" i="4"/>
  <c r="D80" i="4"/>
  <c r="D248" i="5"/>
  <c r="B248" i="5"/>
  <c r="D249" i="5"/>
  <c r="B249" i="5"/>
  <c r="B236" i="5"/>
  <c r="D236" i="5"/>
  <c r="B103" i="4"/>
  <c r="D103" i="4"/>
  <c r="B56" i="5"/>
  <c r="D56" i="5"/>
  <c r="D58" i="5"/>
  <c r="B58" i="5"/>
  <c r="D115" i="5"/>
  <c r="B115" i="5"/>
  <c r="B117" i="5"/>
  <c r="D117" i="5"/>
  <c r="D321" i="5"/>
  <c r="B321" i="5"/>
  <c r="D307" i="5"/>
  <c r="B307" i="5"/>
  <c r="D211" i="4"/>
  <c r="B211" i="4"/>
  <c r="D226" i="4"/>
  <c r="B226" i="4"/>
  <c r="B228" i="4"/>
  <c r="D228" i="4"/>
  <c r="B69" i="4"/>
  <c r="D69" i="4"/>
  <c r="B79" i="4"/>
  <c r="D79" i="4"/>
  <c r="D66" i="4"/>
  <c r="B66" i="4"/>
  <c r="D289" i="4"/>
  <c r="B289" i="4"/>
  <c r="K7" i="6"/>
  <c r="C65" i="3"/>
  <c r="C73" i="3"/>
  <c r="C81" i="3"/>
  <c r="C66" i="3"/>
  <c r="C74" i="3"/>
  <c r="C82" i="3"/>
  <c r="C69" i="3"/>
  <c r="C79" i="3"/>
  <c r="C70" i="3"/>
  <c r="C80" i="3"/>
  <c r="C72" i="3"/>
  <c r="C84" i="3"/>
  <c r="C76" i="3"/>
  <c r="C75" i="3"/>
  <c r="C67" i="3"/>
  <c r="C77" i="3"/>
  <c r="C68" i="3"/>
  <c r="C78" i="3"/>
  <c r="C71" i="3"/>
  <c r="C85" i="3"/>
  <c r="C83" i="3"/>
  <c r="H26" i="3"/>
  <c r="B84" i="5"/>
  <c r="D84" i="5"/>
  <c r="D73" i="5"/>
  <c r="B73" i="5"/>
  <c r="D222" i="4"/>
  <c r="B222" i="4"/>
  <c r="D83" i="4"/>
  <c r="B83" i="4"/>
  <c r="D75" i="4"/>
  <c r="B75" i="4"/>
  <c r="D65" i="4"/>
  <c r="B65" i="4"/>
  <c r="B285" i="4"/>
  <c r="D285" i="4"/>
  <c r="B96" i="4"/>
  <c r="D96" i="4"/>
  <c r="B271" i="4"/>
  <c r="D271" i="4"/>
  <c r="B270" i="4"/>
  <c r="D270" i="4"/>
  <c r="D272" i="4"/>
  <c r="B272" i="4"/>
  <c r="D275" i="5"/>
  <c r="B275" i="5"/>
  <c r="D257" i="5"/>
  <c r="B257" i="5"/>
  <c r="B269" i="4"/>
  <c r="D269" i="4"/>
  <c r="B219" i="4"/>
  <c r="D219" i="4"/>
  <c r="D283" i="4"/>
  <c r="B283" i="4"/>
  <c r="B300" i="4"/>
  <c r="D300" i="4"/>
  <c r="B286" i="4"/>
  <c r="D286" i="4"/>
  <c r="B247" i="5"/>
  <c r="D247" i="5"/>
  <c r="D241" i="5"/>
  <c r="B241" i="5"/>
  <c r="D251" i="5"/>
  <c r="B251" i="5"/>
  <c r="U8" i="6"/>
  <c r="D98" i="4"/>
  <c r="B98" i="4"/>
  <c r="D106" i="4"/>
  <c r="B106" i="4"/>
  <c r="B95" i="4"/>
  <c r="D95" i="4"/>
  <c r="D49" i="5"/>
  <c r="B49" i="5"/>
  <c r="D57" i="5"/>
  <c r="B57" i="5"/>
  <c r="B48" i="5"/>
  <c r="D48" i="5"/>
  <c r="D50" i="5"/>
  <c r="B50" i="5"/>
  <c r="B127" i="5"/>
  <c r="D127" i="5"/>
  <c r="B312" i="5"/>
  <c r="D312" i="5"/>
  <c r="D305" i="5"/>
  <c r="B305" i="5"/>
  <c r="B143" i="5"/>
  <c r="D143" i="5"/>
  <c r="D137" i="5"/>
  <c r="B137" i="5"/>
  <c r="B144" i="5"/>
  <c r="D144" i="5"/>
  <c r="D146" i="5"/>
  <c r="B146" i="5"/>
  <c r="B190" i="5"/>
  <c r="D190" i="5"/>
  <c r="D186" i="5"/>
  <c r="B186" i="5"/>
  <c r="B205" i="5"/>
  <c r="D205" i="5"/>
  <c r="B199" i="5"/>
  <c r="D199" i="5"/>
  <c r="B44" i="5"/>
  <c r="D44" i="5"/>
  <c r="B129" i="5"/>
  <c r="D129" i="5"/>
  <c r="D120" i="5"/>
  <c r="B120" i="5"/>
  <c r="B126" i="5"/>
  <c r="D126" i="5"/>
  <c r="B316" i="5"/>
  <c r="D316" i="5"/>
  <c r="B310" i="5"/>
  <c r="D310" i="5"/>
  <c r="D275" i="4"/>
  <c r="B275" i="4"/>
  <c r="B277" i="4"/>
  <c r="D277" i="4"/>
  <c r="D265" i="4"/>
  <c r="B265" i="4"/>
  <c r="B271" i="5"/>
  <c r="D271" i="5"/>
  <c r="D273" i="5"/>
  <c r="B273" i="5"/>
  <c r="B292" i="5"/>
  <c r="D292" i="5"/>
  <c r="D289" i="5"/>
  <c r="B289" i="5"/>
  <c r="D241" i="4"/>
  <c r="B241" i="4"/>
  <c r="B246" i="4"/>
  <c r="D246" i="4"/>
  <c r="D235" i="4"/>
  <c r="B235" i="4"/>
  <c r="B77" i="5"/>
  <c r="D77" i="5"/>
  <c r="B69" i="5"/>
  <c r="D69" i="5"/>
  <c r="D81" i="5"/>
  <c r="B81" i="5"/>
  <c r="B295" i="4"/>
  <c r="D295" i="4"/>
  <c r="D250" i="5"/>
  <c r="B250" i="5"/>
  <c r="B119" i="5"/>
  <c r="D119" i="5"/>
  <c r="B133" i="5"/>
  <c r="D133" i="5"/>
  <c r="AI7" i="6"/>
  <c r="C257" i="3"/>
  <c r="C265" i="3"/>
  <c r="C273" i="3"/>
  <c r="C258" i="3"/>
  <c r="C266" i="3"/>
  <c r="C274" i="3"/>
  <c r="C259" i="3"/>
  <c r="C269" i="3"/>
  <c r="C260" i="3"/>
  <c r="C270" i="3"/>
  <c r="C261" i="3"/>
  <c r="C271" i="3"/>
  <c r="C264" i="3"/>
  <c r="C276" i="3"/>
  <c r="C267" i="3"/>
  <c r="C277" i="3"/>
  <c r="C268" i="3"/>
  <c r="C262" i="3"/>
  <c r="C272" i="3"/>
  <c r="C263" i="3"/>
  <c r="C275" i="3"/>
  <c r="D34" i="3"/>
  <c r="F34" i="3" s="1"/>
  <c r="J25" i="8" s="1" a="1"/>
  <c r="J25" i="8" s="1"/>
  <c r="B261" i="4"/>
  <c r="D261" i="4"/>
  <c r="D257" i="4"/>
  <c r="B257" i="4"/>
  <c r="B263" i="5"/>
  <c r="D263" i="5"/>
  <c r="D265" i="5"/>
  <c r="B265" i="5"/>
  <c r="B287" i="4"/>
  <c r="D287" i="4"/>
  <c r="D239" i="5"/>
  <c r="B239" i="5"/>
  <c r="B244" i="5"/>
  <c r="D244" i="5"/>
  <c r="D290" i="5"/>
  <c r="B290" i="5"/>
  <c r="B301" i="5"/>
  <c r="D301" i="5"/>
  <c r="B295" i="5"/>
  <c r="D295" i="5"/>
  <c r="B237" i="4"/>
  <c r="D237" i="4"/>
  <c r="B244" i="4"/>
  <c r="D244" i="4"/>
  <c r="B70" i="5"/>
  <c r="D70" i="5"/>
  <c r="B72" i="5"/>
  <c r="D72" i="5"/>
  <c r="B216" i="5"/>
  <c r="D216" i="5"/>
  <c r="D225" i="5"/>
  <c r="B225" i="5"/>
  <c r="B214" i="5"/>
  <c r="D214" i="5"/>
  <c r="D90" i="5"/>
  <c r="B90" i="5"/>
  <c r="B100" i="5"/>
  <c r="D100" i="5"/>
  <c r="D217" i="4"/>
  <c r="B217" i="4"/>
  <c r="B221" i="4"/>
  <c r="D221" i="4"/>
  <c r="D82" i="4"/>
  <c r="B82" i="4"/>
  <c r="B291" i="4"/>
  <c r="D291" i="4"/>
  <c r="D298" i="4"/>
  <c r="B298" i="4"/>
  <c r="B292" i="4"/>
  <c r="D292" i="4"/>
  <c r="B246" i="5"/>
  <c r="D246" i="5"/>
  <c r="D124" i="5"/>
  <c r="B124" i="5"/>
  <c r="B311" i="5"/>
  <c r="D311" i="5"/>
  <c r="B260" i="4"/>
  <c r="D260" i="4"/>
  <c r="B262" i="4"/>
  <c r="D262" i="4"/>
  <c r="B264" i="4"/>
  <c r="D264" i="4"/>
  <c r="B268" i="5"/>
  <c r="D268" i="5"/>
  <c r="B276" i="5"/>
  <c r="D276" i="5"/>
  <c r="B267" i="5"/>
  <c r="D267" i="5"/>
  <c r="D299" i="5"/>
  <c r="B299" i="5"/>
  <c r="B296" i="5"/>
  <c r="D296" i="5"/>
  <c r="D297" i="4"/>
  <c r="B297" i="4"/>
  <c r="B296" i="4"/>
  <c r="D296" i="4"/>
  <c r="B238" i="5"/>
  <c r="D238" i="5"/>
  <c r="D233" i="5"/>
  <c r="B233" i="5"/>
  <c r="B243" i="5"/>
  <c r="D243" i="5"/>
  <c r="D97" i="4"/>
  <c r="B97" i="4"/>
  <c r="D90" i="4"/>
  <c r="B90" i="4"/>
  <c r="B102" i="4"/>
  <c r="D102" i="4"/>
  <c r="J8" i="6"/>
  <c r="D41" i="5"/>
  <c r="B41" i="5"/>
  <c r="B60" i="5"/>
  <c r="D60" i="5"/>
  <c r="D42" i="5"/>
  <c r="B42" i="5"/>
  <c r="D123" i="5"/>
  <c r="B123" i="5"/>
  <c r="D130" i="5"/>
  <c r="B130" i="5"/>
  <c r="D274" i="4"/>
  <c r="B274" i="4"/>
  <c r="B264" i="5"/>
  <c r="D264" i="5"/>
  <c r="B260" i="5"/>
  <c r="D260" i="5"/>
  <c r="D259" i="5"/>
  <c r="B259" i="5"/>
  <c r="B291" i="5"/>
  <c r="D291" i="5"/>
  <c r="D283" i="5"/>
  <c r="B283" i="5"/>
  <c r="B288" i="5"/>
  <c r="D288" i="5"/>
  <c r="B253" i="4"/>
  <c r="D253" i="4"/>
  <c r="B252" i="4"/>
  <c r="D252" i="4"/>
  <c r="D234" i="4"/>
  <c r="B234" i="4"/>
  <c r="B78" i="5"/>
  <c r="D78" i="5"/>
  <c r="B80" i="5"/>
  <c r="D80" i="5"/>
  <c r="D217" i="5"/>
  <c r="B217" i="5"/>
  <c r="D210" i="5"/>
  <c r="B210" i="5"/>
  <c r="B222" i="5"/>
  <c r="D222" i="5"/>
  <c r="D97" i="5"/>
  <c r="B97" i="5"/>
  <c r="D106" i="5"/>
  <c r="B106" i="5"/>
  <c r="B108" i="5"/>
  <c r="D108" i="5"/>
  <c r="B94" i="5"/>
  <c r="D94" i="5"/>
  <c r="B224" i="4"/>
  <c r="D224" i="4"/>
  <c r="D210" i="4"/>
  <c r="B210" i="4"/>
  <c r="B212" i="4"/>
  <c r="D212" i="4"/>
  <c r="B68" i="4"/>
  <c r="D68" i="4"/>
  <c r="B76" i="4"/>
  <c r="D76" i="4"/>
  <c r="D73" i="4"/>
  <c r="B73" i="4"/>
  <c r="D281" i="4"/>
  <c r="B281" i="4"/>
  <c r="B288" i="4"/>
  <c r="D288" i="4"/>
  <c r="B253" i="5"/>
  <c r="D253" i="5"/>
  <c r="D235" i="5"/>
  <c r="B235" i="5"/>
  <c r="D105" i="4"/>
  <c r="B105" i="4"/>
  <c r="B109" i="4"/>
  <c r="D109" i="4"/>
  <c r="B108" i="4"/>
  <c r="D108" i="4"/>
  <c r="B94" i="4"/>
  <c r="D94" i="4"/>
  <c r="B52" i="5"/>
  <c r="D52" i="5"/>
  <c r="B121" i="5"/>
  <c r="D121" i="5"/>
  <c r="D122" i="5"/>
  <c r="B122" i="5"/>
  <c r="D132" i="5"/>
  <c r="B132" i="5"/>
  <c r="D313" i="5"/>
  <c r="B313" i="5"/>
  <c r="D306" i="5"/>
  <c r="B306" i="5"/>
  <c r="D323" i="5"/>
  <c r="B323" i="5"/>
  <c r="B317" i="5"/>
  <c r="D317" i="5"/>
  <c r="B142" i="5"/>
  <c r="D142" i="5"/>
  <c r="B150" i="5"/>
  <c r="D150" i="5"/>
  <c r="D155" i="5"/>
  <c r="B155" i="5"/>
  <c r="D187" i="5"/>
  <c r="B187" i="5"/>
  <c r="D193" i="5"/>
  <c r="B193" i="5"/>
  <c r="Z7" i="6"/>
  <c r="C191" i="3"/>
  <c r="C199" i="3"/>
  <c r="C192" i="3"/>
  <c r="C200" i="3"/>
  <c r="C194" i="3"/>
  <c r="C204" i="3"/>
  <c r="C185" i="3"/>
  <c r="C195" i="3"/>
  <c r="C205" i="3"/>
  <c r="C186" i="3"/>
  <c r="C201" i="3"/>
  <c r="C189" i="3"/>
  <c r="C190" i="3"/>
  <c r="C202" i="3"/>
  <c r="C193" i="3"/>
  <c r="C203" i="3"/>
  <c r="C196" i="3"/>
  <c r="C197" i="3"/>
  <c r="C188" i="3"/>
  <c r="C198" i="3"/>
  <c r="C187" i="3"/>
  <c r="D31" i="3"/>
  <c r="E31" i="3" s="1"/>
  <c r="B176" i="5"/>
  <c r="D176" i="5"/>
  <c r="B181" i="5"/>
  <c r="D181" i="5"/>
  <c r="D163" i="5"/>
  <c r="B163" i="5"/>
  <c r="D49" i="4"/>
  <c r="B49" i="4"/>
  <c r="B48" i="4"/>
  <c r="D48" i="4"/>
  <c r="D50" i="4"/>
  <c r="B50" i="4"/>
  <c r="D185" i="5"/>
  <c r="B185" i="5"/>
  <c r="B174" i="5"/>
  <c r="D174" i="5"/>
  <c r="B165" i="5"/>
  <c r="D165" i="5"/>
  <c r="D178" i="5"/>
  <c r="B178" i="5"/>
  <c r="D47" i="4"/>
  <c r="B47" i="4"/>
  <c r="B60" i="4"/>
  <c r="D60" i="4"/>
  <c r="D42" i="4"/>
  <c r="B42" i="4"/>
  <c r="T7" i="6"/>
  <c r="C139" i="3"/>
  <c r="C147" i="3"/>
  <c r="C155" i="3"/>
  <c r="C140" i="3"/>
  <c r="C148" i="3"/>
  <c r="C156" i="3"/>
  <c r="C144" i="3"/>
  <c r="C154" i="3"/>
  <c r="C145" i="3"/>
  <c r="C157" i="3"/>
  <c r="C137" i="3"/>
  <c r="C151" i="3"/>
  <c r="C138" i="3"/>
  <c r="C141" i="3"/>
  <c r="C142" i="3"/>
  <c r="C152" i="3"/>
  <c r="C153" i="3"/>
  <c r="C146" i="3"/>
  <c r="C150" i="3"/>
  <c r="C143" i="3"/>
  <c r="C149" i="3"/>
  <c r="D29" i="3"/>
  <c r="F29" i="3" s="1"/>
  <c r="J20" i="8" s="1" a="1"/>
  <c r="J20" i="8" s="1"/>
  <c r="B173" i="5"/>
  <c r="D173" i="5"/>
  <c r="B180" i="5"/>
  <c r="D180" i="5"/>
  <c r="B170" i="5"/>
  <c r="D170" i="5"/>
  <c r="B46" i="4"/>
  <c r="D46" i="4"/>
  <c r="B52" i="4"/>
  <c r="D52" i="4"/>
  <c r="D259" i="4"/>
  <c r="B259" i="4"/>
  <c r="B263" i="4"/>
  <c r="D263" i="4"/>
  <c r="D273" i="4"/>
  <c r="B273" i="4"/>
  <c r="B261" i="5"/>
  <c r="D261" i="5"/>
  <c r="B269" i="5"/>
  <c r="D269" i="5"/>
  <c r="D258" i="5"/>
  <c r="B258" i="5"/>
  <c r="B294" i="5"/>
  <c r="D294" i="5"/>
  <c r="B300" i="5"/>
  <c r="D300" i="5"/>
  <c r="B285" i="5"/>
  <c r="D285" i="5"/>
  <c r="D233" i="4"/>
  <c r="B233" i="4"/>
  <c r="D251" i="4"/>
  <c r="B251" i="4"/>
  <c r="D67" i="5"/>
  <c r="B67" i="5"/>
  <c r="B71" i="5"/>
  <c r="D71" i="5"/>
  <c r="D74" i="5"/>
  <c r="B74" i="5"/>
  <c r="B224" i="5"/>
  <c r="D224" i="5"/>
  <c r="B212" i="5"/>
  <c r="D212" i="5"/>
  <c r="D227" i="5"/>
  <c r="B227" i="5"/>
  <c r="B221" i="5"/>
  <c r="D221" i="5"/>
  <c r="B93" i="5"/>
  <c r="D93" i="5"/>
  <c r="D89" i="5"/>
  <c r="B89" i="5"/>
  <c r="B104" i="5"/>
  <c r="D104" i="5"/>
  <c r="D215" i="4"/>
  <c r="B215" i="4"/>
  <c r="B229" i="4"/>
  <c r="D229" i="4"/>
  <c r="B70" i="4"/>
  <c r="D70" i="4"/>
  <c r="B72" i="4"/>
  <c r="D72" i="4"/>
  <c r="D299" i="4"/>
  <c r="B299" i="4"/>
  <c r="B293" i="4"/>
  <c r="D293" i="4"/>
  <c r="B294" i="4"/>
  <c r="D294" i="4"/>
  <c r="D234" i="5"/>
  <c r="B234" i="5"/>
  <c r="B240" i="5"/>
  <c r="D240" i="5"/>
  <c r="B252" i="5"/>
  <c r="D252" i="5"/>
  <c r="B99" i="4"/>
  <c r="D99" i="4"/>
  <c r="D91" i="4"/>
  <c r="B91" i="4"/>
  <c r="B104" i="4"/>
  <c r="D104" i="4"/>
  <c r="B61" i="5"/>
  <c r="D61" i="5"/>
  <c r="B54" i="5"/>
  <c r="D54" i="5"/>
  <c r="D51" i="5"/>
  <c r="B51" i="5"/>
  <c r="B128" i="5"/>
  <c r="D128" i="5"/>
  <c r="B118" i="5"/>
  <c r="D118" i="5"/>
  <c r="B320" i="5"/>
  <c r="D320" i="5"/>
  <c r="B319" i="5"/>
  <c r="D319" i="5"/>
  <c r="D153" i="5"/>
  <c r="B153" i="5"/>
  <c r="B152" i="5"/>
  <c r="D152" i="5"/>
  <c r="D154" i="5"/>
  <c r="B154" i="5"/>
  <c r="AC7" i="6"/>
  <c r="C213" i="3"/>
  <c r="C221" i="3"/>
  <c r="C229" i="3"/>
  <c r="C214" i="3"/>
  <c r="C222" i="3"/>
  <c r="C209" i="3"/>
  <c r="C219" i="3"/>
  <c r="C210" i="3"/>
  <c r="C220" i="3"/>
  <c r="C211" i="3"/>
  <c r="C224" i="3"/>
  <c r="C216" i="3"/>
  <c r="C225" i="3"/>
  <c r="C217" i="3"/>
  <c r="C227" i="3"/>
  <c r="C218" i="3"/>
  <c r="C228" i="3"/>
  <c r="C223" i="3"/>
  <c r="C212" i="3"/>
  <c r="C215" i="3"/>
  <c r="C226" i="3"/>
  <c r="D32" i="3"/>
  <c r="I32" i="3" s="1"/>
  <c r="K23" i="8" s="1" a="1"/>
  <c r="K23" i="8" s="1"/>
  <c r="X8" i="6"/>
  <c r="E175" i="4"/>
  <c r="E167" i="4"/>
  <c r="F167" i="4" s="1"/>
  <c r="G167" i="4" s="1"/>
  <c r="H167" i="4" s="1"/>
  <c r="E164" i="4"/>
  <c r="E174" i="4"/>
  <c r="E180" i="4"/>
  <c r="D202" i="5"/>
  <c r="B202" i="5"/>
  <c r="D194" i="5"/>
  <c r="B194" i="5"/>
  <c r="B192" i="5"/>
  <c r="D192" i="5"/>
  <c r="B172" i="5"/>
  <c r="D172" i="5"/>
  <c r="B164" i="5"/>
  <c r="D164" i="5"/>
  <c r="D162" i="5"/>
  <c r="B162" i="5"/>
  <c r="B55" i="4"/>
  <c r="D55" i="4"/>
  <c r="B61" i="4"/>
  <c r="D61" i="4"/>
  <c r="B44" i="4"/>
  <c r="D44" i="4"/>
  <c r="B175" i="5"/>
  <c r="D175" i="5"/>
  <c r="D177" i="5"/>
  <c r="B177" i="5"/>
  <c r="B45" i="4"/>
  <c r="D45" i="4"/>
  <c r="D59" i="4"/>
  <c r="B59" i="4"/>
  <c r="B324" i="5"/>
  <c r="D324" i="5"/>
  <c r="B318" i="5"/>
  <c r="D318" i="5"/>
  <c r="B151" i="5"/>
  <c r="D151" i="5"/>
  <c r="B156" i="5"/>
  <c r="D156" i="5"/>
  <c r="D138" i="5"/>
  <c r="B138" i="5"/>
  <c r="W7" i="6"/>
  <c r="C161" i="3"/>
  <c r="C169" i="3"/>
  <c r="C177" i="3"/>
  <c r="C162" i="3"/>
  <c r="C170" i="3"/>
  <c r="C178" i="3"/>
  <c r="C168" i="3"/>
  <c r="C180" i="3"/>
  <c r="C171" i="3"/>
  <c r="C181" i="3"/>
  <c r="C172" i="3"/>
  <c r="C165" i="3"/>
  <c r="C175" i="3"/>
  <c r="C166" i="3"/>
  <c r="C176" i="3"/>
  <c r="C167" i="3"/>
  <c r="C179" i="3"/>
  <c r="C163" i="3"/>
  <c r="C173" i="3"/>
  <c r="C164" i="3"/>
  <c r="C174" i="3"/>
  <c r="D30" i="3"/>
  <c r="E30" i="3" s="1"/>
  <c r="B204" i="5"/>
  <c r="D204" i="5"/>
  <c r="B198" i="5"/>
  <c r="D198" i="5"/>
  <c r="B197" i="5"/>
  <c r="D197" i="5"/>
  <c r="D191" i="5"/>
  <c r="B191" i="5"/>
  <c r="D167" i="5"/>
  <c r="B167" i="5"/>
  <c r="D169" i="5"/>
  <c r="B169" i="5"/>
  <c r="D57" i="4"/>
  <c r="B57" i="4"/>
  <c r="B51" i="4"/>
  <c r="D51" i="4"/>
  <c r="V8" i="6"/>
  <c r="B148" i="5"/>
  <c r="D148" i="5"/>
  <c r="B188" i="5"/>
  <c r="D188" i="5"/>
  <c r="B196" i="5"/>
  <c r="D196" i="5"/>
  <c r="B189" i="5"/>
  <c r="D189" i="5"/>
  <c r="AF7" i="6"/>
  <c r="C235" i="3"/>
  <c r="C243" i="3"/>
  <c r="C251" i="3"/>
  <c r="C236" i="3"/>
  <c r="C244" i="3"/>
  <c r="C252" i="3"/>
  <c r="C233" i="3"/>
  <c r="C245" i="3"/>
  <c r="C234" i="3"/>
  <c r="C246" i="3"/>
  <c r="C237" i="3"/>
  <c r="C247" i="3"/>
  <c r="C249" i="3"/>
  <c r="C250" i="3"/>
  <c r="C240" i="3"/>
  <c r="C241" i="3"/>
  <c r="C253" i="3"/>
  <c r="C242" i="3"/>
  <c r="C238" i="3"/>
  <c r="C248" i="3"/>
  <c r="C239" i="3"/>
  <c r="D33" i="3"/>
  <c r="E33" i="3" s="1"/>
  <c r="B168" i="5"/>
  <c r="D168" i="5"/>
  <c r="D179" i="5"/>
  <c r="B179" i="5"/>
  <c r="D161" i="5"/>
  <c r="B161" i="5"/>
  <c r="B54" i="4"/>
  <c r="D54" i="4"/>
  <c r="D41" i="4"/>
  <c r="B41" i="4"/>
  <c r="D43" i="4"/>
  <c r="B43" i="4"/>
  <c r="B238" i="4"/>
  <c r="D238" i="4"/>
  <c r="B240" i="4"/>
  <c r="D240" i="4"/>
  <c r="D242" i="4"/>
  <c r="B242" i="4"/>
  <c r="B76" i="5"/>
  <c r="D76" i="5"/>
  <c r="B68" i="5"/>
  <c r="D68" i="5"/>
  <c r="D65" i="5"/>
  <c r="B65" i="5"/>
  <c r="D218" i="5"/>
  <c r="B218" i="5"/>
  <c r="D226" i="5"/>
  <c r="B226" i="5"/>
  <c r="B215" i="5"/>
  <c r="D215" i="5"/>
  <c r="D98" i="5"/>
  <c r="B98" i="5"/>
  <c r="D91" i="5"/>
  <c r="B91" i="5"/>
  <c r="B99" i="5"/>
  <c r="D99" i="5"/>
  <c r="B102" i="5"/>
  <c r="D102" i="5"/>
  <c r="D209" i="4"/>
  <c r="B209" i="4"/>
  <c r="B218" i="4"/>
  <c r="D218" i="4"/>
  <c r="B220" i="4"/>
  <c r="D220" i="4"/>
  <c r="B84" i="4"/>
  <c r="D84" i="4"/>
  <c r="B77" i="4"/>
  <c r="D77" i="4"/>
  <c r="D81" i="4"/>
  <c r="B81" i="4"/>
  <c r="AP8" i="6"/>
  <c r="E311" i="4"/>
  <c r="E309" i="4"/>
  <c r="D322" i="5"/>
  <c r="B322" i="5"/>
  <c r="D314" i="5"/>
  <c r="B314" i="5"/>
  <c r="B325" i="5"/>
  <c r="D325" i="5"/>
  <c r="B140" i="5"/>
  <c r="D140" i="5"/>
  <c r="AO7" i="6"/>
  <c r="C309" i="3"/>
  <c r="C317" i="3"/>
  <c r="C325" i="3"/>
  <c r="C310" i="3"/>
  <c r="C318" i="3"/>
  <c r="C308" i="3"/>
  <c r="C320" i="3"/>
  <c r="C311" i="3"/>
  <c r="C321" i="3"/>
  <c r="C312" i="3"/>
  <c r="C322" i="3"/>
  <c r="C305" i="3"/>
  <c r="C314" i="3"/>
  <c r="C315" i="3"/>
  <c r="C306" i="3"/>
  <c r="C316" i="3"/>
  <c r="C307" i="3"/>
  <c r="C319" i="3"/>
  <c r="C313" i="3"/>
  <c r="C324" i="3"/>
  <c r="C323" i="3"/>
  <c r="D36" i="3"/>
  <c r="I36" i="3" s="1"/>
  <c r="K27" i="8" s="1" a="1"/>
  <c r="K27" i="8" s="1"/>
  <c r="Q7" i="6"/>
  <c r="C117" i="3"/>
  <c r="C125" i="3"/>
  <c r="C133" i="3"/>
  <c r="C118" i="3"/>
  <c r="C126" i="3"/>
  <c r="C120" i="3"/>
  <c r="C130" i="3"/>
  <c r="C121" i="3"/>
  <c r="C131" i="3"/>
  <c r="C122" i="3"/>
  <c r="C123" i="3"/>
  <c r="C115" i="3"/>
  <c r="C124" i="3"/>
  <c r="C127" i="3"/>
  <c r="C116" i="3"/>
  <c r="C128" i="3"/>
  <c r="C119" i="3"/>
  <c r="C129" i="3"/>
  <c r="C132" i="3"/>
  <c r="C113" i="3"/>
  <c r="C114" i="3"/>
  <c r="D28" i="3"/>
  <c r="I28" i="3" s="1"/>
  <c r="K19" i="8" s="1" a="1"/>
  <c r="K19" i="8" s="1"/>
  <c r="D203" i="5"/>
  <c r="B203" i="5"/>
  <c r="B195" i="5"/>
  <c r="D195" i="5"/>
  <c r="D201" i="5"/>
  <c r="B201" i="5"/>
  <c r="D166" i="5"/>
  <c r="B166" i="5"/>
  <c r="B171" i="5"/>
  <c r="D171" i="5"/>
  <c r="B53" i="4"/>
  <c r="D53" i="4"/>
  <c r="B56" i="4"/>
  <c r="D56" i="4"/>
  <c r="D58" i="4"/>
  <c r="B58" i="4"/>
  <c r="E307" i="4" l="1"/>
  <c r="F307" i="4" s="1"/>
  <c r="G307" i="4" s="1"/>
  <c r="H307" i="4" s="1"/>
  <c r="E181" i="4"/>
  <c r="F181" i="4" s="1"/>
  <c r="I181" i="4" s="1"/>
  <c r="E177" i="4"/>
  <c r="F177" i="4" s="1"/>
  <c r="G177" i="4" s="1"/>
  <c r="H177" i="4" s="1"/>
  <c r="E170" i="4"/>
  <c r="F170" i="4" s="1"/>
  <c r="G170" i="4" s="1"/>
  <c r="H170" i="4" s="1"/>
  <c r="E168" i="4"/>
  <c r="F168" i="4" s="1"/>
  <c r="G168" i="4" s="1"/>
  <c r="H168" i="4" s="1"/>
  <c r="E163" i="4"/>
  <c r="E161" i="4"/>
  <c r="F161" i="4" s="1"/>
  <c r="G161" i="4" s="1"/>
  <c r="H161" i="4" s="1"/>
  <c r="E166" i="4"/>
  <c r="F166" i="4" s="1"/>
  <c r="G166" i="4" s="1"/>
  <c r="H166" i="4" s="1"/>
  <c r="E179" i="4"/>
  <c r="F179" i="4" s="1"/>
  <c r="G179" i="4" s="1"/>
  <c r="H179" i="4" s="1"/>
  <c r="E176" i="4"/>
  <c r="F176" i="4" s="1"/>
  <c r="G176" i="4" s="1"/>
  <c r="H176" i="4" s="1"/>
  <c r="E173" i="4"/>
  <c r="F173" i="4" s="1"/>
  <c r="G173" i="4" s="1"/>
  <c r="H173" i="4" s="1"/>
  <c r="E169" i="4"/>
  <c r="F169" i="4" s="1"/>
  <c r="G169" i="4" s="1"/>
  <c r="H169" i="4" s="1"/>
  <c r="E178" i="4"/>
  <c r="F178" i="4" s="1"/>
  <c r="G178" i="4" s="1"/>
  <c r="H178" i="4" s="1"/>
  <c r="E162" i="4"/>
  <c r="F162" i="4" s="1"/>
  <c r="G162" i="4" s="1"/>
  <c r="H162" i="4" s="1"/>
  <c r="E171" i="4"/>
  <c r="F171" i="4" s="1"/>
  <c r="G171" i="4" s="1"/>
  <c r="H171" i="4" s="1"/>
  <c r="E165" i="4"/>
  <c r="F165" i="4" s="1"/>
  <c r="G165" i="4" s="1"/>
  <c r="H165" i="4" s="1"/>
  <c r="E172" i="4"/>
  <c r="F172" i="4" s="1"/>
  <c r="G172" i="4" s="1"/>
  <c r="H172" i="4" s="1"/>
  <c r="X10" i="6"/>
  <c r="X9" i="6"/>
  <c r="E323" i="4"/>
  <c r="F323" i="4" s="1"/>
  <c r="G323" i="4" s="1"/>
  <c r="H323" i="4" s="1"/>
  <c r="E308" i="4"/>
  <c r="F308" i="4" s="1"/>
  <c r="G308" i="4" s="1"/>
  <c r="H308" i="4" s="1"/>
  <c r="E310" i="4"/>
  <c r="F310" i="4" s="1"/>
  <c r="G310" i="4" s="1"/>
  <c r="H310" i="4" s="1"/>
  <c r="E314" i="4"/>
  <c r="F314" i="4" s="1"/>
  <c r="G314" i="4" s="1"/>
  <c r="H314" i="4" s="1"/>
  <c r="E150" i="4"/>
  <c r="F150" i="4" s="1"/>
  <c r="G150" i="4" s="1"/>
  <c r="H150" i="4" s="1"/>
  <c r="E151" i="4"/>
  <c r="F151" i="4" s="1"/>
  <c r="G151" i="4" s="1"/>
  <c r="H151" i="4" s="1"/>
  <c r="E313" i="4"/>
  <c r="F313" i="4" s="1"/>
  <c r="G313" i="4" s="1"/>
  <c r="H313" i="4" s="1"/>
  <c r="E317" i="4"/>
  <c r="F317" i="4" s="1"/>
  <c r="G317" i="4" s="1"/>
  <c r="H317" i="4" s="1"/>
  <c r="E321" i="4"/>
  <c r="F321" i="4" s="1"/>
  <c r="G321" i="4" s="1"/>
  <c r="H321" i="4" s="1"/>
  <c r="E325" i="4"/>
  <c r="F325" i="4" s="1"/>
  <c r="G325" i="4" s="1"/>
  <c r="H325" i="4" s="1"/>
  <c r="F163" i="4"/>
  <c r="G163" i="4" s="1"/>
  <c r="H163" i="4" s="1"/>
  <c r="F174" i="4"/>
  <c r="G174" i="4" s="1"/>
  <c r="H174" i="4" s="1"/>
  <c r="E143" i="4"/>
  <c r="F143" i="4" s="1"/>
  <c r="G143" i="4" s="1"/>
  <c r="H143" i="4" s="1"/>
  <c r="E239" i="4"/>
  <c r="F239" i="4" s="1"/>
  <c r="G239" i="4" s="1"/>
  <c r="H239" i="4" s="1"/>
  <c r="E305" i="4"/>
  <c r="F305" i="4" s="1"/>
  <c r="G305" i="4" s="1"/>
  <c r="H305" i="4" s="1"/>
  <c r="E324" i="4"/>
  <c r="F324" i="4" s="1"/>
  <c r="G324" i="4" s="1"/>
  <c r="H324" i="4" s="1"/>
  <c r="E130" i="4"/>
  <c r="F130" i="4" s="1"/>
  <c r="G130" i="4" s="1"/>
  <c r="H130" i="4" s="1"/>
  <c r="E320" i="4"/>
  <c r="F320" i="4" s="1"/>
  <c r="G320" i="4" s="1"/>
  <c r="H320" i="4" s="1"/>
  <c r="E319" i="4"/>
  <c r="F319" i="4" s="1"/>
  <c r="G319" i="4" s="1"/>
  <c r="H319" i="4" s="1"/>
  <c r="E131" i="4"/>
  <c r="F131" i="4" s="1"/>
  <c r="G131" i="4" s="1"/>
  <c r="H131" i="4" s="1"/>
  <c r="E153" i="4"/>
  <c r="F153" i="4" s="1"/>
  <c r="G153" i="4" s="1"/>
  <c r="H153" i="4" s="1"/>
  <c r="E144" i="4"/>
  <c r="F144" i="4" s="1"/>
  <c r="G144" i="4" s="1"/>
  <c r="H144" i="4" s="1"/>
  <c r="E155" i="4"/>
  <c r="F155" i="4" s="1"/>
  <c r="G155" i="4" s="1"/>
  <c r="H155" i="4" s="1"/>
  <c r="E145" i="4"/>
  <c r="F145" i="4" s="1"/>
  <c r="G145" i="4" s="1"/>
  <c r="H145" i="4" s="1"/>
  <c r="E154" i="4"/>
  <c r="F154" i="4" s="1"/>
  <c r="G154" i="4" s="1"/>
  <c r="H154" i="4" s="1"/>
  <c r="E142" i="4"/>
  <c r="F142" i="4" s="1"/>
  <c r="G142" i="4" s="1"/>
  <c r="H142" i="4" s="1"/>
  <c r="E152" i="4"/>
  <c r="F152" i="4" s="1"/>
  <c r="G152" i="4" s="1"/>
  <c r="H152" i="4" s="1"/>
  <c r="E140" i="4"/>
  <c r="F140" i="4" s="1"/>
  <c r="G140" i="4" s="1"/>
  <c r="H140" i="4" s="1"/>
  <c r="E148" i="4"/>
  <c r="F148" i="4" s="1"/>
  <c r="G148" i="4" s="1"/>
  <c r="H148" i="4" s="1"/>
  <c r="F164" i="4"/>
  <c r="G164" i="4" s="1"/>
  <c r="H164" i="4" s="1"/>
  <c r="E116" i="4"/>
  <c r="F116" i="4" s="1"/>
  <c r="G116" i="4" s="1"/>
  <c r="H116" i="4" s="1"/>
  <c r="E149" i="4"/>
  <c r="F149" i="4" s="1"/>
  <c r="G149" i="4" s="1"/>
  <c r="H149" i="4" s="1"/>
  <c r="E156" i="4"/>
  <c r="F156" i="4" s="1"/>
  <c r="G156" i="4" s="1"/>
  <c r="H156" i="4" s="1"/>
  <c r="AD9" i="6"/>
  <c r="E132" i="4"/>
  <c r="F132" i="4" s="1"/>
  <c r="G132" i="4" s="1"/>
  <c r="H132" i="4" s="1"/>
  <c r="E139" i="4"/>
  <c r="F139" i="4" s="1"/>
  <c r="G139" i="4" s="1"/>
  <c r="H139" i="4" s="1"/>
  <c r="E147" i="4"/>
  <c r="F147" i="4" s="1"/>
  <c r="G147" i="4" s="1"/>
  <c r="H147" i="4" s="1"/>
  <c r="E157" i="4"/>
  <c r="F157" i="4" s="1"/>
  <c r="E137" i="4"/>
  <c r="F137" i="4" s="1"/>
  <c r="G137" i="4" s="1"/>
  <c r="H137" i="4" s="1"/>
  <c r="E124" i="4"/>
  <c r="F124" i="4" s="1"/>
  <c r="G124" i="4" s="1"/>
  <c r="H124" i="4" s="1"/>
  <c r="E146" i="4"/>
  <c r="F146" i="4" s="1"/>
  <c r="G146" i="4" s="1"/>
  <c r="H146" i="4" s="1"/>
  <c r="E138" i="4"/>
  <c r="F138" i="4" s="1"/>
  <c r="G138" i="4" s="1"/>
  <c r="H138" i="4" s="1"/>
  <c r="E141" i="4"/>
  <c r="F141" i="4" s="1"/>
  <c r="G141" i="4" s="1"/>
  <c r="H141" i="4" s="1"/>
  <c r="U9" i="6"/>
  <c r="U14" i="6" s="1"/>
  <c r="E118" i="4"/>
  <c r="F118" i="4" s="1"/>
  <c r="G118" i="4" s="1"/>
  <c r="H118" i="4" s="1"/>
  <c r="E114" i="4"/>
  <c r="F114" i="4" s="1"/>
  <c r="G114" i="4" s="1"/>
  <c r="H114" i="4" s="1"/>
  <c r="E121" i="4"/>
  <c r="F121" i="4" s="1"/>
  <c r="G121" i="4" s="1"/>
  <c r="H121" i="4" s="1"/>
  <c r="E119" i="4"/>
  <c r="F119" i="4" s="1"/>
  <c r="G119" i="4" s="1"/>
  <c r="H119" i="4" s="1"/>
  <c r="E125" i="4"/>
  <c r="F125" i="4" s="1"/>
  <c r="G125" i="4" s="1"/>
  <c r="H125" i="4" s="1"/>
  <c r="E127" i="4"/>
  <c r="F127" i="4" s="1"/>
  <c r="G127" i="4" s="1"/>
  <c r="H127" i="4" s="1"/>
  <c r="E122" i="4"/>
  <c r="F122" i="4" s="1"/>
  <c r="G122" i="4" s="1"/>
  <c r="H122" i="4" s="1"/>
  <c r="E129" i="4"/>
  <c r="F129" i="4" s="1"/>
  <c r="G129" i="4" s="1"/>
  <c r="H129" i="4" s="1"/>
  <c r="E113" i="4"/>
  <c r="F113" i="4" s="1"/>
  <c r="G113" i="4" s="1"/>
  <c r="H113" i="4" s="1"/>
  <c r="E312" i="4"/>
  <c r="F312" i="4" s="1"/>
  <c r="G312" i="4" s="1"/>
  <c r="H312" i="4" s="1"/>
  <c r="E306" i="4"/>
  <c r="F306" i="4" s="1"/>
  <c r="G306" i="4" s="1"/>
  <c r="H306" i="4" s="1"/>
  <c r="E316" i="4"/>
  <c r="F316" i="4" s="1"/>
  <c r="G316" i="4" s="1"/>
  <c r="H316" i="4" s="1"/>
  <c r="E126" i="4"/>
  <c r="F126" i="4" s="1"/>
  <c r="G126" i="4" s="1"/>
  <c r="H126" i="4" s="1"/>
  <c r="E115" i="4"/>
  <c r="F115" i="4" s="1"/>
  <c r="G115" i="4" s="1"/>
  <c r="H115" i="4" s="1"/>
  <c r="U10" i="6"/>
  <c r="E315" i="4"/>
  <c r="F315" i="4" s="1"/>
  <c r="G315" i="4" s="1"/>
  <c r="H315" i="4" s="1"/>
  <c r="E322" i="4"/>
  <c r="F322" i="4" s="1"/>
  <c r="G322" i="4" s="1"/>
  <c r="H322" i="4" s="1"/>
  <c r="E318" i="4"/>
  <c r="F318" i="4" s="1"/>
  <c r="G318" i="4" s="1"/>
  <c r="H318" i="4" s="1"/>
  <c r="F180" i="4"/>
  <c r="G180" i="4" s="1"/>
  <c r="H180" i="4" s="1"/>
  <c r="F175" i="4"/>
  <c r="G175" i="4" s="1"/>
  <c r="H175" i="4" s="1"/>
  <c r="E123" i="4"/>
  <c r="F123" i="4" s="1"/>
  <c r="G123" i="4" s="1"/>
  <c r="H123" i="4" s="1"/>
  <c r="E133" i="4"/>
  <c r="F133" i="4" s="1"/>
  <c r="I133" i="4" s="1"/>
  <c r="E117" i="4"/>
  <c r="F117" i="4" s="1"/>
  <c r="G117" i="4" s="1"/>
  <c r="H117" i="4" s="1"/>
  <c r="E128" i="4"/>
  <c r="F128" i="4" s="1"/>
  <c r="G128" i="4" s="1"/>
  <c r="H128" i="4" s="1"/>
  <c r="E120" i="4"/>
  <c r="F120" i="4" s="1"/>
  <c r="G120" i="4" s="1"/>
  <c r="H120" i="4" s="1"/>
  <c r="R9" i="6"/>
  <c r="R22" i="6" s="1"/>
  <c r="F311" i="4"/>
  <c r="G311" i="4" s="1"/>
  <c r="H311" i="4" s="1"/>
  <c r="F27" i="3"/>
  <c r="J18" i="8" s="1" a="1"/>
  <c r="J18" i="8" s="1"/>
  <c r="H27" i="3"/>
  <c r="E191" i="5"/>
  <c r="F191" i="5" s="1"/>
  <c r="G191" i="5" s="1"/>
  <c r="H191" i="5" s="1"/>
  <c r="I27" i="3"/>
  <c r="K18" i="8" s="1" a="1"/>
  <c r="K18" i="8" s="1"/>
  <c r="M9" i="6"/>
  <c r="E199" i="4"/>
  <c r="F199" i="4" s="1"/>
  <c r="G199" i="4" s="1"/>
  <c r="H199" i="4" s="1"/>
  <c r="E188" i="5"/>
  <c r="F188" i="5" s="1"/>
  <c r="G188" i="5" s="1"/>
  <c r="H188" i="5" s="1"/>
  <c r="F309" i="4"/>
  <c r="G309" i="4" s="1"/>
  <c r="H309" i="4" s="1"/>
  <c r="E192" i="4"/>
  <c r="F192" i="4" s="1"/>
  <c r="G192" i="4" s="1"/>
  <c r="H192" i="4" s="1"/>
  <c r="O10" i="6"/>
  <c r="E196" i="4"/>
  <c r="F196" i="4" s="1"/>
  <c r="G196" i="4" s="1"/>
  <c r="H196" i="4" s="1"/>
  <c r="AH9" i="6"/>
  <c r="E200" i="4"/>
  <c r="F200" i="4" s="1"/>
  <c r="G200" i="4" s="1"/>
  <c r="H200" i="4" s="1"/>
  <c r="E201" i="4"/>
  <c r="F201" i="4" s="1"/>
  <c r="G201" i="4" s="1"/>
  <c r="H201" i="4" s="1"/>
  <c r="E195" i="4"/>
  <c r="F195" i="4" s="1"/>
  <c r="G195" i="4" s="1"/>
  <c r="H195" i="4" s="1"/>
  <c r="E194" i="4"/>
  <c r="F194" i="4" s="1"/>
  <c r="G194" i="4" s="1"/>
  <c r="H194" i="4" s="1"/>
  <c r="E185" i="4"/>
  <c r="F185" i="4" s="1"/>
  <c r="G185" i="4" s="1"/>
  <c r="H185" i="4" s="1"/>
  <c r="E202" i="4"/>
  <c r="F202" i="4" s="1"/>
  <c r="G202" i="4" s="1"/>
  <c r="H202" i="4" s="1"/>
  <c r="E203" i="4"/>
  <c r="F203" i="4" s="1"/>
  <c r="G203" i="4" s="1"/>
  <c r="H203" i="4" s="1"/>
  <c r="E205" i="4"/>
  <c r="F205" i="4" s="1"/>
  <c r="I205" i="4" s="1"/>
  <c r="E198" i="4"/>
  <c r="F198" i="4" s="1"/>
  <c r="G198" i="4" s="1"/>
  <c r="H198" i="4" s="1"/>
  <c r="E187" i="4"/>
  <c r="F187" i="4" s="1"/>
  <c r="G187" i="4" s="1"/>
  <c r="H187" i="4" s="1"/>
  <c r="AP9" i="6"/>
  <c r="AP16" i="6" s="1"/>
  <c r="E191" i="4"/>
  <c r="F191" i="4" s="1"/>
  <c r="G191" i="4" s="1"/>
  <c r="H191" i="4" s="1"/>
  <c r="E193" i="4"/>
  <c r="F193" i="4" s="1"/>
  <c r="G193" i="4" s="1"/>
  <c r="H193" i="4" s="1"/>
  <c r="E204" i="4"/>
  <c r="F204" i="4" s="1"/>
  <c r="G204" i="4" s="1"/>
  <c r="H204" i="4" s="1"/>
  <c r="E189" i="4"/>
  <c r="F189" i="4" s="1"/>
  <c r="G189" i="4" s="1"/>
  <c r="H189" i="4" s="1"/>
  <c r="E197" i="4"/>
  <c r="F197" i="4" s="1"/>
  <c r="G197" i="4" s="1"/>
  <c r="H197" i="4" s="1"/>
  <c r="E186" i="4"/>
  <c r="F186" i="4" s="1"/>
  <c r="G186" i="4" s="1"/>
  <c r="H186" i="4" s="1"/>
  <c r="E188" i="4"/>
  <c r="F188" i="4" s="1"/>
  <c r="G188" i="4" s="1"/>
  <c r="H188" i="4" s="1"/>
  <c r="E190" i="4"/>
  <c r="F190" i="4" s="1"/>
  <c r="G190" i="4" s="1"/>
  <c r="H190" i="4" s="1"/>
  <c r="AP10" i="6"/>
  <c r="AA9" i="6"/>
  <c r="AA33" i="6" s="1"/>
  <c r="I10" i="6"/>
  <c r="E73" i="5"/>
  <c r="F73" i="5" s="1"/>
  <c r="G73" i="5" s="1"/>
  <c r="H73" i="5" s="1"/>
  <c r="L10" i="6"/>
  <c r="AE10" i="6"/>
  <c r="AB10" i="6"/>
  <c r="E196" i="5"/>
  <c r="F196" i="5" s="1"/>
  <c r="G196" i="5" s="1"/>
  <c r="H196" i="5" s="1"/>
  <c r="J9" i="6"/>
  <c r="J28" i="6" s="1"/>
  <c r="E245" i="4"/>
  <c r="F245" i="4" s="1"/>
  <c r="G245" i="4" s="1"/>
  <c r="H245" i="4" s="1"/>
  <c r="AG9" i="6"/>
  <c r="AG24" i="6" s="1"/>
  <c r="AM10" i="6"/>
  <c r="P10" i="6"/>
  <c r="J10" i="6"/>
  <c r="AM9" i="6"/>
  <c r="M10" i="6"/>
  <c r="AK9" i="6"/>
  <c r="V9" i="6"/>
  <c r="V26" i="6" s="1"/>
  <c r="I34" i="3"/>
  <c r="K25" i="8" s="1" a="1"/>
  <c r="K25" i="8" s="1"/>
  <c r="I30" i="3"/>
  <c r="K21" i="8" s="1" a="1"/>
  <c r="K21" i="8" s="1"/>
  <c r="H29" i="3"/>
  <c r="H34" i="3"/>
  <c r="F30" i="3"/>
  <c r="J21" i="8" s="1" a="1"/>
  <c r="J21" i="8" s="1"/>
  <c r="I29" i="3"/>
  <c r="K20" i="8" s="1" a="1"/>
  <c r="K20" i="8" s="1"/>
  <c r="F31" i="3"/>
  <c r="J22" i="8" s="1" a="1"/>
  <c r="J22" i="8" s="1"/>
  <c r="F33" i="3"/>
  <c r="J24" i="8" s="1" a="1"/>
  <c r="J24" i="8" s="1"/>
  <c r="E34" i="3"/>
  <c r="E273" i="3" s="1"/>
  <c r="H30" i="3"/>
  <c r="E29" i="3"/>
  <c r="T8" i="6" s="1"/>
  <c r="H31" i="3"/>
  <c r="H33" i="3"/>
  <c r="E26" i="3"/>
  <c r="K8" i="6" s="1"/>
  <c r="E36" i="3"/>
  <c r="AO8" i="6" s="1"/>
  <c r="F25" i="3"/>
  <c r="J16" i="8" s="1" a="1"/>
  <c r="J16" i="8" s="1"/>
  <c r="F28" i="3"/>
  <c r="J19" i="8" s="1" a="1"/>
  <c r="J19" i="8" s="1"/>
  <c r="I31" i="3"/>
  <c r="K22" i="8" s="1" a="1"/>
  <c r="K22" i="8" s="1"/>
  <c r="I33" i="3"/>
  <c r="K24" i="8" s="1" a="1"/>
  <c r="K24" i="8" s="1"/>
  <c r="H32" i="3"/>
  <c r="I26" i="3"/>
  <c r="K17" i="8" s="1" a="1"/>
  <c r="K17" i="8" s="1"/>
  <c r="F36" i="3"/>
  <c r="J27" i="8" s="1" a="1"/>
  <c r="J27" i="8" s="1"/>
  <c r="H25" i="3"/>
  <c r="H28" i="3"/>
  <c r="E32" i="3"/>
  <c r="AC8" i="6" s="1"/>
  <c r="F26" i="3"/>
  <c r="J17" i="8" s="1" a="1"/>
  <c r="J17" i="8" s="1"/>
  <c r="H36" i="3"/>
  <c r="I25" i="3"/>
  <c r="K16" i="8" s="1" a="1"/>
  <c r="K16" i="8" s="1"/>
  <c r="E28" i="3"/>
  <c r="Q8" i="6" s="1"/>
  <c r="O9" i="6"/>
  <c r="F32" i="3"/>
  <c r="J23" i="8" s="1" a="1"/>
  <c r="J23" i="8" s="1"/>
  <c r="AB9" i="6"/>
  <c r="E200" i="5"/>
  <c r="F200" i="5" s="1"/>
  <c r="G200" i="5" s="1"/>
  <c r="H200" i="5" s="1"/>
  <c r="E205" i="5"/>
  <c r="F205" i="5" s="1"/>
  <c r="E201" i="5"/>
  <c r="F201" i="5" s="1"/>
  <c r="G201" i="5" s="1"/>
  <c r="H201" i="5" s="1"/>
  <c r="E193" i="5"/>
  <c r="F193" i="5" s="1"/>
  <c r="G193" i="5" s="1"/>
  <c r="H193" i="5" s="1"/>
  <c r="AB8" i="6"/>
  <c r="E70" i="5"/>
  <c r="F70" i="5" s="1"/>
  <c r="G70" i="5" s="1"/>
  <c r="H70" i="5" s="1"/>
  <c r="E72" i="4"/>
  <c r="F72" i="4" s="1"/>
  <c r="G72" i="4" s="1"/>
  <c r="H72" i="4" s="1"/>
  <c r="E225" i="5"/>
  <c r="F225" i="5" s="1"/>
  <c r="G225" i="5" s="1"/>
  <c r="H225" i="5" s="1"/>
  <c r="M8" i="6"/>
  <c r="E83" i="5"/>
  <c r="F83" i="5" s="1"/>
  <c r="G83" i="5" s="1"/>
  <c r="H83" i="5" s="1"/>
  <c r="E211" i="5"/>
  <c r="F211" i="5" s="1"/>
  <c r="G211" i="5" s="1"/>
  <c r="H211" i="5" s="1"/>
  <c r="E68" i="4"/>
  <c r="F68" i="4" s="1"/>
  <c r="G68" i="4" s="1"/>
  <c r="H68" i="4" s="1"/>
  <c r="E74" i="5"/>
  <c r="F74" i="5" s="1"/>
  <c r="G74" i="5" s="1"/>
  <c r="H74" i="5" s="1"/>
  <c r="E69" i="4"/>
  <c r="F69" i="4" s="1"/>
  <c r="G69" i="4" s="1"/>
  <c r="H69" i="4" s="1"/>
  <c r="E59" i="5"/>
  <c r="F59" i="5" s="1"/>
  <c r="G59" i="5" s="1"/>
  <c r="H59" i="5" s="1"/>
  <c r="E291" i="4"/>
  <c r="F291" i="4" s="1"/>
  <c r="G291" i="4" s="1"/>
  <c r="H291" i="4" s="1"/>
  <c r="E224" i="5"/>
  <c r="F224" i="5" s="1"/>
  <c r="G224" i="5" s="1"/>
  <c r="H224" i="5" s="1"/>
  <c r="E213" i="5"/>
  <c r="F213" i="5" s="1"/>
  <c r="G213" i="5" s="1"/>
  <c r="H213" i="5" s="1"/>
  <c r="E67" i="5"/>
  <c r="F67" i="5" s="1"/>
  <c r="G67" i="5" s="1"/>
  <c r="H67" i="5" s="1"/>
  <c r="AH10" i="6"/>
  <c r="E77" i="4"/>
  <c r="F77" i="4" s="1"/>
  <c r="G77" i="4" s="1"/>
  <c r="H77" i="4" s="1"/>
  <c r="E82" i="4"/>
  <c r="F82" i="4" s="1"/>
  <c r="G82" i="4" s="1"/>
  <c r="H82" i="4" s="1"/>
  <c r="E221" i="5"/>
  <c r="F221" i="5" s="1"/>
  <c r="G221" i="5" s="1"/>
  <c r="H221" i="5" s="1"/>
  <c r="E83" i="4"/>
  <c r="F83" i="4" s="1"/>
  <c r="G83" i="4" s="1"/>
  <c r="H83" i="4" s="1"/>
  <c r="E80" i="4"/>
  <c r="F80" i="4" s="1"/>
  <c r="G80" i="4" s="1"/>
  <c r="H80" i="4" s="1"/>
  <c r="E186" i="5"/>
  <c r="F186" i="5" s="1"/>
  <c r="G186" i="5" s="1"/>
  <c r="H186" i="5" s="1"/>
  <c r="E187" i="5"/>
  <c r="F187" i="5" s="1"/>
  <c r="G187" i="5" s="1"/>
  <c r="H187" i="5" s="1"/>
  <c r="E75" i="5"/>
  <c r="F75" i="5" s="1"/>
  <c r="G75" i="5" s="1"/>
  <c r="H75" i="5" s="1"/>
  <c r="E219" i="5"/>
  <c r="F219" i="5" s="1"/>
  <c r="G219" i="5" s="1"/>
  <c r="H219" i="5" s="1"/>
  <c r="E81" i="4"/>
  <c r="F81" i="4" s="1"/>
  <c r="G81" i="4" s="1"/>
  <c r="H81" i="4" s="1"/>
  <c r="E75" i="4"/>
  <c r="F75" i="4" s="1"/>
  <c r="G75" i="4" s="1"/>
  <c r="H75" i="4" s="1"/>
  <c r="E76" i="4"/>
  <c r="F76" i="4" s="1"/>
  <c r="G76" i="4" s="1"/>
  <c r="H76" i="4" s="1"/>
  <c r="E85" i="5"/>
  <c r="F85" i="5" s="1"/>
  <c r="E217" i="5"/>
  <c r="F217" i="5" s="1"/>
  <c r="G217" i="5" s="1"/>
  <c r="H217" i="5" s="1"/>
  <c r="E84" i="4"/>
  <c r="F84" i="4" s="1"/>
  <c r="G84" i="4" s="1"/>
  <c r="H84" i="4" s="1"/>
  <c r="E67" i="4"/>
  <c r="F67" i="4" s="1"/>
  <c r="G67" i="4" s="1"/>
  <c r="H67" i="4" s="1"/>
  <c r="E194" i="5"/>
  <c r="F194" i="5" s="1"/>
  <c r="G194" i="5" s="1"/>
  <c r="H194" i="5" s="1"/>
  <c r="E189" i="5"/>
  <c r="F189" i="5" s="1"/>
  <c r="G189" i="5" s="1"/>
  <c r="H189" i="5" s="1"/>
  <c r="E82" i="5"/>
  <c r="F82" i="5" s="1"/>
  <c r="G82" i="5" s="1"/>
  <c r="H82" i="5" s="1"/>
  <c r="E77" i="5"/>
  <c r="F77" i="5" s="1"/>
  <c r="G77" i="5" s="1"/>
  <c r="H77" i="5" s="1"/>
  <c r="E220" i="5"/>
  <c r="F220" i="5" s="1"/>
  <c r="G220" i="5" s="1"/>
  <c r="H220" i="5" s="1"/>
  <c r="E223" i="5"/>
  <c r="F223" i="5" s="1"/>
  <c r="G223" i="5" s="1"/>
  <c r="H223" i="5" s="1"/>
  <c r="E78" i="4"/>
  <c r="F78" i="4" s="1"/>
  <c r="G78" i="4" s="1"/>
  <c r="H78" i="4" s="1"/>
  <c r="E73" i="4"/>
  <c r="F73" i="4" s="1"/>
  <c r="G73" i="4" s="1"/>
  <c r="H73" i="4" s="1"/>
  <c r="E74" i="4"/>
  <c r="F74" i="4" s="1"/>
  <c r="G74" i="4" s="1"/>
  <c r="H74" i="4" s="1"/>
  <c r="E198" i="5"/>
  <c r="F198" i="5" s="1"/>
  <c r="G198" i="5" s="1"/>
  <c r="H198" i="5" s="1"/>
  <c r="E197" i="5"/>
  <c r="F197" i="5" s="1"/>
  <c r="G197" i="5" s="1"/>
  <c r="H197" i="5" s="1"/>
  <c r="E66" i="5"/>
  <c r="F66" i="5" s="1"/>
  <c r="G66" i="5" s="1"/>
  <c r="H66" i="5" s="1"/>
  <c r="E80" i="5"/>
  <c r="F80" i="5" s="1"/>
  <c r="G80" i="5" s="1"/>
  <c r="H80" i="5" s="1"/>
  <c r="E227" i="5"/>
  <c r="F227" i="5" s="1"/>
  <c r="G227" i="5" s="1"/>
  <c r="H227" i="5" s="1"/>
  <c r="L9" i="6"/>
  <c r="L23" i="6" s="1"/>
  <c r="E60" i="5"/>
  <c r="F60" i="5" s="1"/>
  <c r="G60" i="5" s="1"/>
  <c r="H60" i="5" s="1"/>
  <c r="E47" i="5"/>
  <c r="F47" i="5" s="1"/>
  <c r="G47" i="5" s="1"/>
  <c r="H47" i="5" s="1"/>
  <c r="E49" i="5"/>
  <c r="F49" i="5" s="1"/>
  <c r="G49" i="5" s="1"/>
  <c r="H49" i="5" s="1"/>
  <c r="E81" i="5"/>
  <c r="F81" i="5" s="1"/>
  <c r="G81" i="5" s="1"/>
  <c r="H81" i="5" s="1"/>
  <c r="E140" i="5"/>
  <c r="F140" i="5" s="1"/>
  <c r="G140" i="5" s="1"/>
  <c r="H140" i="5" s="1"/>
  <c r="E153" i="5"/>
  <c r="F153" i="5" s="1"/>
  <c r="G153" i="5" s="1"/>
  <c r="H153" i="5" s="1"/>
  <c r="E155" i="5"/>
  <c r="F155" i="5" s="1"/>
  <c r="G155" i="5" s="1"/>
  <c r="H155" i="5" s="1"/>
  <c r="E137" i="5"/>
  <c r="F137" i="5" s="1"/>
  <c r="G137" i="5" s="1"/>
  <c r="H137" i="5" s="1"/>
  <c r="E285" i="4"/>
  <c r="F285" i="4" s="1"/>
  <c r="G285" i="4" s="1"/>
  <c r="H285" i="4" s="1"/>
  <c r="E150" i="5"/>
  <c r="F150" i="5" s="1"/>
  <c r="G150" i="5" s="1"/>
  <c r="H150" i="5" s="1"/>
  <c r="E282" i="4"/>
  <c r="F282" i="4" s="1"/>
  <c r="G282" i="4" s="1"/>
  <c r="H282" i="4" s="1"/>
  <c r="E290" i="4"/>
  <c r="F290" i="4" s="1"/>
  <c r="G290" i="4" s="1"/>
  <c r="H290" i="4" s="1"/>
  <c r="E300" i="4"/>
  <c r="F300" i="4" s="1"/>
  <c r="G300" i="4" s="1"/>
  <c r="H300" i="4" s="1"/>
  <c r="E139" i="5"/>
  <c r="F139" i="5" s="1"/>
  <c r="G139" i="5" s="1"/>
  <c r="H139" i="5" s="1"/>
  <c r="E149" i="5"/>
  <c r="F149" i="5" s="1"/>
  <c r="G149" i="5" s="1"/>
  <c r="H149" i="5" s="1"/>
  <c r="E287" i="4"/>
  <c r="F287" i="4" s="1"/>
  <c r="G287" i="4" s="1"/>
  <c r="H287" i="4" s="1"/>
  <c r="E145" i="5"/>
  <c r="F145" i="5" s="1"/>
  <c r="G145" i="5" s="1"/>
  <c r="H145" i="5" s="1"/>
  <c r="E148" i="5"/>
  <c r="F148" i="5" s="1"/>
  <c r="G148" i="5" s="1"/>
  <c r="H148" i="5" s="1"/>
  <c r="E143" i="5"/>
  <c r="F143" i="5" s="1"/>
  <c r="G143" i="5" s="1"/>
  <c r="H143" i="5" s="1"/>
  <c r="E157" i="5"/>
  <c r="F157" i="5" s="1"/>
  <c r="E156" i="5"/>
  <c r="F156" i="5" s="1"/>
  <c r="G156" i="5" s="1"/>
  <c r="H156" i="5" s="1"/>
  <c r="E141" i="5"/>
  <c r="F141" i="5" s="1"/>
  <c r="G141" i="5" s="1"/>
  <c r="H141" i="5" s="1"/>
  <c r="E138" i="5"/>
  <c r="F138" i="5" s="1"/>
  <c r="G138" i="5" s="1"/>
  <c r="H138" i="5" s="1"/>
  <c r="E284" i="4"/>
  <c r="F284" i="4" s="1"/>
  <c r="G284" i="4" s="1"/>
  <c r="H284" i="4" s="1"/>
  <c r="E228" i="5"/>
  <c r="F228" i="5" s="1"/>
  <c r="G228" i="5" s="1"/>
  <c r="H228" i="5" s="1"/>
  <c r="E296" i="4"/>
  <c r="F296" i="4" s="1"/>
  <c r="G296" i="4" s="1"/>
  <c r="H296" i="4" s="1"/>
  <c r="E199" i="5"/>
  <c r="F199" i="5" s="1"/>
  <c r="G199" i="5" s="1"/>
  <c r="H199" i="5" s="1"/>
  <c r="E185" i="5"/>
  <c r="F185" i="5" s="1"/>
  <c r="G185" i="5" s="1"/>
  <c r="H185" i="5" s="1"/>
  <c r="E192" i="5"/>
  <c r="F192" i="5" s="1"/>
  <c r="G192" i="5" s="1"/>
  <c r="H192" i="5" s="1"/>
  <c r="E78" i="5"/>
  <c r="F78" i="5" s="1"/>
  <c r="G78" i="5" s="1"/>
  <c r="H78" i="5" s="1"/>
  <c r="E69" i="5"/>
  <c r="F69" i="5" s="1"/>
  <c r="G69" i="5" s="1"/>
  <c r="H69" i="5" s="1"/>
  <c r="E299" i="4"/>
  <c r="F299" i="4" s="1"/>
  <c r="G299" i="4" s="1"/>
  <c r="H299" i="4" s="1"/>
  <c r="E295" i="4"/>
  <c r="F295" i="4" s="1"/>
  <c r="G295" i="4" s="1"/>
  <c r="H295" i="4" s="1"/>
  <c r="E209" i="5"/>
  <c r="F209" i="5" s="1"/>
  <c r="G209" i="5" s="1"/>
  <c r="H209" i="5" s="1"/>
  <c r="E229" i="5"/>
  <c r="F229" i="5" s="1"/>
  <c r="E293" i="4"/>
  <c r="F293" i="4" s="1"/>
  <c r="G293" i="4" s="1"/>
  <c r="H293" i="4" s="1"/>
  <c r="E202" i="5"/>
  <c r="F202" i="5" s="1"/>
  <c r="G202" i="5" s="1"/>
  <c r="H202" i="5" s="1"/>
  <c r="E204" i="5"/>
  <c r="F204" i="5" s="1"/>
  <c r="G204" i="5" s="1"/>
  <c r="H204" i="5" s="1"/>
  <c r="E195" i="5"/>
  <c r="F195" i="5" s="1"/>
  <c r="G195" i="5" s="1"/>
  <c r="H195" i="5" s="1"/>
  <c r="E68" i="5"/>
  <c r="F68" i="5" s="1"/>
  <c r="G68" i="5" s="1"/>
  <c r="H68" i="5" s="1"/>
  <c r="E72" i="5"/>
  <c r="F72" i="5" s="1"/>
  <c r="G72" i="5" s="1"/>
  <c r="H72" i="5" s="1"/>
  <c r="E294" i="4"/>
  <c r="F294" i="4" s="1"/>
  <c r="G294" i="4" s="1"/>
  <c r="H294" i="4" s="1"/>
  <c r="E298" i="4"/>
  <c r="F298" i="4" s="1"/>
  <c r="G298" i="4" s="1"/>
  <c r="H298" i="4" s="1"/>
  <c r="E215" i="5"/>
  <c r="F215" i="5" s="1"/>
  <c r="G215" i="5" s="1"/>
  <c r="H215" i="5" s="1"/>
  <c r="E214" i="5"/>
  <c r="F214" i="5" s="1"/>
  <c r="G214" i="5" s="1"/>
  <c r="H214" i="5" s="1"/>
  <c r="E216" i="5"/>
  <c r="F216" i="5" s="1"/>
  <c r="G216" i="5" s="1"/>
  <c r="H216" i="5" s="1"/>
  <c r="E71" i="5"/>
  <c r="F71" i="5" s="1"/>
  <c r="G71" i="5" s="1"/>
  <c r="H71" i="5" s="1"/>
  <c r="E76" i="5"/>
  <c r="F76" i="5" s="1"/>
  <c r="G76" i="5" s="1"/>
  <c r="H76" i="5" s="1"/>
  <c r="E65" i="5"/>
  <c r="F65" i="5" s="1"/>
  <c r="G65" i="5" s="1"/>
  <c r="H65" i="5" s="1"/>
  <c r="E288" i="4"/>
  <c r="F288" i="4" s="1"/>
  <c r="G288" i="4" s="1"/>
  <c r="H288" i="4" s="1"/>
  <c r="E281" i="4"/>
  <c r="F281" i="4" s="1"/>
  <c r="G281" i="4" s="1"/>
  <c r="H281" i="4" s="1"/>
  <c r="AM8" i="6"/>
  <c r="E218" i="5"/>
  <c r="F218" i="5" s="1"/>
  <c r="G218" i="5" s="1"/>
  <c r="H218" i="5" s="1"/>
  <c r="E210" i="5"/>
  <c r="F210" i="5" s="1"/>
  <c r="G210" i="5" s="1"/>
  <c r="H210" i="5" s="1"/>
  <c r="E226" i="5"/>
  <c r="F226" i="5" s="1"/>
  <c r="G226" i="5" s="1"/>
  <c r="H226" i="5" s="1"/>
  <c r="E70" i="4"/>
  <c r="F70" i="4" s="1"/>
  <c r="G70" i="4" s="1"/>
  <c r="H70" i="4" s="1"/>
  <c r="E190" i="5"/>
  <c r="F190" i="5" s="1"/>
  <c r="G190" i="5" s="1"/>
  <c r="H190" i="5" s="1"/>
  <c r="E203" i="5"/>
  <c r="F203" i="5" s="1"/>
  <c r="G203" i="5" s="1"/>
  <c r="H203" i="5" s="1"/>
  <c r="E79" i="5"/>
  <c r="F79" i="5" s="1"/>
  <c r="G79" i="5" s="1"/>
  <c r="H79" i="5" s="1"/>
  <c r="E84" i="5"/>
  <c r="F84" i="5" s="1"/>
  <c r="G84" i="5" s="1"/>
  <c r="H84" i="5" s="1"/>
  <c r="E297" i="4"/>
  <c r="F297" i="4" s="1"/>
  <c r="G297" i="4" s="1"/>
  <c r="H297" i="4" s="1"/>
  <c r="E212" i="5"/>
  <c r="F212" i="5" s="1"/>
  <c r="G212" i="5" s="1"/>
  <c r="H212" i="5" s="1"/>
  <c r="E222" i="5"/>
  <c r="F222" i="5" s="1"/>
  <c r="G222" i="5" s="1"/>
  <c r="H222" i="5" s="1"/>
  <c r="E151" i="5"/>
  <c r="F151" i="5" s="1"/>
  <c r="G151" i="5" s="1"/>
  <c r="H151" i="5" s="1"/>
  <c r="E142" i="5"/>
  <c r="F142" i="5" s="1"/>
  <c r="G142" i="5" s="1"/>
  <c r="H142" i="5" s="1"/>
  <c r="E243" i="4"/>
  <c r="F243" i="4" s="1"/>
  <c r="G243" i="4" s="1"/>
  <c r="H243" i="4" s="1"/>
  <c r="E234" i="4"/>
  <c r="F234" i="4" s="1"/>
  <c r="G234" i="4" s="1"/>
  <c r="H234" i="4" s="1"/>
  <c r="E166" i="5"/>
  <c r="F166" i="5" s="1"/>
  <c r="G166" i="5" s="1"/>
  <c r="H166" i="5" s="1"/>
  <c r="E247" i="4"/>
  <c r="F247" i="4" s="1"/>
  <c r="G247" i="4" s="1"/>
  <c r="H247" i="4" s="1"/>
  <c r="E241" i="4"/>
  <c r="F241" i="4" s="1"/>
  <c r="G241" i="4" s="1"/>
  <c r="H241" i="4" s="1"/>
  <c r="E44" i="5"/>
  <c r="F44" i="5" s="1"/>
  <c r="G44" i="5" s="1"/>
  <c r="H44" i="5" s="1"/>
  <c r="E246" i="4"/>
  <c r="F246" i="4" s="1"/>
  <c r="G246" i="4" s="1"/>
  <c r="H246" i="4" s="1"/>
  <c r="E249" i="4"/>
  <c r="F249" i="4" s="1"/>
  <c r="G249" i="4" s="1"/>
  <c r="H249" i="4" s="1"/>
  <c r="E46" i="5"/>
  <c r="F46" i="5" s="1"/>
  <c r="G46" i="5" s="1"/>
  <c r="H46" i="5" s="1"/>
  <c r="E147" i="5"/>
  <c r="F147" i="5" s="1"/>
  <c r="G147" i="5" s="1"/>
  <c r="H147" i="5" s="1"/>
  <c r="E152" i="5"/>
  <c r="F152" i="5" s="1"/>
  <c r="G152" i="5" s="1"/>
  <c r="H152" i="5" s="1"/>
  <c r="E144" i="5"/>
  <c r="F144" i="5" s="1"/>
  <c r="G144" i="5" s="1"/>
  <c r="H144" i="5" s="1"/>
  <c r="E180" i="5"/>
  <c r="F180" i="5" s="1"/>
  <c r="G180" i="5" s="1"/>
  <c r="H180" i="5" s="1"/>
  <c r="E65" i="4"/>
  <c r="F65" i="4" s="1"/>
  <c r="G65" i="4" s="1"/>
  <c r="H65" i="4" s="1"/>
  <c r="E79" i="4"/>
  <c r="F79" i="4" s="1"/>
  <c r="G79" i="4" s="1"/>
  <c r="H79" i="4" s="1"/>
  <c r="E240" i="4"/>
  <c r="F240" i="4" s="1"/>
  <c r="G240" i="4" s="1"/>
  <c r="H240" i="4" s="1"/>
  <c r="E237" i="4"/>
  <c r="F237" i="4" s="1"/>
  <c r="G237" i="4" s="1"/>
  <c r="H237" i="4" s="1"/>
  <c r="E251" i="4"/>
  <c r="F251" i="4" s="1"/>
  <c r="G251" i="4" s="1"/>
  <c r="H251" i="4" s="1"/>
  <c r="E53" i="5"/>
  <c r="F53" i="5" s="1"/>
  <c r="G53" i="5" s="1"/>
  <c r="H53" i="5" s="1"/>
  <c r="E154" i="5"/>
  <c r="F154" i="5" s="1"/>
  <c r="G154" i="5" s="1"/>
  <c r="H154" i="5" s="1"/>
  <c r="E146" i="5"/>
  <c r="F146" i="5" s="1"/>
  <c r="G146" i="5" s="1"/>
  <c r="H146" i="5" s="1"/>
  <c r="E85" i="4"/>
  <c r="F85" i="4" s="1"/>
  <c r="E66" i="4"/>
  <c r="F66" i="4" s="1"/>
  <c r="G66" i="4" s="1"/>
  <c r="H66" i="4" s="1"/>
  <c r="E248" i="4"/>
  <c r="F248" i="4" s="1"/>
  <c r="G248" i="4" s="1"/>
  <c r="H248" i="4" s="1"/>
  <c r="E233" i="4"/>
  <c r="F233" i="4" s="1"/>
  <c r="G233" i="4" s="1"/>
  <c r="H233" i="4" s="1"/>
  <c r="E253" i="4"/>
  <c r="F253" i="4" s="1"/>
  <c r="E42" i="5"/>
  <c r="F42" i="5" s="1"/>
  <c r="G42" i="5" s="1"/>
  <c r="H42" i="5" s="1"/>
  <c r="E244" i="4"/>
  <c r="F244" i="4" s="1"/>
  <c r="G244" i="4" s="1"/>
  <c r="H244" i="4" s="1"/>
  <c r="E236" i="4"/>
  <c r="F236" i="4" s="1"/>
  <c r="G236" i="4" s="1"/>
  <c r="H236" i="4" s="1"/>
  <c r="E41" i="5"/>
  <c r="F41" i="5" s="1"/>
  <c r="G41" i="5" s="1"/>
  <c r="H41" i="5" s="1"/>
  <c r="E169" i="5"/>
  <c r="F169" i="5" s="1"/>
  <c r="G169" i="5" s="1"/>
  <c r="H169" i="5" s="1"/>
  <c r="E252" i="4"/>
  <c r="F252" i="4" s="1"/>
  <c r="G252" i="4" s="1"/>
  <c r="H252" i="4" s="1"/>
  <c r="E238" i="4"/>
  <c r="F238" i="4" s="1"/>
  <c r="G238" i="4" s="1"/>
  <c r="H238" i="4" s="1"/>
  <c r="E163" i="5"/>
  <c r="F163" i="5" s="1"/>
  <c r="G163" i="5" s="1"/>
  <c r="H163" i="5" s="1"/>
  <c r="E242" i="4"/>
  <c r="F242" i="4" s="1"/>
  <c r="G242" i="4" s="1"/>
  <c r="H242" i="4" s="1"/>
  <c r="E71" i="4"/>
  <c r="F71" i="4" s="1"/>
  <c r="G71" i="4" s="1"/>
  <c r="H71" i="4" s="1"/>
  <c r="E235" i="4"/>
  <c r="F235" i="4" s="1"/>
  <c r="G235" i="4" s="1"/>
  <c r="H235" i="4" s="1"/>
  <c r="E250" i="4"/>
  <c r="F250" i="4" s="1"/>
  <c r="G250" i="4" s="1"/>
  <c r="H250" i="4" s="1"/>
  <c r="E61" i="5"/>
  <c r="F61" i="5" s="1"/>
  <c r="G61" i="5" s="1"/>
  <c r="H61" i="5" s="1"/>
  <c r="E162" i="5"/>
  <c r="F162" i="5" s="1"/>
  <c r="G162" i="5" s="1"/>
  <c r="H162" i="5" s="1"/>
  <c r="E172" i="5"/>
  <c r="F172" i="5" s="1"/>
  <c r="G172" i="5" s="1"/>
  <c r="H172" i="5" s="1"/>
  <c r="E94" i="4"/>
  <c r="F94" i="4" s="1"/>
  <c r="G94" i="4" s="1"/>
  <c r="H94" i="4" s="1"/>
  <c r="E174" i="5"/>
  <c r="F174" i="5" s="1"/>
  <c r="G174" i="5" s="1"/>
  <c r="H174" i="5" s="1"/>
  <c r="E177" i="5"/>
  <c r="F177" i="5" s="1"/>
  <c r="G177" i="5" s="1"/>
  <c r="H177" i="5" s="1"/>
  <c r="E176" i="5"/>
  <c r="F176" i="5" s="1"/>
  <c r="G176" i="5" s="1"/>
  <c r="H176" i="5" s="1"/>
  <c r="E173" i="5"/>
  <c r="F173" i="5" s="1"/>
  <c r="G173" i="5" s="1"/>
  <c r="H173" i="5" s="1"/>
  <c r="E170" i="5"/>
  <c r="F170" i="5" s="1"/>
  <c r="G170" i="5" s="1"/>
  <c r="H170" i="5" s="1"/>
  <c r="E175" i="5"/>
  <c r="F175" i="5" s="1"/>
  <c r="G175" i="5" s="1"/>
  <c r="H175" i="5" s="1"/>
  <c r="E168" i="5"/>
  <c r="F168" i="5" s="1"/>
  <c r="G168" i="5" s="1"/>
  <c r="H168" i="5" s="1"/>
  <c r="E178" i="5"/>
  <c r="F178" i="5" s="1"/>
  <c r="G178" i="5" s="1"/>
  <c r="H178" i="5" s="1"/>
  <c r="E95" i="5"/>
  <c r="F95" i="5" s="1"/>
  <c r="G95" i="5" s="1"/>
  <c r="H95" i="5" s="1"/>
  <c r="E181" i="5"/>
  <c r="F181" i="5" s="1"/>
  <c r="E171" i="5"/>
  <c r="F171" i="5" s="1"/>
  <c r="G171" i="5" s="1"/>
  <c r="H171" i="5" s="1"/>
  <c r="E54" i="5"/>
  <c r="F54" i="5" s="1"/>
  <c r="G54" i="5" s="1"/>
  <c r="H54" i="5" s="1"/>
  <c r="E48" i="5"/>
  <c r="F48" i="5" s="1"/>
  <c r="G48" i="5" s="1"/>
  <c r="H48" i="5" s="1"/>
  <c r="E164" i="5"/>
  <c r="F164" i="5" s="1"/>
  <c r="G164" i="5" s="1"/>
  <c r="H164" i="5" s="1"/>
  <c r="E165" i="5"/>
  <c r="F165" i="5" s="1"/>
  <c r="G165" i="5" s="1"/>
  <c r="H165" i="5" s="1"/>
  <c r="E161" i="5"/>
  <c r="F161" i="5" s="1"/>
  <c r="G161" i="5" s="1"/>
  <c r="H161" i="5" s="1"/>
  <c r="E52" i="5"/>
  <c r="F52" i="5" s="1"/>
  <c r="G52" i="5" s="1"/>
  <c r="H52" i="5" s="1"/>
  <c r="E55" i="5"/>
  <c r="F55" i="5" s="1"/>
  <c r="G55" i="5" s="1"/>
  <c r="H55" i="5" s="1"/>
  <c r="E179" i="5"/>
  <c r="F179" i="5" s="1"/>
  <c r="G179" i="5" s="1"/>
  <c r="H179" i="5" s="1"/>
  <c r="E167" i="5"/>
  <c r="F167" i="5" s="1"/>
  <c r="G167" i="5" s="1"/>
  <c r="H167" i="5" s="1"/>
  <c r="E50" i="5"/>
  <c r="F50" i="5" s="1"/>
  <c r="G50" i="5" s="1"/>
  <c r="H50" i="5" s="1"/>
  <c r="E57" i="5"/>
  <c r="F57" i="5" s="1"/>
  <c r="G57" i="5" s="1"/>
  <c r="H57" i="5" s="1"/>
  <c r="E109" i="5"/>
  <c r="F109" i="5" s="1"/>
  <c r="E58" i="5"/>
  <c r="F58" i="5" s="1"/>
  <c r="G58" i="5" s="1"/>
  <c r="H58" i="5" s="1"/>
  <c r="E51" i="5"/>
  <c r="F51" i="5" s="1"/>
  <c r="G51" i="5" s="1"/>
  <c r="H51" i="5" s="1"/>
  <c r="E98" i="4"/>
  <c r="F98" i="4" s="1"/>
  <c r="G98" i="4" s="1"/>
  <c r="H98" i="4" s="1"/>
  <c r="E43" i="5"/>
  <c r="F43" i="5" s="1"/>
  <c r="G43" i="5" s="1"/>
  <c r="H43" i="5" s="1"/>
  <c r="E56" i="5"/>
  <c r="F56" i="5" s="1"/>
  <c r="G56" i="5" s="1"/>
  <c r="H56" i="5" s="1"/>
  <c r="E45" i="5"/>
  <c r="F45" i="5" s="1"/>
  <c r="G45" i="5" s="1"/>
  <c r="H45" i="5" s="1"/>
  <c r="E109" i="4"/>
  <c r="F109" i="4" s="1"/>
  <c r="G109" i="4" s="1"/>
  <c r="H109" i="4" s="1"/>
  <c r="E91" i="4"/>
  <c r="F91" i="4" s="1"/>
  <c r="G91" i="4" s="1"/>
  <c r="H91" i="4" s="1"/>
  <c r="E107" i="4"/>
  <c r="F107" i="4" s="1"/>
  <c r="G107" i="4" s="1"/>
  <c r="H107" i="4" s="1"/>
  <c r="E103" i="4"/>
  <c r="F103" i="4" s="1"/>
  <c r="G103" i="4" s="1"/>
  <c r="H103" i="4" s="1"/>
  <c r="E90" i="4"/>
  <c r="F90" i="4" s="1"/>
  <c r="G90" i="4" s="1"/>
  <c r="H90" i="4" s="1"/>
  <c r="E99" i="4"/>
  <c r="F99" i="4" s="1"/>
  <c r="G99" i="4" s="1"/>
  <c r="H99" i="4" s="1"/>
  <c r="E92" i="4"/>
  <c r="F92" i="4" s="1"/>
  <c r="G92" i="4" s="1"/>
  <c r="H92" i="4" s="1"/>
  <c r="Y9" i="6"/>
  <c r="Y22" i="6" s="1"/>
  <c r="E96" i="4"/>
  <c r="F96" i="4" s="1"/>
  <c r="G96" i="4" s="1"/>
  <c r="H96" i="4" s="1"/>
  <c r="E89" i="4"/>
  <c r="F89" i="4" s="1"/>
  <c r="G89" i="4" s="1"/>
  <c r="H89" i="4" s="1"/>
  <c r="E105" i="4"/>
  <c r="F105" i="4" s="1"/>
  <c r="G105" i="4" s="1"/>
  <c r="H105" i="4" s="1"/>
  <c r="E102" i="4"/>
  <c r="F102" i="4" s="1"/>
  <c r="G102" i="4" s="1"/>
  <c r="H102" i="4" s="1"/>
  <c r="E104" i="4"/>
  <c r="F104" i="4" s="1"/>
  <c r="G104" i="4" s="1"/>
  <c r="H104" i="4" s="1"/>
  <c r="E106" i="4"/>
  <c r="F106" i="4" s="1"/>
  <c r="G106" i="4" s="1"/>
  <c r="H106" i="4" s="1"/>
  <c r="E101" i="4"/>
  <c r="F101" i="4" s="1"/>
  <c r="G101" i="4" s="1"/>
  <c r="H101" i="4" s="1"/>
  <c r="E106" i="5"/>
  <c r="F106" i="5" s="1"/>
  <c r="G106" i="5" s="1"/>
  <c r="H106" i="5" s="1"/>
  <c r="E95" i="4"/>
  <c r="F95" i="4" s="1"/>
  <c r="G95" i="4" s="1"/>
  <c r="H95" i="4" s="1"/>
  <c r="E93" i="4"/>
  <c r="F93" i="4" s="1"/>
  <c r="G93" i="4" s="1"/>
  <c r="H93" i="4" s="1"/>
  <c r="O8" i="6"/>
  <c r="AG10" i="6"/>
  <c r="E108" i="4"/>
  <c r="F108" i="4" s="1"/>
  <c r="G108" i="4" s="1"/>
  <c r="H108" i="4" s="1"/>
  <c r="E97" i="4"/>
  <c r="F97" i="4" s="1"/>
  <c r="G97" i="4" s="1"/>
  <c r="H97" i="4" s="1"/>
  <c r="AE19" i="6"/>
  <c r="E89" i="5"/>
  <c r="F89" i="5" s="1"/>
  <c r="G89" i="5" s="1"/>
  <c r="H89" i="5" s="1"/>
  <c r="P8" i="6"/>
  <c r="P9" i="6"/>
  <c r="E92" i="5"/>
  <c r="F92" i="5" s="1"/>
  <c r="G92" i="5" s="1"/>
  <c r="H92" i="5" s="1"/>
  <c r="E103" i="5"/>
  <c r="F103" i="5" s="1"/>
  <c r="G103" i="5" s="1"/>
  <c r="H103" i="5" s="1"/>
  <c r="AQ10" i="6"/>
  <c r="E292" i="4"/>
  <c r="F292" i="4" s="1"/>
  <c r="G292" i="4" s="1"/>
  <c r="H292" i="4" s="1"/>
  <c r="E283" i="4"/>
  <c r="F283" i="4" s="1"/>
  <c r="G283" i="4" s="1"/>
  <c r="H283" i="4" s="1"/>
  <c r="E94" i="5"/>
  <c r="F94" i="5" s="1"/>
  <c r="G94" i="5" s="1"/>
  <c r="H94" i="5" s="1"/>
  <c r="E91" i="5"/>
  <c r="F91" i="5" s="1"/>
  <c r="G91" i="5" s="1"/>
  <c r="H91" i="5" s="1"/>
  <c r="E90" i="5"/>
  <c r="F90" i="5" s="1"/>
  <c r="G90" i="5" s="1"/>
  <c r="H90" i="5" s="1"/>
  <c r="E98" i="5"/>
  <c r="F98" i="5" s="1"/>
  <c r="G98" i="5" s="1"/>
  <c r="H98" i="5" s="1"/>
  <c r="E99" i="5"/>
  <c r="F99" i="5" s="1"/>
  <c r="G99" i="5" s="1"/>
  <c r="H99" i="5" s="1"/>
  <c r="E102" i="5"/>
  <c r="F102" i="5" s="1"/>
  <c r="G102" i="5" s="1"/>
  <c r="H102" i="5" s="1"/>
  <c r="E286" i="4"/>
  <c r="F286" i="4" s="1"/>
  <c r="G286" i="4" s="1"/>
  <c r="H286" i="4" s="1"/>
  <c r="E301" i="4"/>
  <c r="F301" i="4" s="1"/>
  <c r="E289" i="4"/>
  <c r="F289" i="4" s="1"/>
  <c r="G289" i="4" s="1"/>
  <c r="H289" i="4" s="1"/>
  <c r="E107" i="5"/>
  <c r="F107" i="5" s="1"/>
  <c r="G107" i="5" s="1"/>
  <c r="H107" i="5" s="1"/>
  <c r="E105" i="5"/>
  <c r="F105" i="5" s="1"/>
  <c r="G105" i="5" s="1"/>
  <c r="H105" i="5" s="1"/>
  <c r="E108" i="5"/>
  <c r="F108" i="5" s="1"/>
  <c r="G108" i="5" s="1"/>
  <c r="H108" i="5" s="1"/>
  <c r="E100" i="5"/>
  <c r="F100" i="5" s="1"/>
  <c r="G100" i="5" s="1"/>
  <c r="H100" i="5" s="1"/>
  <c r="E104" i="5"/>
  <c r="F104" i="5" s="1"/>
  <c r="G104" i="5" s="1"/>
  <c r="H104" i="5" s="1"/>
  <c r="E93" i="5"/>
  <c r="F93" i="5" s="1"/>
  <c r="G93" i="5" s="1"/>
  <c r="H93" i="5" s="1"/>
  <c r="E100" i="4"/>
  <c r="F100" i="4" s="1"/>
  <c r="G100" i="4" s="1"/>
  <c r="H100" i="4" s="1"/>
  <c r="E101" i="5"/>
  <c r="F101" i="5" s="1"/>
  <c r="G101" i="5" s="1"/>
  <c r="H101" i="5" s="1"/>
  <c r="E97" i="5"/>
  <c r="F97" i="5" s="1"/>
  <c r="G97" i="5" s="1"/>
  <c r="H97" i="5" s="1"/>
  <c r="E96" i="5"/>
  <c r="F96" i="5" s="1"/>
  <c r="G96" i="5" s="1"/>
  <c r="H96" i="5" s="1"/>
  <c r="AQ9" i="6"/>
  <c r="AQ19" i="6" s="1"/>
  <c r="AN9" i="6"/>
  <c r="AN32" i="6" s="1"/>
  <c r="AK10" i="6"/>
  <c r="S9" i="6"/>
  <c r="S27" i="6" s="1"/>
  <c r="S10" i="6"/>
  <c r="AJ9" i="6"/>
  <c r="AJ10" i="6"/>
  <c r="I9" i="6"/>
  <c r="I27" i="6" s="1"/>
  <c r="AO10" i="6"/>
  <c r="E52" i="4"/>
  <c r="F52" i="4" s="1"/>
  <c r="G52" i="4" s="1"/>
  <c r="H52" i="4" s="1"/>
  <c r="E57" i="4"/>
  <c r="F57" i="4" s="1"/>
  <c r="G57" i="4" s="1"/>
  <c r="H57" i="4" s="1"/>
  <c r="E51" i="4"/>
  <c r="F51" i="4" s="1"/>
  <c r="G51" i="4" s="1"/>
  <c r="H51" i="4" s="1"/>
  <c r="E49" i="4"/>
  <c r="F49" i="4" s="1"/>
  <c r="G49" i="4" s="1"/>
  <c r="H49" i="4" s="1"/>
  <c r="E58" i="4"/>
  <c r="F58" i="4" s="1"/>
  <c r="G58" i="4" s="1"/>
  <c r="H58" i="4" s="1"/>
  <c r="E54" i="4"/>
  <c r="F54" i="4" s="1"/>
  <c r="G54" i="4" s="1"/>
  <c r="H54" i="4" s="1"/>
  <c r="E55" i="4"/>
  <c r="F55" i="4" s="1"/>
  <c r="G55" i="4" s="1"/>
  <c r="H55" i="4" s="1"/>
  <c r="E48" i="4"/>
  <c r="F48" i="4" s="1"/>
  <c r="G48" i="4" s="1"/>
  <c r="H48" i="4" s="1"/>
  <c r="E44" i="4"/>
  <c r="F44" i="4" s="1"/>
  <c r="G44" i="4" s="1"/>
  <c r="H44" i="4" s="1"/>
  <c r="E45" i="4"/>
  <c r="F45" i="4" s="1"/>
  <c r="G45" i="4" s="1"/>
  <c r="H45" i="4" s="1"/>
  <c r="E46" i="4"/>
  <c r="F46" i="4" s="1"/>
  <c r="G46" i="4" s="1"/>
  <c r="H46" i="4" s="1"/>
  <c r="E53" i="4"/>
  <c r="F53" i="4" s="1"/>
  <c r="G53" i="4" s="1"/>
  <c r="H53" i="4" s="1"/>
  <c r="E50" i="4"/>
  <c r="F50" i="4" s="1"/>
  <c r="G50" i="4" s="1"/>
  <c r="H50" i="4" s="1"/>
  <c r="E281" i="5"/>
  <c r="F281" i="5" s="1"/>
  <c r="G281" i="5" s="1"/>
  <c r="H281" i="5" s="1"/>
  <c r="E56" i="4"/>
  <c r="F56" i="4" s="1"/>
  <c r="G56" i="4" s="1"/>
  <c r="H56" i="4" s="1"/>
  <c r="AE30" i="6"/>
  <c r="E60" i="4"/>
  <c r="F60" i="4" s="1"/>
  <c r="G60" i="4" s="1"/>
  <c r="H60" i="4" s="1"/>
  <c r="E43" i="4"/>
  <c r="F43" i="4" s="1"/>
  <c r="G43" i="4" s="1"/>
  <c r="H43" i="4" s="1"/>
  <c r="AE32" i="6"/>
  <c r="AE25" i="6"/>
  <c r="E61" i="4"/>
  <c r="F61" i="4" s="1"/>
  <c r="E47" i="4"/>
  <c r="F47" i="4" s="1"/>
  <c r="G47" i="4" s="1"/>
  <c r="H47" i="4" s="1"/>
  <c r="AE27" i="6"/>
  <c r="AE18" i="6"/>
  <c r="E295" i="5"/>
  <c r="F295" i="5" s="1"/>
  <c r="G295" i="5" s="1"/>
  <c r="H295" i="5" s="1"/>
  <c r="AE33" i="6"/>
  <c r="E298" i="5"/>
  <c r="F298" i="5" s="1"/>
  <c r="G298" i="5" s="1"/>
  <c r="H298" i="5" s="1"/>
  <c r="W8" i="6"/>
  <c r="B316" i="3"/>
  <c r="D316" i="3"/>
  <c r="D311" i="3"/>
  <c r="B311" i="3"/>
  <c r="B238" i="3"/>
  <c r="D238" i="3"/>
  <c r="B176" i="3"/>
  <c r="D176" i="3"/>
  <c r="B168" i="3"/>
  <c r="D168" i="3"/>
  <c r="B152" i="3"/>
  <c r="D152" i="3"/>
  <c r="B198" i="3"/>
  <c r="D198" i="3"/>
  <c r="B189" i="3"/>
  <c r="D189" i="3"/>
  <c r="D119" i="3"/>
  <c r="B119" i="3"/>
  <c r="B117" i="3"/>
  <c r="D117" i="3"/>
  <c r="B324" i="3"/>
  <c r="D324" i="3"/>
  <c r="D305" i="3"/>
  <c r="B305" i="3"/>
  <c r="B310" i="3"/>
  <c r="D310" i="3"/>
  <c r="B128" i="3"/>
  <c r="D128" i="3"/>
  <c r="D121" i="3"/>
  <c r="B121" i="3"/>
  <c r="D313" i="3"/>
  <c r="B313" i="3"/>
  <c r="D322" i="3"/>
  <c r="B322" i="3"/>
  <c r="B325" i="3"/>
  <c r="D325" i="3"/>
  <c r="D163" i="3"/>
  <c r="B163" i="3"/>
  <c r="B181" i="3"/>
  <c r="D181" i="3"/>
  <c r="D169" i="3"/>
  <c r="B169" i="3"/>
  <c r="B212" i="3"/>
  <c r="D212" i="3"/>
  <c r="B229" i="3"/>
  <c r="D229" i="3"/>
  <c r="B150" i="3"/>
  <c r="D150" i="3"/>
  <c r="D137" i="3"/>
  <c r="B137" i="3"/>
  <c r="D155" i="3"/>
  <c r="B155" i="3"/>
  <c r="D185" i="3"/>
  <c r="B185" i="3"/>
  <c r="D275" i="3"/>
  <c r="B275" i="3"/>
  <c r="D264" i="3"/>
  <c r="B264" i="3"/>
  <c r="D266" i="3"/>
  <c r="B266" i="3"/>
  <c r="B77" i="3"/>
  <c r="D77" i="3"/>
  <c r="B79" i="3"/>
  <c r="D79" i="3"/>
  <c r="AE22" i="6"/>
  <c r="AE29" i="6"/>
  <c r="D55" i="3"/>
  <c r="B55" i="3"/>
  <c r="B47" i="3"/>
  <c r="D47" i="3"/>
  <c r="B58" i="3"/>
  <c r="D58" i="3"/>
  <c r="E290" i="5"/>
  <c r="F290" i="5" s="1"/>
  <c r="G290" i="5" s="1"/>
  <c r="H290" i="5" s="1"/>
  <c r="E285" i="5"/>
  <c r="F285" i="5" s="1"/>
  <c r="G285" i="5" s="1"/>
  <c r="H285" i="5" s="1"/>
  <c r="E314" i="5"/>
  <c r="F314" i="5" s="1"/>
  <c r="G314" i="5" s="1"/>
  <c r="H314" i="5" s="1"/>
  <c r="E312" i="5"/>
  <c r="F312" i="5" s="1"/>
  <c r="G312" i="5" s="1"/>
  <c r="H312" i="5" s="1"/>
  <c r="E316" i="5"/>
  <c r="F316" i="5" s="1"/>
  <c r="G316" i="5" s="1"/>
  <c r="H316" i="5" s="1"/>
  <c r="E123" i="5"/>
  <c r="F123" i="5" s="1"/>
  <c r="G123" i="5" s="1"/>
  <c r="H123" i="5" s="1"/>
  <c r="E129" i="5"/>
  <c r="F129" i="5" s="1"/>
  <c r="G129" i="5" s="1"/>
  <c r="H129" i="5" s="1"/>
  <c r="D99" i="3"/>
  <c r="D97" i="3"/>
  <c r="B97" i="3"/>
  <c r="B95" i="3"/>
  <c r="D95" i="3"/>
  <c r="B173" i="3"/>
  <c r="D173" i="3"/>
  <c r="D177" i="3"/>
  <c r="B177" i="3"/>
  <c r="D250" i="3"/>
  <c r="B250" i="3"/>
  <c r="B252" i="3"/>
  <c r="D252" i="3"/>
  <c r="X33" i="6"/>
  <c r="X23" i="6"/>
  <c r="X20" i="6"/>
  <c r="X30" i="6"/>
  <c r="X32" i="6"/>
  <c r="X28" i="6"/>
  <c r="X14" i="6"/>
  <c r="X22" i="6"/>
  <c r="X16" i="6"/>
  <c r="X24" i="6"/>
  <c r="X17" i="6"/>
  <c r="X26" i="6"/>
  <c r="X15" i="6"/>
  <c r="X18" i="6"/>
  <c r="X31" i="6"/>
  <c r="X13" i="6"/>
  <c r="X21" i="6"/>
  <c r="X27" i="6"/>
  <c r="X29" i="6"/>
  <c r="X25" i="6"/>
  <c r="X19" i="6"/>
  <c r="B224" i="3"/>
  <c r="D224" i="3"/>
  <c r="D193" i="3"/>
  <c r="B193" i="3"/>
  <c r="B116" i="3"/>
  <c r="D116" i="3"/>
  <c r="B130" i="3"/>
  <c r="D130" i="3"/>
  <c r="B319" i="3"/>
  <c r="D319" i="3"/>
  <c r="B312" i="3"/>
  <c r="D312" i="3"/>
  <c r="B317" i="3"/>
  <c r="D317" i="3"/>
  <c r="B239" i="3"/>
  <c r="D239" i="3"/>
  <c r="D249" i="3"/>
  <c r="B249" i="3"/>
  <c r="B244" i="3"/>
  <c r="D244" i="3"/>
  <c r="D179" i="3"/>
  <c r="B179" i="3"/>
  <c r="B171" i="3"/>
  <c r="D171" i="3"/>
  <c r="D161" i="3"/>
  <c r="B161" i="3"/>
  <c r="E59" i="4"/>
  <c r="F59" i="4" s="1"/>
  <c r="G59" i="4" s="1"/>
  <c r="H59" i="4" s="1"/>
  <c r="E42" i="4"/>
  <c r="F42" i="4" s="1"/>
  <c r="G42" i="4" s="1"/>
  <c r="H42" i="4" s="1"/>
  <c r="E41" i="4"/>
  <c r="F41" i="4" s="1"/>
  <c r="G41" i="4" s="1"/>
  <c r="H41" i="4" s="1"/>
  <c r="B223" i="3"/>
  <c r="D223" i="3"/>
  <c r="D211" i="3"/>
  <c r="B211" i="3"/>
  <c r="B221" i="3"/>
  <c r="D221" i="3"/>
  <c r="D146" i="3"/>
  <c r="B146" i="3"/>
  <c r="B157" i="3"/>
  <c r="D157" i="3"/>
  <c r="B147" i="3"/>
  <c r="D147" i="3"/>
  <c r="D202" i="3"/>
  <c r="B202" i="3"/>
  <c r="B204" i="3"/>
  <c r="D204" i="3"/>
  <c r="AH8" i="6"/>
  <c r="E238" i="5"/>
  <c r="F238" i="5" s="1"/>
  <c r="G238" i="5" s="1"/>
  <c r="H238" i="5" s="1"/>
  <c r="E236" i="5"/>
  <c r="F236" i="5" s="1"/>
  <c r="G236" i="5" s="1"/>
  <c r="H236" i="5" s="1"/>
  <c r="E242" i="5"/>
  <c r="F242" i="5" s="1"/>
  <c r="G242" i="5" s="1"/>
  <c r="H242" i="5" s="1"/>
  <c r="E233" i="5"/>
  <c r="F233" i="5" s="1"/>
  <c r="G233" i="5" s="1"/>
  <c r="H233" i="5" s="1"/>
  <c r="E253" i="5"/>
  <c r="F253" i="5" s="1"/>
  <c r="E234" i="5"/>
  <c r="F234" i="5" s="1"/>
  <c r="G234" i="5" s="1"/>
  <c r="H234" i="5" s="1"/>
  <c r="E239" i="5"/>
  <c r="F239" i="5" s="1"/>
  <c r="G239" i="5" s="1"/>
  <c r="H239" i="5" s="1"/>
  <c r="E252" i="5"/>
  <c r="F252" i="5" s="1"/>
  <c r="G252" i="5" s="1"/>
  <c r="H252" i="5" s="1"/>
  <c r="E246" i="5"/>
  <c r="F246" i="5" s="1"/>
  <c r="G246" i="5" s="1"/>
  <c r="H246" i="5" s="1"/>
  <c r="E244" i="5"/>
  <c r="F244" i="5" s="1"/>
  <c r="G244" i="5" s="1"/>
  <c r="H244" i="5" s="1"/>
  <c r="E250" i="5"/>
  <c r="F250" i="5" s="1"/>
  <c r="G250" i="5" s="1"/>
  <c r="H250" i="5" s="1"/>
  <c r="E248" i="5"/>
  <c r="F248" i="5" s="1"/>
  <c r="G248" i="5" s="1"/>
  <c r="H248" i="5" s="1"/>
  <c r="E251" i="5"/>
  <c r="F251" i="5" s="1"/>
  <c r="G251" i="5" s="1"/>
  <c r="H251" i="5" s="1"/>
  <c r="E240" i="5"/>
  <c r="F240" i="5" s="1"/>
  <c r="G240" i="5" s="1"/>
  <c r="H240" i="5" s="1"/>
  <c r="E243" i="5"/>
  <c r="F243" i="5" s="1"/>
  <c r="G243" i="5" s="1"/>
  <c r="H243" i="5" s="1"/>
  <c r="E247" i="5"/>
  <c r="F247" i="5" s="1"/>
  <c r="G247" i="5" s="1"/>
  <c r="H247" i="5" s="1"/>
  <c r="E235" i="5"/>
  <c r="F235" i="5" s="1"/>
  <c r="G235" i="5" s="1"/>
  <c r="H235" i="5" s="1"/>
  <c r="E249" i="5"/>
  <c r="F249" i="5" s="1"/>
  <c r="G249" i="5" s="1"/>
  <c r="H249" i="5" s="1"/>
  <c r="E241" i="5"/>
  <c r="F241" i="5" s="1"/>
  <c r="G241" i="5" s="1"/>
  <c r="H241" i="5" s="1"/>
  <c r="E237" i="5"/>
  <c r="F237" i="5" s="1"/>
  <c r="G237" i="5" s="1"/>
  <c r="H237" i="5" s="1"/>
  <c r="E245" i="5"/>
  <c r="F245" i="5" s="1"/>
  <c r="G245" i="5" s="1"/>
  <c r="H245" i="5" s="1"/>
  <c r="B263" i="3"/>
  <c r="D263" i="3"/>
  <c r="B271" i="3"/>
  <c r="D271" i="3"/>
  <c r="D258" i="3"/>
  <c r="B258" i="3"/>
  <c r="D67" i="3"/>
  <c r="B67" i="3"/>
  <c r="B69" i="3"/>
  <c r="D69" i="3"/>
  <c r="AE28" i="6"/>
  <c r="AE24" i="6"/>
  <c r="B56" i="3"/>
  <c r="D56" i="3"/>
  <c r="B48" i="3"/>
  <c r="D48" i="3"/>
  <c r="B43" i="3"/>
  <c r="D43" i="3"/>
  <c r="E294" i="5"/>
  <c r="F294" i="5" s="1"/>
  <c r="G294" i="5" s="1"/>
  <c r="H294" i="5" s="1"/>
  <c r="E288" i="5"/>
  <c r="F288" i="5" s="1"/>
  <c r="G288" i="5" s="1"/>
  <c r="H288" i="5" s="1"/>
  <c r="E308" i="5"/>
  <c r="F308" i="5" s="1"/>
  <c r="G308" i="5" s="1"/>
  <c r="H308" i="5" s="1"/>
  <c r="E320" i="5"/>
  <c r="F320" i="5" s="1"/>
  <c r="G320" i="5" s="1"/>
  <c r="H320" i="5" s="1"/>
  <c r="E324" i="5"/>
  <c r="F324" i="5" s="1"/>
  <c r="G324" i="5" s="1"/>
  <c r="H324" i="5" s="1"/>
  <c r="E133" i="5"/>
  <c r="F133" i="5" s="1"/>
  <c r="E128" i="5"/>
  <c r="F128" i="5" s="1"/>
  <c r="G128" i="5" s="1"/>
  <c r="H128" i="5" s="1"/>
  <c r="E116" i="5"/>
  <c r="F116" i="5" s="1"/>
  <c r="G116" i="5" s="1"/>
  <c r="H116" i="5" s="1"/>
  <c r="D98" i="3"/>
  <c r="B98" i="3"/>
  <c r="D106" i="3"/>
  <c r="B106" i="3"/>
  <c r="D307" i="3"/>
  <c r="B307" i="3"/>
  <c r="D321" i="3"/>
  <c r="B321" i="3"/>
  <c r="B309" i="3"/>
  <c r="D309" i="3"/>
  <c r="B248" i="3"/>
  <c r="D248" i="3"/>
  <c r="B247" i="3"/>
  <c r="D247" i="3"/>
  <c r="B236" i="3"/>
  <c r="D236" i="3"/>
  <c r="B167" i="3"/>
  <c r="D167" i="3"/>
  <c r="B180" i="3"/>
  <c r="D180" i="3"/>
  <c r="B228" i="3"/>
  <c r="D228" i="3"/>
  <c r="B220" i="3"/>
  <c r="D220" i="3"/>
  <c r="B213" i="3"/>
  <c r="D213" i="3"/>
  <c r="D153" i="3"/>
  <c r="B153" i="3"/>
  <c r="D145" i="3"/>
  <c r="B145" i="3"/>
  <c r="D139" i="3"/>
  <c r="B139" i="3"/>
  <c r="D187" i="3"/>
  <c r="B187" i="3"/>
  <c r="B190" i="3"/>
  <c r="D190" i="3"/>
  <c r="D194" i="3"/>
  <c r="B194" i="3"/>
  <c r="AD8" i="6"/>
  <c r="E209" i="4"/>
  <c r="F209" i="4" s="1"/>
  <c r="G209" i="4" s="1"/>
  <c r="H209" i="4" s="1"/>
  <c r="E214" i="4"/>
  <c r="F214" i="4" s="1"/>
  <c r="G214" i="4" s="1"/>
  <c r="H214" i="4" s="1"/>
  <c r="E218" i="4"/>
  <c r="F218" i="4" s="1"/>
  <c r="G218" i="4" s="1"/>
  <c r="H218" i="4" s="1"/>
  <c r="E215" i="4"/>
  <c r="F215" i="4" s="1"/>
  <c r="G215" i="4" s="1"/>
  <c r="H215" i="4" s="1"/>
  <c r="E220" i="4"/>
  <c r="F220" i="4" s="1"/>
  <c r="G220" i="4" s="1"/>
  <c r="H220" i="4" s="1"/>
  <c r="E222" i="4"/>
  <c r="F222" i="4" s="1"/>
  <c r="G222" i="4" s="1"/>
  <c r="H222" i="4" s="1"/>
  <c r="E212" i="4"/>
  <c r="F212" i="4" s="1"/>
  <c r="G212" i="4" s="1"/>
  <c r="H212" i="4" s="1"/>
  <c r="E226" i="4"/>
  <c r="F226" i="4" s="1"/>
  <c r="G226" i="4" s="1"/>
  <c r="H226" i="4" s="1"/>
  <c r="E223" i="4"/>
  <c r="F223" i="4" s="1"/>
  <c r="G223" i="4" s="1"/>
  <c r="H223" i="4" s="1"/>
  <c r="E219" i="4"/>
  <c r="F219" i="4" s="1"/>
  <c r="G219" i="4" s="1"/>
  <c r="H219" i="4" s="1"/>
  <c r="E211" i="4"/>
  <c r="F211" i="4" s="1"/>
  <c r="G211" i="4" s="1"/>
  <c r="H211" i="4" s="1"/>
  <c r="E229" i="4"/>
  <c r="F229" i="4" s="1"/>
  <c r="E224" i="4"/>
  <c r="F224" i="4" s="1"/>
  <c r="G224" i="4" s="1"/>
  <c r="H224" i="4" s="1"/>
  <c r="E228" i="4"/>
  <c r="F228" i="4" s="1"/>
  <c r="G228" i="4" s="1"/>
  <c r="H228" i="4" s="1"/>
  <c r="E216" i="4"/>
  <c r="F216" i="4" s="1"/>
  <c r="G216" i="4" s="1"/>
  <c r="H216" i="4" s="1"/>
  <c r="E225" i="4"/>
  <c r="F225" i="4" s="1"/>
  <c r="G225" i="4" s="1"/>
  <c r="H225" i="4" s="1"/>
  <c r="E217" i="4"/>
  <c r="F217" i="4" s="1"/>
  <c r="G217" i="4" s="1"/>
  <c r="H217" i="4" s="1"/>
  <c r="E221" i="4"/>
  <c r="F221" i="4" s="1"/>
  <c r="G221" i="4" s="1"/>
  <c r="H221" i="4" s="1"/>
  <c r="E213" i="4"/>
  <c r="F213" i="4" s="1"/>
  <c r="G213" i="4" s="1"/>
  <c r="H213" i="4" s="1"/>
  <c r="E227" i="4"/>
  <c r="F227" i="4" s="1"/>
  <c r="G227" i="4" s="1"/>
  <c r="H227" i="4" s="1"/>
  <c r="E210" i="4"/>
  <c r="F210" i="4" s="1"/>
  <c r="G210" i="4" s="1"/>
  <c r="H210" i="4" s="1"/>
  <c r="AJ8" i="6"/>
  <c r="E257" i="4"/>
  <c r="F257" i="4" s="1"/>
  <c r="G257" i="4" s="1"/>
  <c r="H257" i="4" s="1"/>
  <c r="E271" i="4"/>
  <c r="F271" i="4" s="1"/>
  <c r="G271" i="4" s="1"/>
  <c r="H271" i="4" s="1"/>
  <c r="E263" i="4"/>
  <c r="F263" i="4" s="1"/>
  <c r="G263" i="4" s="1"/>
  <c r="H263" i="4" s="1"/>
  <c r="E272" i="4"/>
  <c r="F272" i="4" s="1"/>
  <c r="G272" i="4" s="1"/>
  <c r="H272" i="4" s="1"/>
  <c r="E269" i="4"/>
  <c r="F269" i="4" s="1"/>
  <c r="G269" i="4" s="1"/>
  <c r="H269" i="4" s="1"/>
  <c r="E267" i="4"/>
  <c r="F267" i="4" s="1"/>
  <c r="G267" i="4" s="1"/>
  <c r="H267" i="4" s="1"/>
  <c r="E265" i="4"/>
  <c r="F265" i="4" s="1"/>
  <c r="G265" i="4" s="1"/>
  <c r="H265" i="4" s="1"/>
  <c r="E264" i="4"/>
  <c r="F264" i="4" s="1"/>
  <c r="G264" i="4" s="1"/>
  <c r="H264" i="4" s="1"/>
  <c r="E261" i="4"/>
  <c r="F261" i="4" s="1"/>
  <c r="G261" i="4" s="1"/>
  <c r="H261" i="4" s="1"/>
  <c r="E259" i="4"/>
  <c r="F259" i="4" s="1"/>
  <c r="G259" i="4" s="1"/>
  <c r="H259" i="4" s="1"/>
  <c r="E268" i="4"/>
  <c r="F268" i="4" s="1"/>
  <c r="G268" i="4" s="1"/>
  <c r="H268" i="4" s="1"/>
  <c r="E273" i="4"/>
  <c r="F273" i="4" s="1"/>
  <c r="G273" i="4" s="1"/>
  <c r="H273" i="4" s="1"/>
  <c r="E260" i="4"/>
  <c r="F260" i="4" s="1"/>
  <c r="G260" i="4" s="1"/>
  <c r="H260" i="4" s="1"/>
  <c r="E262" i="4"/>
  <c r="F262" i="4" s="1"/>
  <c r="G262" i="4" s="1"/>
  <c r="H262" i="4" s="1"/>
  <c r="E266" i="4"/>
  <c r="F266" i="4" s="1"/>
  <c r="G266" i="4" s="1"/>
  <c r="H266" i="4" s="1"/>
  <c r="E277" i="4"/>
  <c r="F277" i="4" s="1"/>
  <c r="E258" i="4"/>
  <c r="F258" i="4" s="1"/>
  <c r="G258" i="4" s="1"/>
  <c r="H258" i="4" s="1"/>
  <c r="E270" i="4"/>
  <c r="F270" i="4" s="1"/>
  <c r="G270" i="4" s="1"/>
  <c r="H270" i="4" s="1"/>
  <c r="E276" i="4"/>
  <c r="F276" i="4" s="1"/>
  <c r="G276" i="4" s="1"/>
  <c r="H276" i="4" s="1"/>
  <c r="E275" i="4"/>
  <c r="F275" i="4" s="1"/>
  <c r="G275" i="4" s="1"/>
  <c r="H275" i="4" s="1"/>
  <c r="E274" i="4"/>
  <c r="F274" i="4" s="1"/>
  <c r="G274" i="4" s="1"/>
  <c r="H274" i="4" s="1"/>
  <c r="B272" i="3"/>
  <c r="D272" i="3"/>
  <c r="B261" i="3"/>
  <c r="D261" i="3"/>
  <c r="D273" i="3"/>
  <c r="B273" i="3"/>
  <c r="D75" i="3"/>
  <c r="B75" i="3"/>
  <c r="B82" i="3"/>
  <c r="D82" i="3"/>
  <c r="B41" i="3"/>
  <c r="D41" i="3"/>
  <c r="B49" i="3"/>
  <c r="D49" i="3"/>
  <c r="B51" i="3"/>
  <c r="D51" i="3"/>
  <c r="E310" i="5"/>
  <c r="F310" i="5" s="1"/>
  <c r="G310" i="5" s="1"/>
  <c r="H310" i="5" s="1"/>
  <c r="E307" i="5"/>
  <c r="F307" i="5" s="1"/>
  <c r="G307" i="5" s="1"/>
  <c r="H307" i="5" s="1"/>
  <c r="E311" i="5"/>
  <c r="F311" i="5" s="1"/>
  <c r="G311" i="5" s="1"/>
  <c r="H311" i="5" s="1"/>
  <c r="E113" i="5"/>
  <c r="F113" i="5" s="1"/>
  <c r="G113" i="5" s="1"/>
  <c r="H113" i="5" s="1"/>
  <c r="E131" i="5"/>
  <c r="F131" i="5" s="1"/>
  <c r="G131" i="5" s="1"/>
  <c r="H131" i="5" s="1"/>
  <c r="E118" i="5"/>
  <c r="F118" i="5" s="1"/>
  <c r="G118" i="5" s="1"/>
  <c r="H118" i="5" s="1"/>
  <c r="D102" i="3"/>
  <c r="B102" i="3"/>
  <c r="D94" i="3"/>
  <c r="B94" i="3"/>
  <c r="B262" i="3"/>
  <c r="D262" i="3"/>
  <c r="B270" i="3"/>
  <c r="D270" i="3"/>
  <c r="D265" i="3"/>
  <c r="B265" i="3"/>
  <c r="B83" i="3"/>
  <c r="D83" i="3"/>
  <c r="B76" i="3"/>
  <c r="D76" i="3"/>
  <c r="D74" i="3"/>
  <c r="B74" i="3"/>
  <c r="AE13" i="6"/>
  <c r="AE17" i="6"/>
  <c r="AE23" i="6"/>
  <c r="B57" i="3"/>
  <c r="D57" i="3"/>
  <c r="D59" i="3"/>
  <c r="B59" i="3"/>
  <c r="E300" i="5"/>
  <c r="F300" i="5" s="1"/>
  <c r="G300" i="5" s="1"/>
  <c r="H300" i="5" s="1"/>
  <c r="E287" i="5"/>
  <c r="F287" i="5" s="1"/>
  <c r="G287" i="5" s="1"/>
  <c r="H287" i="5" s="1"/>
  <c r="E289" i="5"/>
  <c r="F289" i="5" s="1"/>
  <c r="G289" i="5" s="1"/>
  <c r="H289" i="5" s="1"/>
  <c r="E321" i="5"/>
  <c r="F321" i="5" s="1"/>
  <c r="G321" i="5" s="1"/>
  <c r="H321" i="5" s="1"/>
  <c r="E319" i="5"/>
  <c r="F319" i="5" s="1"/>
  <c r="G319" i="5" s="1"/>
  <c r="H319" i="5" s="1"/>
  <c r="E121" i="5"/>
  <c r="F121" i="5" s="1"/>
  <c r="G121" i="5" s="1"/>
  <c r="H121" i="5" s="1"/>
  <c r="E122" i="5"/>
  <c r="F122" i="5" s="1"/>
  <c r="G122" i="5" s="1"/>
  <c r="H122" i="5" s="1"/>
  <c r="E114" i="5"/>
  <c r="F114" i="5" s="1"/>
  <c r="G114" i="5" s="1"/>
  <c r="H114" i="5" s="1"/>
  <c r="B92" i="3"/>
  <c r="D92" i="3"/>
  <c r="D105" i="3"/>
  <c r="B105" i="3"/>
  <c r="D218" i="3"/>
  <c r="B218" i="3"/>
  <c r="B219" i="3"/>
  <c r="D219" i="3"/>
  <c r="B142" i="3"/>
  <c r="D142" i="3"/>
  <c r="B188" i="3"/>
  <c r="D188" i="3"/>
  <c r="D201" i="3"/>
  <c r="B201" i="3"/>
  <c r="B192" i="3"/>
  <c r="D192" i="3"/>
  <c r="J21" i="6"/>
  <c r="B268" i="3"/>
  <c r="D268" i="3"/>
  <c r="B260" i="3"/>
  <c r="D260" i="3"/>
  <c r="D257" i="3"/>
  <c r="B257" i="3"/>
  <c r="U20" i="6"/>
  <c r="U32" i="6"/>
  <c r="U27" i="6"/>
  <c r="U25" i="6"/>
  <c r="U23" i="6"/>
  <c r="U15" i="6"/>
  <c r="U31" i="6"/>
  <c r="B85" i="3"/>
  <c r="D85" i="3"/>
  <c r="B84" i="3"/>
  <c r="D84" i="3"/>
  <c r="D66" i="3"/>
  <c r="B66" i="3"/>
  <c r="B46" i="3"/>
  <c r="D46" i="3"/>
  <c r="B44" i="3"/>
  <c r="D44" i="3"/>
  <c r="E284" i="5"/>
  <c r="F284" i="5" s="1"/>
  <c r="G284" i="5" s="1"/>
  <c r="H284" i="5" s="1"/>
  <c r="E297" i="5"/>
  <c r="F297" i="5" s="1"/>
  <c r="G297" i="5" s="1"/>
  <c r="H297" i="5" s="1"/>
  <c r="E291" i="5"/>
  <c r="F291" i="5" s="1"/>
  <c r="G291" i="5" s="1"/>
  <c r="H291" i="5" s="1"/>
  <c r="E317" i="5"/>
  <c r="F317" i="5" s="1"/>
  <c r="G317" i="5" s="1"/>
  <c r="H317" i="5" s="1"/>
  <c r="E313" i="5"/>
  <c r="F313" i="5" s="1"/>
  <c r="G313" i="5" s="1"/>
  <c r="H313" i="5" s="1"/>
  <c r="E117" i="5"/>
  <c r="F117" i="5" s="1"/>
  <c r="G117" i="5" s="1"/>
  <c r="H117" i="5" s="1"/>
  <c r="E132" i="5"/>
  <c r="F132" i="5" s="1"/>
  <c r="G132" i="5" s="1"/>
  <c r="H132" i="5" s="1"/>
  <c r="E124" i="5"/>
  <c r="F124" i="5" s="1"/>
  <c r="G124" i="5" s="1"/>
  <c r="H124" i="5" s="1"/>
  <c r="B108" i="3"/>
  <c r="D108" i="3"/>
  <c r="B101" i="3"/>
  <c r="D101" i="3"/>
  <c r="B93" i="3"/>
  <c r="D93" i="3"/>
  <c r="B127" i="3"/>
  <c r="D127" i="3"/>
  <c r="D114" i="3"/>
  <c r="B114" i="3"/>
  <c r="B237" i="3"/>
  <c r="D237" i="3"/>
  <c r="B251" i="3"/>
  <c r="D251" i="3"/>
  <c r="D210" i="3"/>
  <c r="B210" i="3"/>
  <c r="B200" i="3"/>
  <c r="D200" i="3"/>
  <c r="D320" i="3"/>
  <c r="B320" i="3"/>
  <c r="D178" i="3"/>
  <c r="B178" i="3"/>
  <c r="D227" i="3"/>
  <c r="B227" i="3"/>
  <c r="D144" i="3"/>
  <c r="B144" i="3"/>
  <c r="B132" i="3"/>
  <c r="D132" i="3"/>
  <c r="D123" i="3"/>
  <c r="B123" i="3"/>
  <c r="B133" i="3"/>
  <c r="D133" i="3"/>
  <c r="B315" i="3"/>
  <c r="D315" i="3"/>
  <c r="B308" i="3"/>
  <c r="D308" i="3"/>
  <c r="B253" i="3"/>
  <c r="D253" i="3"/>
  <c r="D234" i="3"/>
  <c r="B234" i="3"/>
  <c r="B235" i="3"/>
  <c r="D235" i="3"/>
  <c r="B174" i="3"/>
  <c r="D174" i="3"/>
  <c r="B175" i="3"/>
  <c r="D175" i="3"/>
  <c r="B170" i="3"/>
  <c r="D170" i="3"/>
  <c r="D217" i="3"/>
  <c r="B217" i="3"/>
  <c r="D209" i="3"/>
  <c r="B209" i="3"/>
  <c r="B141" i="3"/>
  <c r="D141" i="3"/>
  <c r="B156" i="3"/>
  <c r="D156" i="3"/>
  <c r="B197" i="3"/>
  <c r="D197" i="3"/>
  <c r="D186" i="3"/>
  <c r="B186" i="3"/>
  <c r="B199" i="3"/>
  <c r="D199" i="3"/>
  <c r="B277" i="3"/>
  <c r="D277" i="3"/>
  <c r="B269" i="3"/>
  <c r="D269" i="3"/>
  <c r="B71" i="3"/>
  <c r="D71" i="3"/>
  <c r="B72" i="3"/>
  <c r="D72" i="3"/>
  <c r="D81" i="3"/>
  <c r="B81" i="3"/>
  <c r="AE15" i="6"/>
  <c r="AE21" i="6"/>
  <c r="AE31" i="6"/>
  <c r="B45" i="3"/>
  <c r="D45" i="3"/>
  <c r="B54" i="3"/>
  <c r="D54" i="3"/>
  <c r="B52" i="3"/>
  <c r="D52" i="3"/>
  <c r="E292" i="5"/>
  <c r="F292" i="5" s="1"/>
  <c r="G292" i="5" s="1"/>
  <c r="H292" i="5" s="1"/>
  <c r="E299" i="5"/>
  <c r="F299" i="5" s="1"/>
  <c r="G299" i="5" s="1"/>
  <c r="H299" i="5" s="1"/>
  <c r="E293" i="5"/>
  <c r="F293" i="5" s="1"/>
  <c r="G293" i="5" s="1"/>
  <c r="H293" i="5" s="1"/>
  <c r="E325" i="5"/>
  <c r="F325" i="5" s="1"/>
  <c r="E315" i="5"/>
  <c r="F315" i="5" s="1"/>
  <c r="G315" i="5" s="1"/>
  <c r="H315" i="5" s="1"/>
  <c r="E125" i="5"/>
  <c r="F125" i="5" s="1"/>
  <c r="G125" i="5" s="1"/>
  <c r="H125" i="5" s="1"/>
  <c r="E119" i="5"/>
  <c r="F119" i="5" s="1"/>
  <c r="G119" i="5" s="1"/>
  <c r="H119" i="5" s="1"/>
  <c r="E126" i="5"/>
  <c r="F126" i="5" s="1"/>
  <c r="G126" i="5" s="1"/>
  <c r="H126" i="5" s="1"/>
  <c r="D107" i="3"/>
  <c r="B107" i="3"/>
  <c r="D91" i="3"/>
  <c r="B91" i="3"/>
  <c r="B104" i="3"/>
  <c r="D104" i="3"/>
  <c r="D120" i="3"/>
  <c r="B120" i="3"/>
  <c r="B124" i="3"/>
  <c r="D124" i="3"/>
  <c r="D154" i="3"/>
  <c r="B154" i="3"/>
  <c r="D129" i="3"/>
  <c r="B129" i="3"/>
  <c r="B122" i="3"/>
  <c r="D122" i="3"/>
  <c r="B125" i="3"/>
  <c r="D125" i="3"/>
  <c r="D323" i="3"/>
  <c r="B323" i="3"/>
  <c r="B314" i="3"/>
  <c r="D314" i="3"/>
  <c r="B318" i="3"/>
  <c r="D318" i="3"/>
  <c r="D241" i="3"/>
  <c r="B241" i="3"/>
  <c r="B245" i="3"/>
  <c r="D245" i="3"/>
  <c r="B164" i="3"/>
  <c r="D164" i="3"/>
  <c r="B165" i="3"/>
  <c r="D165" i="3"/>
  <c r="D162" i="3"/>
  <c r="B162" i="3"/>
  <c r="D226" i="3"/>
  <c r="B226" i="3"/>
  <c r="D225" i="3"/>
  <c r="B225" i="3"/>
  <c r="B222" i="3"/>
  <c r="D222" i="3"/>
  <c r="B149" i="3"/>
  <c r="D149" i="3"/>
  <c r="D138" i="3"/>
  <c r="B138" i="3"/>
  <c r="B148" i="3"/>
  <c r="D148" i="3"/>
  <c r="B196" i="3"/>
  <c r="D196" i="3"/>
  <c r="B205" i="3"/>
  <c r="D205" i="3"/>
  <c r="D191" i="3"/>
  <c r="B191" i="3"/>
  <c r="J29" i="6"/>
  <c r="AK8" i="6"/>
  <c r="E262" i="5"/>
  <c r="F262" i="5" s="1"/>
  <c r="G262" i="5" s="1"/>
  <c r="H262" i="5" s="1"/>
  <c r="E275" i="5"/>
  <c r="F275" i="5" s="1"/>
  <c r="G275" i="5" s="1"/>
  <c r="H275" i="5" s="1"/>
  <c r="E273" i="5"/>
  <c r="F273" i="5" s="1"/>
  <c r="G273" i="5" s="1"/>
  <c r="H273" i="5" s="1"/>
  <c r="E268" i="5"/>
  <c r="F268" i="5" s="1"/>
  <c r="G268" i="5" s="1"/>
  <c r="H268" i="5" s="1"/>
  <c r="E266" i="5"/>
  <c r="F266" i="5" s="1"/>
  <c r="G266" i="5" s="1"/>
  <c r="H266" i="5" s="1"/>
  <c r="E257" i="5"/>
  <c r="F257" i="5" s="1"/>
  <c r="G257" i="5" s="1"/>
  <c r="H257" i="5" s="1"/>
  <c r="E270" i="5"/>
  <c r="F270" i="5" s="1"/>
  <c r="G270" i="5" s="1"/>
  <c r="H270" i="5" s="1"/>
  <c r="E260" i="5"/>
  <c r="F260" i="5" s="1"/>
  <c r="G260" i="5" s="1"/>
  <c r="H260" i="5" s="1"/>
  <c r="E258" i="5"/>
  <c r="F258" i="5" s="1"/>
  <c r="G258" i="5" s="1"/>
  <c r="H258" i="5" s="1"/>
  <c r="E264" i="5"/>
  <c r="F264" i="5" s="1"/>
  <c r="G264" i="5" s="1"/>
  <c r="H264" i="5" s="1"/>
  <c r="E269" i="5"/>
  <c r="F269" i="5" s="1"/>
  <c r="G269" i="5" s="1"/>
  <c r="H269" i="5" s="1"/>
  <c r="E261" i="5"/>
  <c r="F261" i="5" s="1"/>
  <c r="G261" i="5" s="1"/>
  <c r="H261" i="5" s="1"/>
  <c r="E272" i="5"/>
  <c r="F272" i="5" s="1"/>
  <c r="G272" i="5" s="1"/>
  <c r="H272" i="5" s="1"/>
  <c r="E276" i="5"/>
  <c r="F276" i="5" s="1"/>
  <c r="G276" i="5" s="1"/>
  <c r="H276" i="5" s="1"/>
  <c r="E271" i="5"/>
  <c r="F271" i="5" s="1"/>
  <c r="G271" i="5" s="1"/>
  <c r="H271" i="5" s="1"/>
  <c r="E263" i="5"/>
  <c r="F263" i="5" s="1"/>
  <c r="G263" i="5" s="1"/>
  <c r="H263" i="5" s="1"/>
  <c r="E274" i="5"/>
  <c r="F274" i="5" s="1"/>
  <c r="G274" i="5" s="1"/>
  <c r="H274" i="5" s="1"/>
  <c r="E277" i="5"/>
  <c r="F277" i="5" s="1"/>
  <c r="E267" i="5"/>
  <c r="F267" i="5" s="1"/>
  <c r="G267" i="5" s="1"/>
  <c r="H267" i="5" s="1"/>
  <c r="E259" i="5"/>
  <c r="F259" i="5" s="1"/>
  <c r="G259" i="5" s="1"/>
  <c r="H259" i="5" s="1"/>
  <c r="E265" i="5"/>
  <c r="F265" i="5" s="1"/>
  <c r="G265" i="5" s="1"/>
  <c r="H265" i="5" s="1"/>
  <c r="B267" i="3"/>
  <c r="D267" i="3"/>
  <c r="D259" i="3"/>
  <c r="B259" i="3"/>
  <c r="B78" i="3"/>
  <c r="D78" i="3"/>
  <c r="B80" i="3"/>
  <c r="D80" i="3"/>
  <c r="D73" i="3"/>
  <c r="B73" i="3"/>
  <c r="AE14" i="6"/>
  <c r="AE16" i="6"/>
  <c r="AE26" i="6"/>
  <c r="B61" i="3"/>
  <c r="D61" i="3"/>
  <c r="D42" i="3"/>
  <c r="B42" i="3"/>
  <c r="B60" i="3"/>
  <c r="D60" i="3"/>
  <c r="E282" i="5"/>
  <c r="F282" i="5" s="1"/>
  <c r="G282" i="5" s="1"/>
  <c r="H282" i="5" s="1"/>
  <c r="E301" i="5"/>
  <c r="F301" i="5" s="1"/>
  <c r="E296" i="5"/>
  <c r="F296" i="5" s="1"/>
  <c r="G296" i="5" s="1"/>
  <c r="H296" i="5" s="1"/>
  <c r="E318" i="5"/>
  <c r="F318" i="5" s="1"/>
  <c r="G318" i="5" s="1"/>
  <c r="H318" i="5" s="1"/>
  <c r="E305" i="5"/>
  <c r="F305" i="5" s="1"/>
  <c r="G305" i="5" s="1"/>
  <c r="H305" i="5" s="1"/>
  <c r="E309" i="5"/>
  <c r="F309" i="5" s="1"/>
  <c r="G309" i="5" s="1"/>
  <c r="H309" i="5" s="1"/>
  <c r="E115" i="5"/>
  <c r="F115" i="5" s="1"/>
  <c r="G115" i="5" s="1"/>
  <c r="H115" i="5" s="1"/>
  <c r="E130" i="5"/>
  <c r="F130" i="5" s="1"/>
  <c r="G130" i="5" s="1"/>
  <c r="H130" i="5" s="1"/>
  <c r="B100" i="3"/>
  <c r="D100" i="3"/>
  <c r="D90" i="3"/>
  <c r="B90" i="3"/>
  <c r="B96" i="3"/>
  <c r="D96" i="3"/>
  <c r="B126" i="3"/>
  <c r="D126" i="3"/>
  <c r="D113" i="3"/>
  <c r="B113" i="3"/>
  <c r="D115" i="3"/>
  <c r="B115" i="3"/>
  <c r="B118" i="3"/>
  <c r="D118" i="3"/>
  <c r="D306" i="3"/>
  <c r="B306" i="3"/>
  <c r="D242" i="3"/>
  <c r="B242" i="3"/>
  <c r="B246" i="3"/>
  <c r="D246" i="3"/>
  <c r="B243" i="3"/>
  <c r="D243" i="3"/>
  <c r="B166" i="3"/>
  <c r="D166" i="3"/>
  <c r="D131" i="3"/>
  <c r="B131" i="3"/>
  <c r="B240" i="3"/>
  <c r="D240" i="3"/>
  <c r="D233" i="3"/>
  <c r="B233" i="3"/>
  <c r="B172" i="3"/>
  <c r="D172" i="3"/>
  <c r="B215" i="3"/>
  <c r="D215" i="3"/>
  <c r="D216" i="3"/>
  <c r="B216" i="3"/>
  <c r="B214" i="3"/>
  <c r="D214" i="3"/>
  <c r="B143" i="3"/>
  <c r="D143" i="3"/>
  <c r="B151" i="3"/>
  <c r="D151" i="3"/>
  <c r="B140" i="3"/>
  <c r="D140" i="3"/>
  <c r="D203" i="3"/>
  <c r="B203" i="3"/>
  <c r="B195" i="3"/>
  <c r="D195" i="3"/>
  <c r="B276" i="3"/>
  <c r="D276" i="3"/>
  <c r="D274" i="3"/>
  <c r="B274" i="3"/>
  <c r="B68" i="3"/>
  <c r="D68" i="3"/>
  <c r="B70" i="3"/>
  <c r="D70" i="3"/>
  <c r="D65" i="3"/>
  <c r="B65" i="3"/>
  <c r="AE20" i="6"/>
  <c r="B53" i="3"/>
  <c r="D53" i="3"/>
  <c r="B50" i="3"/>
  <c r="D50" i="3"/>
  <c r="E286" i="5"/>
  <c r="F286" i="5" s="1"/>
  <c r="G286" i="5" s="1"/>
  <c r="H286" i="5" s="1"/>
  <c r="E283" i="5"/>
  <c r="F283" i="5" s="1"/>
  <c r="G283" i="5" s="1"/>
  <c r="H283" i="5" s="1"/>
  <c r="E306" i="5"/>
  <c r="F306" i="5" s="1"/>
  <c r="G306" i="5" s="1"/>
  <c r="H306" i="5" s="1"/>
  <c r="E323" i="5"/>
  <c r="F323" i="5" s="1"/>
  <c r="G323" i="5" s="1"/>
  <c r="H323" i="5" s="1"/>
  <c r="E322" i="5"/>
  <c r="F322" i="5" s="1"/>
  <c r="G322" i="5" s="1"/>
  <c r="H322" i="5" s="1"/>
  <c r="E120" i="5"/>
  <c r="F120" i="5" s="1"/>
  <c r="G120" i="5" s="1"/>
  <c r="H120" i="5" s="1"/>
  <c r="E127" i="5"/>
  <c r="F127" i="5" s="1"/>
  <c r="G127" i="5" s="1"/>
  <c r="H127" i="5" s="1"/>
  <c r="B109" i="3"/>
  <c r="D109" i="3"/>
  <c r="D89" i="3"/>
  <c r="B89" i="3"/>
  <c r="B103" i="3"/>
  <c r="D103" i="3"/>
  <c r="AA26" i="6" l="1"/>
  <c r="AA21" i="6"/>
  <c r="R29" i="6"/>
  <c r="AA23" i="6"/>
  <c r="R32" i="6"/>
  <c r="R27" i="6"/>
  <c r="E53" i="3"/>
  <c r="F53" i="3" s="1"/>
  <c r="G53" i="3" s="1"/>
  <c r="H53" i="3" s="1"/>
  <c r="E51" i="3"/>
  <c r="F51" i="3" s="1"/>
  <c r="G51" i="3" s="1"/>
  <c r="H51" i="3" s="1"/>
  <c r="E47" i="3"/>
  <c r="M21" i="6"/>
  <c r="J26" i="6"/>
  <c r="AA16" i="6"/>
  <c r="E54" i="3"/>
  <c r="F54" i="3" s="1"/>
  <c r="G54" i="3" s="1"/>
  <c r="H54" i="3" s="1"/>
  <c r="AG19" i="6"/>
  <c r="J14" i="6"/>
  <c r="U33" i="6"/>
  <c r="AA28" i="6"/>
  <c r="U22" i="6"/>
  <c r="AA13" i="6"/>
  <c r="J30" i="6"/>
  <c r="U28" i="6"/>
  <c r="R23" i="6"/>
  <c r="R16" i="6"/>
  <c r="R15" i="6"/>
  <c r="R33" i="6"/>
  <c r="R17" i="6"/>
  <c r="G181" i="4"/>
  <c r="H181" i="4" s="1"/>
  <c r="R20" i="6"/>
  <c r="R28" i="6"/>
  <c r="R26" i="6"/>
  <c r="R25" i="6"/>
  <c r="R21" i="6"/>
  <c r="AG17" i="6"/>
  <c r="AG26" i="6"/>
  <c r="AG18" i="6"/>
  <c r="E55" i="3"/>
  <c r="F55" i="3" s="1"/>
  <c r="G55" i="3" s="1"/>
  <c r="H55" i="3" s="1"/>
  <c r="J19" i="6"/>
  <c r="V14" i="6"/>
  <c r="M18" i="6"/>
  <c r="AG33" i="6"/>
  <c r="M28" i="6"/>
  <c r="U30" i="6"/>
  <c r="R31" i="6"/>
  <c r="R30" i="6"/>
  <c r="M25" i="6"/>
  <c r="U19" i="6"/>
  <c r="U13" i="6"/>
  <c r="AG16" i="6"/>
  <c r="R14" i="6"/>
  <c r="R24" i="6"/>
  <c r="R13" i="6"/>
  <c r="I180" i="4"/>
  <c r="I179" i="4" s="1"/>
  <c r="I178" i="4" s="1"/>
  <c r="I177" i="4" s="1"/>
  <c r="I176" i="4" s="1"/>
  <c r="I175" i="4" s="1"/>
  <c r="I174" i="4" s="1"/>
  <c r="I173" i="4" s="1"/>
  <c r="I172" i="4" s="1"/>
  <c r="I171" i="4" s="1"/>
  <c r="I170" i="4" s="1"/>
  <c r="I169" i="4" s="1"/>
  <c r="I168" i="4" s="1"/>
  <c r="I167" i="4" s="1"/>
  <c r="I166" i="4" s="1"/>
  <c r="I165" i="4" s="1"/>
  <c r="I164" i="4" s="1"/>
  <c r="I163" i="4" s="1"/>
  <c r="I162" i="4" s="1"/>
  <c r="I161" i="4" s="1"/>
  <c r="H33" i="8" s="1"/>
  <c r="J33" i="6"/>
  <c r="AP17" i="6"/>
  <c r="AA29" i="6"/>
  <c r="AA17" i="6"/>
  <c r="J27" i="6"/>
  <c r="N9" i="6"/>
  <c r="R18" i="6"/>
  <c r="R19" i="6"/>
  <c r="J13" i="6"/>
  <c r="AP32" i="6"/>
  <c r="AP33" i="6"/>
  <c r="M15" i="6"/>
  <c r="I132" i="4"/>
  <c r="I131" i="4" s="1"/>
  <c r="I130" i="4" s="1"/>
  <c r="I129" i="4" s="1"/>
  <c r="I128" i="4" s="1"/>
  <c r="I127" i="4" s="1"/>
  <c r="I126" i="4" s="1"/>
  <c r="I125" i="4" s="1"/>
  <c r="I124" i="4" s="1"/>
  <c r="I123" i="4" s="1"/>
  <c r="I122" i="4" s="1"/>
  <c r="I121" i="4" s="1"/>
  <c r="I120" i="4" s="1"/>
  <c r="I119" i="4" s="1"/>
  <c r="I118" i="4" s="1"/>
  <c r="I117" i="4" s="1"/>
  <c r="I116" i="4" s="1"/>
  <c r="I115" i="4" s="1"/>
  <c r="I114" i="4" s="1"/>
  <c r="I113" i="4" s="1"/>
  <c r="H31" i="8" s="1"/>
  <c r="G157" i="4"/>
  <c r="H157" i="4" s="1"/>
  <c r="I157" i="4"/>
  <c r="I156" i="4" s="1"/>
  <c r="I155" i="4" s="1"/>
  <c r="I154" i="4" s="1"/>
  <c r="I153" i="4" s="1"/>
  <c r="I152" i="4" s="1"/>
  <c r="I151" i="4" s="1"/>
  <c r="I150" i="4" s="1"/>
  <c r="I149" i="4" s="1"/>
  <c r="I148" i="4" s="1"/>
  <c r="I147" i="4" s="1"/>
  <c r="I146" i="4" s="1"/>
  <c r="I145" i="4" s="1"/>
  <c r="I144" i="4" s="1"/>
  <c r="I143" i="4" s="1"/>
  <c r="I142" i="4" s="1"/>
  <c r="I141" i="4" s="1"/>
  <c r="I140" i="4" s="1"/>
  <c r="I139" i="4" s="1"/>
  <c r="I138" i="4" s="1"/>
  <c r="I137" i="4" s="1"/>
  <c r="H32" i="8" s="1"/>
  <c r="E59" i="3"/>
  <c r="F59" i="3" s="1"/>
  <c r="G59" i="3" s="1"/>
  <c r="H59" i="3" s="1"/>
  <c r="E43" i="3"/>
  <c r="F43" i="3" s="1"/>
  <c r="G43" i="3" s="1"/>
  <c r="H43" i="3" s="1"/>
  <c r="E45" i="3"/>
  <c r="F45" i="3" s="1"/>
  <c r="G45" i="3" s="1"/>
  <c r="H45" i="3" s="1"/>
  <c r="E61" i="3"/>
  <c r="F61" i="3" s="1"/>
  <c r="I61" i="3" s="1"/>
  <c r="J17" i="6"/>
  <c r="J32" i="6"/>
  <c r="U18" i="6"/>
  <c r="U29" i="6"/>
  <c r="M13" i="6"/>
  <c r="M22" i="6"/>
  <c r="E46" i="3"/>
  <c r="F46" i="3" s="1"/>
  <c r="G46" i="3" s="1"/>
  <c r="H46" i="3" s="1"/>
  <c r="U21" i="6"/>
  <c r="U26" i="6"/>
  <c r="U24" i="6"/>
  <c r="AG28" i="6"/>
  <c r="U16" i="6"/>
  <c r="U17" i="6"/>
  <c r="AG22" i="6"/>
  <c r="M19" i="6"/>
  <c r="V24" i="6"/>
  <c r="AP27" i="6"/>
  <c r="AP28" i="6"/>
  <c r="AP20" i="6"/>
  <c r="AI8" i="6"/>
  <c r="AP22" i="6"/>
  <c r="AP26" i="6"/>
  <c r="AP30" i="6"/>
  <c r="AP21" i="6"/>
  <c r="AP15" i="6"/>
  <c r="AP24" i="6"/>
  <c r="G133" i="4"/>
  <c r="H133" i="4" s="1"/>
  <c r="M30" i="6"/>
  <c r="M29" i="6"/>
  <c r="AG25" i="6"/>
  <c r="E48" i="3"/>
  <c r="F48" i="3" s="1"/>
  <c r="G48" i="3" s="1"/>
  <c r="H48" i="3" s="1"/>
  <c r="E56" i="3"/>
  <c r="F56" i="3" s="1"/>
  <c r="G56" i="3" s="1"/>
  <c r="H56" i="3" s="1"/>
  <c r="M26" i="6"/>
  <c r="M27" i="6"/>
  <c r="AG31" i="6"/>
  <c r="V31" i="6"/>
  <c r="E41" i="3"/>
  <c r="F41" i="3" s="1"/>
  <c r="G41" i="3" s="1"/>
  <c r="H41" i="3" s="1"/>
  <c r="E49" i="3"/>
  <c r="F49" i="3" s="1"/>
  <c r="G49" i="3" s="1"/>
  <c r="H49" i="3" s="1"/>
  <c r="E57" i="3"/>
  <c r="F57" i="3" s="1"/>
  <c r="G57" i="3" s="1"/>
  <c r="H57" i="3" s="1"/>
  <c r="AA27" i="6"/>
  <c r="AA18" i="6"/>
  <c r="AG20" i="6"/>
  <c r="AG21" i="6"/>
  <c r="J23" i="6"/>
  <c r="AG29" i="6"/>
  <c r="J15" i="6"/>
  <c r="V29" i="6"/>
  <c r="V18" i="6"/>
  <c r="G205" i="4"/>
  <c r="H205" i="4" s="1"/>
  <c r="J25" i="6"/>
  <c r="E42" i="3"/>
  <c r="F42" i="3" s="1"/>
  <c r="G42" i="3" s="1"/>
  <c r="H42" i="3" s="1"/>
  <c r="E50" i="3"/>
  <c r="F50" i="3" s="1"/>
  <c r="G50" i="3" s="1"/>
  <c r="H50" i="3" s="1"/>
  <c r="E58" i="3"/>
  <c r="F58" i="3" s="1"/>
  <c r="G58" i="3" s="1"/>
  <c r="H58" i="3" s="1"/>
  <c r="AA14" i="6"/>
  <c r="AG30" i="6"/>
  <c r="J16" i="6"/>
  <c r="AG23" i="6"/>
  <c r="J20" i="6"/>
  <c r="V22" i="6"/>
  <c r="V15" i="6"/>
  <c r="AG13" i="6"/>
  <c r="E44" i="3"/>
  <c r="F44" i="3" s="1"/>
  <c r="G44" i="3" s="1"/>
  <c r="H44" i="3" s="1"/>
  <c r="E52" i="3"/>
  <c r="F52" i="3" s="1"/>
  <c r="G52" i="3" s="1"/>
  <c r="H52" i="3" s="1"/>
  <c r="E60" i="3"/>
  <c r="F60" i="3" s="1"/>
  <c r="G60" i="3" s="1"/>
  <c r="H60" i="3" s="1"/>
  <c r="AA31" i="6"/>
  <c r="AG32" i="6"/>
  <c r="AG14" i="6"/>
  <c r="AG27" i="6"/>
  <c r="AG15" i="6"/>
  <c r="V19" i="6"/>
  <c r="V16" i="6"/>
  <c r="V25" i="6"/>
  <c r="V28" i="6"/>
  <c r="AB28" i="6"/>
  <c r="V30" i="6"/>
  <c r="V27" i="6"/>
  <c r="V20" i="6"/>
  <c r="V13" i="6"/>
  <c r="V17" i="6"/>
  <c r="M23" i="6"/>
  <c r="V21" i="6"/>
  <c r="V32" i="6"/>
  <c r="AM31" i="6"/>
  <c r="AM24" i="6"/>
  <c r="AA22" i="6"/>
  <c r="AA20" i="6"/>
  <c r="AA19" i="6"/>
  <c r="AM26" i="6"/>
  <c r="AM18" i="6"/>
  <c r="AP25" i="6"/>
  <c r="AP23" i="6"/>
  <c r="AP19" i="6"/>
  <c r="AA30" i="6"/>
  <c r="AA24" i="6"/>
  <c r="AA15" i="6"/>
  <c r="AM32" i="6"/>
  <c r="AP18" i="6"/>
  <c r="AP29" i="6"/>
  <c r="AP31" i="6"/>
  <c r="AA25" i="6"/>
  <c r="AA32" i="6"/>
  <c r="AM29" i="6"/>
  <c r="M17" i="6"/>
  <c r="AP13" i="6"/>
  <c r="AP14" i="6"/>
  <c r="AB13" i="6"/>
  <c r="J22" i="6"/>
  <c r="J18" i="6"/>
  <c r="I204" i="4"/>
  <c r="I203" i="4" s="1"/>
  <c r="I202" i="4" s="1"/>
  <c r="I201" i="4" s="1"/>
  <c r="I200" i="4" s="1"/>
  <c r="I199" i="4" s="1"/>
  <c r="I198" i="4" s="1"/>
  <c r="I197" i="4" s="1"/>
  <c r="I196" i="4" s="1"/>
  <c r="I195" i="4" s="1"/>
  <c r="I194" i="4" s="1"/>
  <c r="I193" i="4" s="1"/>
  <c r="I192" i="4" s="1"/>
  <c r="I191" i="4" s="1"/>
  <c r="I190" i="4" s="1"/>
  <c r="I189" i="4" s="1"/>
  <c r="I188" i="4" s="1"/>
  <c r="I187" i="4" s="1"/>
  <c r="I186" i="4" s="1"/>
  <c r="I185" i="4" s="1"/>
  <c r="H34" i="8" s="1"/>
  <c r="J31" i="6"/>
  <c r="AB15" i="6"/>
  <c r="V23" i="6"/>
  <c r="J24" i="6"/>
  <c r="AF9" i="6"/>
  <c r="M24" i="6"/>
  <c r="M14" i="6"/>
  <c r="Q9" i="6"/>
  <c r="Q27" i="6" s="1"/>
  <c r="V33" i="6"/>
  <c r="AM13" i="6"/>
  <c r="Z10" i="6"/>
  <c r="M20" i="6"/>
  <c r="M32" i="6"/>
  <c r="K10" i="6"/>
  <c r="H9" i="6"/>
  <c r="H15" i="6" s="1"/>
  <c r="AB30" i="6"/>
  <c r="K9" i="6"/>
  <c r="K19" i="6" s="1"/>
  <c r="M31" i="6"/>
  <c r="AI10" i="6"/>
  <c r="O16" i="6"/>
  <c r="M16" i="6"/>
  <c r="H10" i="6"/>
  <c r="AB19" i="6"/>
  <c r="AB29" i="6"/>
  <c r="AB32" i="6"/>
  <c r="AB31" i="6"/>
  <c r="AB17" i="6"/>
  <c r="AB14" i="6"/>
  <c r="AB20" i="6"/>
  <c r="AB26" i="6"/>
  <c r="AB23" i="6"/>
  <c r="AM14" i="6"/>
  <c r="AM30" i="6"/>
  <c r="M33" i="6"/>
  <c r="AB18" i="6"/>
  <c r="AB22" i="6"/>
  <c r="AB27" i="6"/>
  <c r="AB24" i="6"/>
  <c r="O21" i="6"/>
  <c r="AB21" i="6"/>
  <c r="AB33" i="6"/>
  <c r="AB25" i="6"/>
  <c r="AB16" i="6"/>
  <c r="E277" i="3"/>
  <c r="F277" i="3" s="1"/>
  <c r="O23" i="6"/>
  <c r="O26" i="6"/>
  <c r="O32" i="6"/>
  <c r="O29" i="6"/>
  <c r="L22" i="6"/>
  <c r="L18" i="6"/>
  <c r="O17" i="6"/>
  <c r="AM25" i="6"/>
  <c r="AM17" i="6"/>
  <c r="L13" i="6"/>
  <c r="L15" i="6"/>
  <c r="L19" i="6"/>
  <c r="O30" i="6"/>
  <c r="L31" i="6"/>
  <c r="E71" i="3"/>
  <c r="F71" i="3" s="1"/>
  <c r="G71" i="3" s="1"/>
  <c r="H71" i="3" s="1"/>
  <c r="AM23" i="6"/>
  <c r="I33" i="6"/>
  <c r="E82" i="3"/>
  <c r="F82" i="3" s="1"/>
  <c r="G82" i="3" s="1"/>
  <c r="H82" i="3" s="1"/>
  <c r="I325" i="4"/>
  <c r="I324" i="4" s="1"/>
  <c r="I323" i="4" s="1"/>
  <c r="I322" i="4" s="1"/>
  <c r="I321" i="4" s="1"/>
  <c r="I320" i="4" s="1"/>
  <c r="I319" i="4" s="1"/>
  <c r="I318" i="4" s="1"/>
  <c r="I317" i="4" s="1"/>
  <c r="I316" i="4" s="1"/>
  <c r="I315" i="4" s="1"/>
  <c r="I314" i="4" s="1"/>
  <c r="I313" i="4" s="1"/>
  <c r="I312" i="4" s="1"/>
  <c r="I311" i="4" s="1"/>
  <c r="I310" i="4" s="1"/>
  <c r="I309" i="4" s="1"/>
  <c r="I308" i="4" s="1"/>
  <c r="I307" i="4" s="1"/>
  <c r="I306" i="4" s="1"/>
  <c r="I305" i="4" s="1"/>
  <c r="H39" i="8" s="1"/>
  <c r="I28" i="6"/>
  <c r="E72" i="3"/>
  <c r="F72" i="3" s="1"/>
  <c r="G72" i="3" s="1"/>
  <c r="H72" i="3" s="1"/>
  <c r="E73" i="3"/>
  <c r="F73" i="3" s="1"/>
  <c r="G73" i="3" s="1"/>
  <c r="H73" i="3" s="1"/>
  <c r="E269" i="3"/>
  <c r="F269" i="3" s="1"/>
  <c r="G269" i="3" s="1"/>
  <c r="H269" i="3" s="1"/>
  <c r="E268" i="3"/>
  <c r="F268" i="3" s="1"/>
  <c r="G268" i="3" s="1"/>
  <c r="H268" i="3" s="1"/>
  <c r="E258" i="3"/>
  <c r="F258" i="3" s="1"/>
  <c r="G258" i="3" s="1"/>
  <c r="H258" i="3" s="1"/>
  <c r="E266" i="3"/>
  <c r="F266" i="3" s="1"/>
  <c r="G266" i="3" s="1"/>
  <c r="H266" i="3" s="1"/>
  <c r="L25" i="6"/>
  <c r="L17" i="6"/>
  <c r="AM33" i="6"/>
  <c r="L14" i="6"/>
  <c r="L27" i="6"/>
  <c r="L20" i="6"/>
  <c r="L32" i="6"/>
  <c r="E271" i="3"/>
  <c r="F271" i="3" s="1"/>
  <c r="G271" i="3" s="1"/>
  <c r="H271" i="3" s="1"/>
  <c r="E261" i="3"/>
  <c r="F261" i="3" s="1"/>
  <c r="G261" i="3" s="1"/>
  <c r="H261" i="3" s="1"/>
  <c r="E270" i="3"/>
  <c r="F270" i="3" s="1"/>
  <c r="G270" i="3" s="1"/>
  <c r="H270" i="3" s="1"/>
  <c r="O13" i="6"/>
  <c r="O15" i="6"/>
  <c r="L30" i="6"/>
  <c r="L28" i="6"/>
  <c r="L16" i="6"/>
  <c r="E264" i="3"/>
  <c r="F264" i="3" s="1"/>
  <c r="G264" i="3" s="1"/>
  <c r="H264" i="3" s="1"/>
  <c r="E274" i="3"/>
  <c r="F274" i="3" s="1"/>
  <c r="G274" i="3" s="1"/>
  <c r="H274" i="3" s="1"/>
  <c r="E272" i="3"/>
  <c r="F272" i="3" s="1"/>
  <c r="G272" i="3" s="1"/>
  <c r="H272" i="3" s="1"/>
  <c r="E260" i="3"/>
  <c r="F260" i="3" s="1"/>
  <c r="G260" i="3" s="1"/>
  <c r="H260" i="3" s="1"/>
  <c r="O27" i="6"/>
  <c r="E265" i="3"/>
  <c r="F265" i="3" s="1"/>
  <c r="G265" i="3" s="1"/>
  <c r="H265" i="3" s="1"/>
  <c r="E267" i="3"/>
  <c r="F267" i="3" s="1"/>
  <c r="G267" i="3" s="1"/>
  <c r="H267" i="3" s="1"/>
  <c r="L26" i="6"/>
  <c r="O28" i="6"/>
  <c r="E257" i="3"/>
  <c r="F257" i="3" s="1"/>
  <c r="G257" i="3" s="1"/>
  <c r="H257" i="3" s="1"/>
  <c r="E262" i="3"/>
  <c r="F262" i="3" s="1"/>
  <c r="G262" i="3" s="1"/>
  <c r="H262" i="3" s="1"/>
  <c r="L21" i="6"/>
  <c r="L33" i="6"/>
  <c r="E263" i="3"/>
  <c r="F263" i="3" s="1"/>
  <c r="G263" i="3" s="1"/>
  <c r="H263" i="3" s="1"/>
  <c r="E276" i="3"/>
  <c r="F276" i="3" s="1"/>
  <c r="G276" i="3" s="1"/>
  <c r="H276" i="3" s="1"/>
  <c r="L24" i="6"/>
  <c r="L29" i="6"/>
  <c r="O20" i="6"/>
  <c r="AM19" i="6"/>
  <c r="E70" i="3"/>
  <c r="F70" i="3" s="1"/>
  <c r="G70" i="3" s="1"/>
  <c r="H70" i="3" s="1"/>
  <c r="AQ17" i="6"/>
  <c r="E85" i="3"/>
  <c r="F85" i="3" s="1"/>
  <c r="I85" i="3" s="1"/>
  <c r="E81" i="3"/>
  <c r="F81" i="3" s="1"/>
  <c r="G81" i="3" s="1"/>
  <c r="H81" i="3" s="1"/>
  <c r="E84" i="3"/>
  <c r="F84" i="3" s="1"/>
  <c r="G84" i="3" s="1"/>
  <c r="H84" i="3" s="1"/>
  <c r="E66" i="3"/>
  <c r="F66" i="3" s="1"/>
  <c r="G66" i="3" s="1"/>
  <c r="H66" i="3" s="1"/>
  <c r="E78" i="3"/>
  <c r="F78" i="3" s="1"/>
  <c r="G78" i="3" s="1"/>
  <c r="H78" i="3" s="1"/>
  <c r="AQ30" i="6"/>
  <c r="E69" i="3"/>
  <c r="F69" i="3" s="1"/>
  <c r="G69" i="3" s="1"/>
  <c r="H69" i="3" s="1"/>
  <c r="E68" i="3"/>
  <c r="F68" i="3" s="1"/>
  <c r="G68" i="3" s="1"/>
  <c r="H68" i="3" s="1"/>
  <c r="E75" i="3"/>
  <c r="F75" i="3" s="1"/>
  <c r="G75" i="3" s="1"/>
  <c r="H75" i="3" s="1"/>
  <c r="E80" i="3"/>
  <c r="F80" i="3" s="1"/>
  <c r="G80" i="3" s="1"/>
  <c r="H80" i="3" s="1"/>
  <c r="AM16" i="6"/>
  <c r="AM27" i="6"/>
  <c r="AM22" i="6"/>
  <c r="AQ22" i="6"/>
  <c r="E74" i="3"/>
  <c r="F74" i="3" s="1"/>
  <c r="G74" i="3" s="1"/>
  <c r="H74" i="3" s="1"/>
  <c r="E67" i="3"/>
  <c r="F67" i="3" s="1"/>
  <c r="G67" i="3" s="1"/>
  <c r="H67" i="3" s="1"/>
  <c r="E79" i="3"/>
  <c r="F79" i="3" s="1"/>
  <c r="G79" i="3" s="1"/>
  <c r="H79" i="3" s="1"/>
  <c r="E83" i="3"/>
  <c r="F83" i="3" s="1"/>
  <c r="G83" i="3" s="1"/>
  <c r="H83" i="3" s="1"/>
  <c r="E120" i="3"/>
  <c r="F120" i="3" s="1"/>
  <c r="G120" i="3" s="1"/>
  <c r="H120" i="3" s="1"/>
  <c r="E133" i="3"/>
  <c r="F133" i="3" s="1"/>
  <c r="E128" i="3"/>
  <c r="F128" i="3" s="1"/>
  <c r="G128" i="3" s="1"/>
  <c r="H128" i="3" s="1"/>
  <c r="AM21" i="6"/>
  <c r="AM20" i="6"/>
  <c r="AQ24" i="6"/>
  <c r="E77" i="3"/>
  <c r="F77" i="3" s="1"/>
  <c r="G77" i="3" s="1"/>
  <c r="H77" i="3" s="1"/>
  <c r="E65" i="3"/>
  <c r="F65" i="3" s="1"/>
  <c r="G65" i="3" s="1"/>
  <c r="H65" i="3" s="1"/>
  <c r="E76" i="3"/>
  <c r="F76" i="3" s="1"/>
  <c r="G76" i="3" s="1"/>
  <c r="H76" i="3" s="1"/>
  <c r="E131" i="3"/>
  <c r="F131" i="3" s="1"/>
  <c r="G131" i="3" s="1"/>
  <c r="H131" i="3" s="1"/>
  <c r="E130" i="3"/>
  <c r="F130" i="3" s="1"/>
  <c r="G130" i="3" s="1"/>
  <c r="H130" i="3" s="1"/>
  <c r="E121" i="3"/>
  <c r="F121" i="3" s="1"/>
  <c r="G121" i="3" s="1"/>
  <c r="H121" i="3" s="1"/>
  <c r="E132" i="3"/>
  <c r="F132" i="3" s="1"/>
  <c r="G132" i="3" s="1"/>
  <c r="H132" i="3" s="1"/>
  <c r="E275" i="3"/>
  <c r="F275" i="3" s="1"/>
  <c r="G275" i="3" s="1"/>
  <c r="H275" i="3" s="1"/>
  <c r="E259" i="3"/>
  <c r="F259" i="3" s="1"/>
  <c r="G259" i="3" s="1"/>
  <c r="H259" i="3" s="1"/>
  <c r="E115" i="3"/>
  <c r="F115" i="3" s="1"/>
  <c r="G115" i="3" s="1"/>
  <c r="H115" i="3" s="1"/>
  <c r="O22" i="6"/>
  <c r="E124" i="3"/>
  <c r="F124" i="3" s="1"/>
  <c r="G124" i="3" s="1"/>
  <c r="H124" i="3" s="1"/>
  <c r="E126" i="3"/>
  <c r="F126" i="3" s="1"/>
  <c r="G126" i="3" s="1"/>
  <c r="H126" i="3" s="1"/>
  <c r="E127" i="3"/>
  <c r="F127" i="3" s="1"/>
  <c r="G127" i="3" s="1"/>
  <c r="H127" i="3" s="1"/>
  <c r="E116" i="3"/>
  <c r="F116" i="3" s="1"/>
  <c r="G116" i="3" s="1"/>
  <c r="H116" i="3" s="1"/>
  <c r="E118" i="3"/>
  <c r="F118" i="3" s="1"/>
  <c r="G118" i="3" s="1"/>
  <c r="H118" i="3" s="1"/>
  <c r="E117" i="3"/>
  <c r="F117" i="3" s="1"/>
  <c r="G117" i="3" s="1"/>
  <c r="H117" i="3" s="1"/>
  <c r="AM28" i="6"/>
  <c r="AM15" i="6"/>
  <c r="E129" i="3"/>
  <c r="F129" i="3" s="1"/>
  <c r="G129" i="3" s="1"/>
  <c r="H129" i="3" s="1"/>
  <c r="E113" i="3"/>
  <c r="F113" i="3" s="1"/>
  <c r="G113" i="3" s="1"/>
  <c r="H113" i="3" s="1"/>
  <c r="Y29" i="6"/>
  <c r="Y30" i="6"/>
  <c r="O33" i="6"/>
  <c r="P21" i="6"/>
  <c r="O14" i="6"/>
  <c r="O31" i="6"/>
  <c r="O24" i="6"/>
  <c r="O18" i="6"/>
  <c r="O19" i="6"/>
  <c r="Y25" i="6"/>
  <c r="Y20" i="6"/>
  <c r="Y16" i="6"/>
  <c r="Y24" i="6"/>
  <c r="P14" i="6"/>
  <c r="P26" i="6"/>
  <c r="P20" i="6"/>
  <c r="P22" i="6"/>
  <c r="P29" i="6"/>
  <c r="P15" i="6"/>
  <c r="P32" i="6"/>
  <c r="E119" i="3"/>
  <c r="F119" i="3" s="1"/>
  <c r="G119" i="3" s="1"/>
  <c r="H119" i="3" s="1"/>
  <c r="E114" i="3"/>
  <c r="F114" i="3" s="1"/>
  <c r="G114" i="3" s="1"/>
  <c r="H114" i="3" s="1"/>
  <c r="E122" i="3"/>
  <c r="F122" i="3" s="1"/>
  <c r="G122" i="3" s="1"/>
  <c r="H122" i="3" s="1"/>
  <c r="AI9" i="6"/>
  <c r="P23" i="6"/>
  <c r="O25" i="6"/>
  <c r="P31" i="6"/>
  <c r="P24" i="6"/>
  <c r="P17" i="6"/>
  <c r="Y18" i="6"/>
  <c r="Y13" i="6"/>
  <c r="Y27" i="6"/>
  <c r="Y14" i="6"/>
  <c r="Y31" i="6"/>
  <c r="Y15" i="6"/>
  <c r="Y28" i="6"/>
  <c r="Y17" i="6"/>
  <c r="P30" i="6"/>
  <c r="E125" i="3"/>
  <c r="F125" i="3" s="1"/>
  <c r="G125" i="3" s="1"/>
  <c r="H125" i="3" s="1"/>
  <c r="E123" i="3"/>
  <c r="F123" i="3" s="1"/>
  <c r="G123" i="3" s="1"/>
  <c r="H123" i="3" s="1"/>
  <c r="Y23" i="6"/>
  <c r="Y21" i="6"/>
  <c r="Y33" i="6"/>
  <c r="Y32" i="6"/>
  <c r="Y19" i="6"/>
  <c r="Y26" i="6"/>
  <c r="P33" i="6"/>
  <c r="AQ32" i="6"/>
  <c r="P25" i="6"/>
  <c r="P28" i="6"/>
  <c r="AN25" i="6"/>
  <c r="P18" i="6"/>
  <c r="P13" i="6"/>
  <c r="P27" i="6"/>
  <c r="P19" i="6"/>
  <c r="Q10" i="6"/>
  <c r="AN29" i="6"/>
  <c r="P16" i="6"/>
  <c r="S30" i="6"/>
  <c r="AQ25" i="6"/>
  <c r="AN18" i="6"/>
  <c r="AN33" i="6"/>
  <c r="AQ23" i="6"/>
  <c r="AN22" i="6"/>
  <c r="AN14" i="6"/>
  <c r="AN24" i="6"/>
  <c r="AN16" i="6"/>
  <c r="AN31" i="6"/>
  <c r="AN17" i="6"/>
  <c r="AN23" i="6"/>
  <c r="AN19" i="6"/>
  <c r="I32" i="6"/>
  <c r="I19" i="6"/>
  <c r="AQ27" i="6"/>
  <c r="AQ14" i="6"/>
  <c r="AQ28" i="6"/>
  <c r="AQ33" i="6"/>
  <c r="AQ29" i="6"/>
  <c r="AQ26" i="6"/>
  <c r="AQ31" i="6"/>
  <c r="I29" i="6"/>
  <c r="AQ18" i="6"/>
  <c r="AQ15" i="6"/>
  <c r="I30" i="6"/>
  <c r="AQ20" i="6"/>
  <c r="AQ16" i="6"/>
  <c r="AQ21" i="6"/>
  <c r="I23" i="6"/>
  <c r="AQ13" i="6"/>
  <c r="F47" i="3"/>
  <c r="G47" i="3" s="1"/>
  <c r="H47" i="3" s="1"/>
  <c r="S32" i="6"/>
  <c r="S31" i="6"/>
  <c r="I20" i="6"/>
  <c r="I61" i="5"/>
  <c r="I60" i="5" s="1"/>
  <c r="I59" i="5" s="1"/>
  <c r="I58" i="5" s="1"/>
  <c r="I57" i="5" s="1"/>
  <c r="I56" i="5" s="1"/>
  <c r="I55" i="5" s="1"/>
  <c r="I54" i="5" s="1"/>
  <c r="I53" i="5" s="1"/>
  <c r="I52" i="5" s="1"/>
  <c r="I51" i="5" s="1"/>
  <c r="I50" i="5" s="1"/>
  <c r="I49" i="5" s="1"/>
  <c r="I48" i="5" s="1"/>
  <c r="I47" i="5" s="1"/>
  <c r="I46" i="5" s="1"/>
  <c r="I45" i="5" s="1"/>
  <c r="I44" i="5" s="1"/>
  <c r="I43" i="5" s="1"/>
  <c r="I42" i="5" s="1"/>
  <c r="I41" i="5" s="1"/>
  <c r="H40" i="8" s="1"/>
  <c r="AN13" i="6"/>
  <c r="AN15" i="6"/>
  <c r="I24" i="6"/>
  <c r="AN27" i="6"/>
  <c r="AN30" i="6"/>
  <c r="AN28" i="6"/>
  <c r="AN21" i="6"/>
  <c r="AN20" i="6"/>
  <c r="AN26" i="6"/>
  <c r="I26" i="6"/>
  <c r="I13" i="6"/>
  <c r="S33" i="6"/>
  <c r="S20" i="6"/>
  <c r="S15" i="6"/>
  <c r="S26" i="6"/>
  <c r="S22" i="6"/>
  <c r="S13" i="6"/>
  <c r="S25" i="6"/>
  <c r="S19" i="6"/>
  <c r="S29" i="6"/>
  <c r="S21" i="6"/>
  <c r="S23" i="6"/>
  <c r="S14" i="6"/>
  <c r="S24" i="6"/>
  <c r="S28" i="6"/>
  <c r="S17" i="6"/>
  <c r="S18" i="6"/>
  <c r="S16" i="6"/>
  <c r="I16" i="6"/>
  <c r="I25" i="6"/>
  <c r="I31" i="6"/>
  <c r="I14" i="6"/>
  <c r="I21" i="6"/>
  <c r="I15" i="6"/>
  <c r="I18" i="6"/>
  <c r="I17" i="6"/>
  <c r="I22" i="6"/>
  <c r="I109" i="4"/>
  <c r="I108" i="4" s="1"/>
  <c r="I107" i="4" s="1"/>
  <c r="I106" i="4" s="1"/>
  <c r="I105" i="4" s="1"/>
  <c r="I104" i="4" s="1"/>
  <c r="I103" i="4" s="1"/>
  <c r="I102" i="4" s="1"/>
  <c r="I101" i="4" s="1"/>
  <c r="I100" i="4" s="1"/>
  <c r="I99" i="4" s="1"/>
  <c r="I98" i="4" s="1"/>
  <c r="I97" i="4" s="1"/>
  <c r="I96" i="4" s="1"/>
  <c r="I95" i="4" s="1"/>
  <c r="I94" i="4" s="1"/>
  <c r="I93" i="4" s="1"/>
  <c r="I92" i="4" s="1"/>
  <c r="I91" i="4" s="1"/>
  <c r="I90" i="4" s="1"/>
  <c r="I89" i="4" s="1"/>
  <c r="H30" i="8" s="1"/>
  <c r="AO9" i="6"/>
  <c r="AO30" i="6" s="1"/>
  <c r="AF10" i="6"/>
  <c r="AC9" i="6"/>
  <c r="AC17" i="6" s="1"/>
  <c r="AC10" i="6"/>
  <c r="Z9" i="6"/>
  <c r="W9" i="6"/>
  <c r="W30" i="6" s="1"/>
  <c r="W10" i="6"/>
  <c r="T9" i="6"/>
  <c r="T14" i="6" s="1"/>
  <c r="T10" i="6"/>
  <c r="N10" i="6"/>
  <c r="F273" i="3"/>
  <c r="G273" i="3" s="1"/>
  <c r="H273" i="3" s="1"/>
  <c r="G61" i="4"/>
  <c r="H61" i="4" s="1"/>
  <c r="I61" i="4"/>
  <c r="I60" i="4" s="1"/>
  <c r="I59" i="4" s="1"/>
  <c r="I58" i="4" s="1"/>
  <c r="I57" i="4" s="1"/>
  <c r="I56" i="4" s="1"/>
  <c r="I55" i="4" s="1"/>
  <c r="I54" i="4" s="1"/>
  <c r="I53" i="4" s="1"/>
  <c r="I52" i="4" s="1"/>
  <c r="I51" i="4" s="1"/>
  <c r="I50" i="4" s="1"/>
  <c r="I49" i="4" s="1"/>
  <c r="I48" i="4" s="1"/>
  <c r="I47" i="4" s="1"/>
  <c r="I46" i="4" s="1"/>
  <c r="I45" i="4" s="1"/>
  <c r="I44" i="4" s="1"/>
  <c r="I43" i="4" s="1"/>
  <c r="I42" i="4" s="1"/>
  <c r="I41" i="4" s="1"/>
  <c r="H28" i="8" s="1"/>
  <c r="G253" i="4"/>
  <c r="H253" i="4" s="1"/>
  <c r="I253" i="4"/>
  <c r="I252" i="4" s="1"/>
  <c r="I251" i="4" s="1"/>
  <c r="I250" i="4" s="1"/>
  <c r="I249" i="4" s="1"/>
  <c r="I248" i="4" s="1"/>
  <c r="I247" i="4" s="1"/>
  <c r="I246" i="4" s="1"/>
  <c r="I245" i="4" s="1"/>
  <c r="I244" i="4" s="1"/>
  <c r="I243" i="4" s="1"/>
  <c r="I242" i="4" s="1"/>
  <c r="I241" i="4" s="1"/>
  <c r="I240" i="4" s="1"/>
  <c r="I239" i="4" s="1"/>
  <c r="I238" i="4" s="1"/>
  <c r="I237" i="4" s="1"/>
  <c r="I236" i="4" s="1"/>
  <c r="I235" i="4" s="1"/>
  <c r="I234" i="4" s="1"/>
  <c r="I233" i="4" s="1"/>
  <c r="H36" i="8" s="1"/>
  <c r="E181" i="3"/>
  <c r="F181" i="3" s="1"/>
  <c r="I181" i="3" s="1"/>
  <c r="E168" i="3"/>
  <c r="F168" i="3" s="1"/>
  <c r="G168" i="3" s="1"/>
  <c r="H168" i="3" s="1"/>
  <c r="I85" i="5"/>
  <c r="I84" i="5" s="1"/>
  <c r="I83" i="5" s="1"/>
  <c r="I82" i="5" s="1"/>
  <c r="I81" i="5" s="1"/>
  <c r="I80" i="5" s="1"/>
  <c r="I79" i="5" s="1"/>
  <c r="I78" i="5" s="1"/>
  <c r="I77" i="5" s="1"/>
  <c r="I76" i="5" s="1"/>
  <c r="I75" i="5" s="1"/>
  <c r="I74" i="5" s="1"/>
  <c r="I73" i="5" s="1"/>
  <c r="I72" i="5" s="1"/>
  <c r="I71" i="5" s="1"/>
  <c r="I70" i="5" s="1"/>
  <c r="I69" i="5" s="1"/>
  <c r="I68" i="5" s="1"/>
  <c r="I67" i="5" s="1"/>
  <c r="I66" i="5" s="1"/>
  <c r="I65" i="5" s="1"/>
  <c r="H41" i="8" s="1"/>
  <c r="G85" i="5"/>
  <c r="H85" i="5" s="1"/>
  <c r="G277" i="5"/>
  <c r="H277" i="5" s="1"/>
  <c r="I277" i="5"/>
  <c r="I276" i="5" s="1"/>
  <c r="I275" i="5" s="1"/>
  <c r="I274" i="5" s="1"/>
  <c r="I273" i="5" s="1"/>
  <c r="I272" i="5" s="1"/>
  <c r="I271" i="5" s="1"/>
  <c r="I270" i="5" s="1"/>
  <c r="I269" i="5" s="1"/>
  <c r="I268" i="5" s="1"/>
  <c r="I267" i="5" s="1"/>
  <c r="I266" i="5" s="1"/>
  <c r="I265" i="5" s="1"/>
  <c r="I264" i="5" s="1"/>
  <c r="I263" i="5" s="1"/>
  <c r="I262" i="5" s="1"/>
  <c r="I261" i="5" s="1"/>
  <c r="I260" i="5" s="1"/>
  <c r="I259" i="5" s="1"/>
  <c r="I258" i="5" s="1"/>
  <c r="I257" i="5" s="1"/>
  <c r="H49" i="8" s="1"/>
  <c r="G277" i="4"/>
  <c r="H277" i="4" s="1"/>
  <c r="I277" i="4"/>
  <c r="I276" i="4" s="1"/>
  <c r="I275" i="4" s="1"/>
  <c r="I274" i="4" s="1"/>
  <c r="I273" i="4" s="1"/>
  <c r="I272" i="4" s="1"/>
  <c r="I271" i="4" s="1"/>
  <c r="I270" i="4" s="1"/>
  <c r="I269" i="4" s="1"/>
  <c r="I268" i="4" s="1"/>
  <c r="I267" i="4" s="1"/>
  <c r="I266" i="4" s="1"/>
  <c r="I265" i="4" s="1"/>
  <c r="I264" i="4" s="1"/>
  <c r="I263" i="4" s="1"/>
  <c r="I262" i="4" s="1"/>
  <c r="I261" i="4" s="1"/>
  <c r="I260" i="4" s="1"/>
  <c r="I259" i="4" s="1"/>
  <c r="I258" i="4" s="1"/>
  <c r="I257" i="4" s="1"/>
  <c r="H37" i="8" s="1"/>
  <c r="G229" i="4"/>
  <c r="H229" i="4" s="1"/>
  <c r="I229" i="4"/>
  <c r="I228" i="4" s="1"/>
  <c r="I227" i="4" s="1"/>
  <c r="I226" i="4" s="1"/>
  <c r="I225" i="4" s="1"/>
  <c r="I224" i="4" s="1"/>
  <c r="I223" i="4" s="1"/>
  <c r="I222" i="4" s="1"/>
  <c r="I221" i="4" s="1"/>
  <c r="I220" i="4" s="1"/>
  <c r="I219" i="4" s="1"/>
  <c r="I218" i="4" s="1"/>
  <c r="I217" i="4" s="1"/>
  <c r="I216" i="4" s="1"/>
  <c r="I215" i="4" s="1"/>
  <c r="I214" i="4" s="1"/>
  <c r="I213" i="4" s="1"/>
  <c r="I212" i="4" s="1"/>
  <c r="I211" i="4" s="1"/>
  <c r="I210" i="4" s="1"/>
  <c r="I209" i="4" s="1"/>
  <c r="H35" i="8" s="1"/>
  <c r="I205" i="5"/>
  <c r="I204" i="5" s="1"/>
  <c r="I203" i="5" s="1"/>
  <c r="I202" i="5" s="1"/>
  <c r="I201" i="5" s="1"/>
  <c r="I200" i="5" s="1"/>
  <c r="I199" i="5" s="1"/>
  <c r="I198" i="5" s="1"/>
  <c r="I197" i="5" s="1"/>
  <c r="I196" i="5" s="1"/>
  <c r="I195" i="5" s="1"/>
  <c r="I194" i="5" s="1"/>
  <c r="I193" i="5" s="1"/>
  <c r="I192" i="5" s="1"/>
  <c r="I191" i="5" s="1"/>
  <c r="I190" i="5" s="1"/>
  <c r="I189" i="5" s="1"/>
  <c r="I188" i="5" s="1"/>
  <c r="I187" i="5" s="1"/>
  <c r="I186" i="5" s="1"/>
  <c r="I185" i="5" s="1"/>
  <c r="H46" i="8" s="1"/>
  <c r="G205" i="5"/>
  <c r="H205" i="5" s="1"/>
  <c r="I229" i="5"/>
  <c r="I228" i="5" s="1"/>
  <c r="I227" i="5" s="1"/>
  <c r="I226" i="5" s="1"/>
  <c r="I225" i="5" s="1"/>
  <c r="I224" i="5" s="1"/>
  <c r="I223" i="5" s="1"/>
  <c r="I222" i="5" s="1"/>
  <c r="I221" i="5" s="1"/>
  <c r="I220" i="5" s="1"/>
  <c r="I219" i="5" s="1"/>
  <c r="I218" i="5" s="1"/>
  <c r="I217" i="5" s="1"/>
  <c r="I216" i="5" s="1"/>
  <c r="I215" i="5" s="1"/>
  <c r="I214" i="5" s="1"/>
  <c r="I213" i="5" s="1"/>
  <c r="I212" i="5" s="1"/>
  <c r="I211" i="5" s="1"/>
  <c r="I210" i="5" s="1"/>
  <c r="I209" i="5" s="1"/>
  <c r="H47" i="8" s="1"/>
  <c r="G229" i="5"/>
  <c r="H229" i="5" s="1"/>
  <c r="Z8" i="6"/>
  <c r="E202" i="3"/>
  <c r="F202" i="3" s="1"/>
  <c r="G202" i="3" s="1"/>
  <c r="H202" i="3" s="1"/>
  <c r="E197" i="3"/>
  <c r="F197" i="3" s="1"/>
  <c r="G197" i="3" s="1"/>
  <c r="H197" i="3" s="1"/>
  <c r="E186" i="3"/>
  <c r="F186" i="3" s="1"/>
  <c r="G186" i="3" s="1"/>
  <c r="H186" i="3" s="1"/>
  <c r="E189" i="3"/>
  <c r="F189" i="3" s="1"/>
  <c r="G189" i="3" s="1"/>
  <c r="H189" i="3" s="1"/>
  <c r="E195" i="3"/>
  <c r="F195" i="3" s="1"/>
  <c r="G195" i="3" s="1"/>
  <c r="H195" i="3" s="1"/>
  <c r="E198" i="3"/>
  <c r="F198" i="3" s="1"/>
  <c r="G198" i="3" s="1"/>
  <c r="H198" i="3" s="1"/>
  <c r="E203" i="3"/>
  <c r="F203" i="3" s="1"/>
  <c r="G203" i="3" s="1"/>
  <c r="H203" i="3" s="1"/>
  <c r="E191" i="3"/>
  <c r="F191" i="3" s="1"/>
  <c r="G191" i="3" s="1"/>
  <c r="H191" i="3" s="1"/>
  <c r="E194" i="3"/>
  <c r="F194" i="3" s="1"/>
  <c r="G194" i="3" s="1"/>
  <c r="H194" i="3" s="1"/>
  <c r="E205" i="3"/>
  <c r="F205" i="3" s="1"/>
  <c r="E187" i="3"/>
  <c r="F187" i="3" s="1"/>
  <c r="G187" i="3" s="1"/>
  <c r="H187" i="3" s="1"/>
  <c r="E190" i="3"/>
  <c r="F190" i="3" s="1"/>
  <c r="G190" i="3" s="1"/>
  <c r="H190" i="3" s="1"/>
  <c r="E185" i="3"/>
  <c r="F185" i="3" s="1"/>
  <c r="G185" i="3" s="1"/>
  <c r="H185" i="3" s="1"/>
  <c r="E196" i="3"/>
  <c r="F196" i="3" s="1"/>
  <c r="G196" i="3" s="1"/>
  <c r="H196" i="3" s="1"/>
  <c r="E199" i="3"/>
  <c r="F199" i="3" s="1"/>
  <c r="G199" i="3" s="1"/>
  <c r="H199" i="3" s="1"/>
  <c r="E204" i="3"/>
  <c r="F204" i="3" s="1"/>
  <c r="G204" i="3" s="1"/>
  <c r="H204" i="3" s="1"/>
  <c r="E188" i="3"/>
  <c r="F188" i="3" s="1"/>
  <c r="G188" i="3" s="1"/>
  <c r="H188" i="3" s="1"/>
  <c r="E192" i="3"/>
  <c r="F192" i="3" s="1"/>
  <c r="G192" i="3" s="1"/>
  <c r="H192" i="3" s="1"/>
  <c r="E200" i="3"/>
  <c r="F200" i="3" s="1"/>
  <c r="G200" i="3" s="1"/>
  <c r="H200" i="3" s="1"/>
  <c r="E193" i="3"/>
  <c r="F193" i="3" s="1"/>
  <c r="G193" i="3" s="1"/>
  <c r="H193" i="3" s="1"/>
  <c r="E201" i="3"/>
  <c r="F201" i="3" s="1"/>
  <c r="G201" i="3" s="1"/>
  <c r="H201" i="3" s="1"/>
  <c r="G301" i="4"/>
  <c r="H301" i="4" s="1"/>
  <c r="I301" i="4"/>
  <c r="I300" i="4" s="1"/>
  <c r="I299" i="4" s="1"/>
  <c r="I298" i="4" s="1"/>
  <c r="I297" i="4" s="1"/>
  <c r="I296" i="4" s="1"/>
  <c r="I295" i="4" s="1"/>
  <c r="I294" i="4" s="1"/>
  <c r="I293" i="4" s="1"/>
  <c r="I292" i="4" s="1"/>
  <c r="I291" i="4" s="1"/>
  <c r="I290" i="4" s="1"/>
  <c r="I289" i="4" s="1"/>
  <c r="I288" i="4" s="1"/>
  <c r="I287" i="4" s="1"/>
  <c r="I286" i="4" s="1"/>
  <c r="I285" i="4" s="1"/>
  <c r="I284" i="4" s="1"/>
  <c r="I283" i="4" s="1"/>
  <c r="I282" i="4" s="1"/>
  <c r="I281" i="4" s="1"/>
  <c r="H38" i="8" s="1"/>
  <c r="E141" i="3"/>
  <c r="F141" i="3" s="1"/>
  <c r="G141" i="3" s="1"/>
  <c r="H141" i="3" s="1"/>
  <c r="E137" i="3"/>
  <c r="F137" i="3" s="1"/>
  <c r="G137" i="3" s="1"/>
  <c r="H137" i="3" s="1"/>
  <c r="E150" i="3"/>
  <c r="F150" i="3" s="1"/>
  <c r="G150" i="3" s="1"/>
  <c r="H150" i="3" s="1"/>
  <c r="E315" i="3"/>
  <c r="F315" i="3" s="1"/>
  <c r="G315" i="3" s="1"/>
  <c r="H315" i="3" s="1"/>
  <c r="E308" i="3"/>
  <c r="F308" i="3" s="1"/>
  <c r="G308" i="3" s="1"/>
  <c r="H308" i="3" s="1"/>
  <c r="E323" i="3"/>
  <c r="F323" i="3" s="1"/>
  <c r="G323" i="3" s="1"/>
  <c r="H323" i="3" s="1"/>
  <c r="E213" i="3"/>
  <c r="F213" i="3" s="1"/>
  <c r="G213" i="3" s="1"/>
  <c r="H213" i="3" s="1"/>
  <c r="E217" i="3"/>
  <c r="F217" i="3" s="1"/>
  <c r="G217" i="3" s="1"/>
  <c r="H217" i="3" s="1"/>
  <c r="E225" i="3"/>
  <c r="F225" i="3" s="1"/>
  <c r="G225" i="3" s="1"/>
  <c r="H225" i="3" s="1"/>
  <c r="E171" i="3"/>
  <c r="F171" i="3" s="1"/>
  <c r="G171" i="3" s="1"/>
  <c r="H171" i="3" s="1"/>
  <c r="E166" i="3"/>
  <c r="F166" i="3" s="1"/>
  <c r="G166" i="3" s="1"/>
  <c r="H166" i="3" s="1"/>
  <c r="AJ21" i="6"/>
  <c r="AJ29" i="6"/>
  <c r="AJ18" i="6"/>
  <c r="AJ26" i="6"/>
  <c r="AJ33" i="6"/>
  <c r="AJ23" i="6"/>
  <c r="AJ13" i="6"/>
  <c r="AJ31" i="6"/>
  <c r="AJ25" i="6"/>
  <c r="AJ15" i="6"/>
  <c r="AJ20" i="6"/>
  <c r="AJ17" i="6"/>
  <c r="AJ32" i="6"/>
  <c r="AJ14" i="6"/>
  <c r="AJ30" i="6"/>
  <c r="AJ19" i="6"/>
  <c r="AJ27" i="6"/>
  <c r="AJ28" i="6"/>
  <c r="AJ16" i="6"/>
  <c r="AJ24" i="6"/>
  <c r="AJ22" i="6"/>
  <c r="G181" i="5"/>
  <c r="H181" i="5" s="1"/>
  <c r="I181" i="5"/>
  <c r="I180" i="5" s="1"/>
  <c r="I179" i="5" s="1"/>
  <c r="I178" i="5" s="1"/>
  <c r="I177" i="5" s="1"/>
  <c r="I176" i="5" s="1"/>
  <c r="I175" i="5" s="1"/>
  <c r="I174" i="5" s="1"/>
  <c r="I173" i="5" s="1"/>
  <c r="I172" i="5" s="1"/>
  <c r="I171" i="5" s="1"/>
  <c r="I170" i="5" s="1"/>
  <c r="I169" i="5" s="1"/>
  <c r="I168" i="5" s="1"/>
  <c r="I167" i="5" s="1"/>
  <c r="I166" i="5" s="1"/>
  <c r="I165" i="5" s="1"/>
  <c r="I164" i="5" s="1"/>
  <c r="I163" i="5" s="1"/>
  <c r="I162" i="5" s="1"/>
  <c r="I161" i="5" s="1"/>
  <c r="H45" i="8" s="1"/>
  <c r="E142" i="3"/>
  <c r="F142" i="3" s="1"/>
  <c r="G142" i="3" s="1"/>
  <c r="H142" i="3" s="1"/>
  <c r="E143" i="3"/>
  <c r="F143" i="3" s="1"/>
  <c r="G143" i="3" s="1"/>
  <c r="H143" i="3" s="1"/>
  <c r="E147" i="3"/>
  <c r="F147" i="3" s="1"/>
  <c r="G147" i="3" s="1"/>
  <c r="H147" i="3" s="1"/>
  <c r="E322" i="3"/>
  <c r="F322" i="3" s="1"/>
  <c r="G322" i="3" s="1"/>
  <c r="H322" i="3" s="1"/>
  <c r="E305" i="3"/>
  <c r="F305" i="3" s="1"/>
  <c r="G305" i="3" s="1"/>
  <c r="H305" i="3" s="1"/>
  <c r="E325" i="3"/>
  <c r="F325" i="3" s="1"/>
  <c r="E210" i="3"/>
  <c r="F210" i="3" s="1"/>
  <c r="G210" i="3" s="1"/>
  <c r="H210" i="3" s="1"/>
  <c r="E216" i="3"/>
  <c r="F216" i="3" s="1"/>
  <c r="G216" i="3" s="1"/>
  <c r="H216" i="3" s="1"/>
  <c r="I85" i="4"/>
  <c r="I84" i="4" s="1"/>
  <c r="I83" i="4" s="1"/>
  <c r="I82" i="4" s="1"/>
  <c r="I81" i="4" s="1"/>
  <c r="I80" i="4" s="1"/>
  <c r="I79" i="4" s="1"/>
  <c r="I78" i="4" s="1"/>
  <c r="I77" i="4" s="1"/>
  <c r="I76" i="4" s="1"/>
  <c r="I75" i="4" s="1"/>
  <c r="I74" i="4" s="1"/>
  <c r="I73" i="4" s="1"/>
  <c r="I72" i="4" s="1"/>
  <c r="I71" i="4" s="1"/>
  <c r="I70" i="4" s="1"/>
  <c r="I69" i="4" s="1"/>
  <c r="I68" i="4" s="1"/>
  <c r="I67" i="4" s="1"/>
  <c r="I66" i="4" s="1"/>
  <c r="I65" i="4" s="1"/>
  <c r="H29" i="8" s="1"/>
  <c r="G85" i="4"/>
  <c r="H85" i="4" s="1"/>
  <c r="G133" i="5"/>
  <c r="H133" i="5" s="1"/>
  <c r="I133" i="5"/>
  <c r="I132" i="5" s="1"/>
  <c r="I131" i="5" s="1"/>
  <c r="I130" i="5" s="1"/>
  <c r="I129" i="5" s="1"/>
  <c r="I128" i="5" s="1"/>
  <c r="I127" i="5" s="1"/>
  <c r="I126" i="5" s="1"/>
  <c r="I125" i="5" s="1"/>
  <c r="I124" i="5" s="1"/>
  <c r="I123" i="5" s="1"/>
  <c r="I122" i="5" s="1"/>
  <c r="I121" i="5" s="1"/>
  <c r="I120" i="5" s="1"/>
  <c r="I119" i="5" s="1"/>
  <c r="I118" i="5" s="1"/>
  <c r="I117" i="5" s="1"/>
  <c r="I116" i="5" s="1"/>
  <c r="I115" i="5" s="1"/>
  <c r="I114" i="5" s="1"/>
  <c r="I113" i="5" s="1"/>
  <c r="H43" i="8" s="1"/>
  <c r="E139" i="3"/>
  <c r="F139" i="3" s="1"/>
  <c r="G139" i="3" s="1"/>
  <c r="H139" i="3" s="1"/>
  <c r="E155" i="3"/>
  <c r="F155" i="3" s="1"/>
  <c r="G155" i="3" s="1"/>
  <c r="H155" i="3" s="1"/>
  <c r="E144" i="3"/>
  <c r="F144" i="3" s="1"/>
  <c r="G144" i="3" s="1"/>
  <c r="H144" i="3" s="1"/>
  <c r="E317" i="3"/>
  <c r="F317" i="3" s="1"/>
  <c r="G317" i="3" s="1"/>
  <c r="H317" i="3" s="1"/>
  <c r="E309" i="3"/>
  <c r="F309" i="3" s="1"/>
  <c r="G309" i="3" s="1"/>
  <c r="H309" i="3" s="1"/>
  <c r="E307" i="3"/>
  <c r="F307" i="3" s="1"/>
  <c r="G307" i="3" s="1"/>
  <c r="H307" i="3" s="1"/>
  <c r="E215" i="3"/>
  <c r="F215" i="3" s="1"/>
  <c r="G215" i="3" s="1"/>
  <c r="H215" i="3" s="1"/>
  <c r="E212" i="3"/>
  <c r="F212" i="3" s="1"/>
  <c r="G212" i="3" s="1"/>
  <c r="H212" i="3" s="1"/>
  <c r="E167" i="3"/>
  <c r="F167" i="3" s="1"/>
  <c r="G167" i="3" s="1"/>
  <c r="H167" i="3" s="1"/>
  <c r="E176" i="3"/>
  <c r="F176" i="3" s="1"/>
  <c r="G176" i="3" s="1"/>
  <c r="H176" i="3" s="1"/>
  <c r="E173" i="3"/>
  <c r="F173" i="3" s="1"/>
  <c r="G173" i="3" s="1"/>
  <c r="H173" i="3" s="1"/>
  <c r="AK14" i="6"/>
  <c r="AK23" i="6"/>
  <c r="AK33" i="6"/>
  <c r="AK26" i="6"/>
  <c r="AK15" i="6"/>
  <c r="AK18" i="6"/>
  <c r="AK28" i="6"/>
  <c r="AK13" i="6"/>
  <c r="AK24" i="6"/>
  <c r="AK17" i="6"/>
  <c r="AK25" i="6"/>
  <c r="AK29" i="6"/>
  <c r="AK22" i="6"/>
  <c r="AK30" i="6"/>
  <c r="AK21" i="6"/>
  <c r="AK20" i="6"/>
  <c r="AK16" i="6"/>
  <c r="AK27" i="6"/>
  <c r="AK32" i="6"/>
  <c r="AK31" i="6"/>
  <c r="AK19" i="6"/>
  <c r="AH33" i="6"/>
  <c r="AH23" i="6"/>
  <c r="AH16" i="6"/>
  <c r="AH15" i="6"/>
  <c r="AH20" i="6"/>
  <c r="AH32" i="6"/>
  <c r="AH13" i="6"/>
  <c r="AH14" i="6"/>
  <c r="AH22" i="6"/>
  <c r="AH25" i="6"/>
  <c r="AH27" i="6"/>
  <c r="AH28" i="6"/>
  <c r="AH30" i="6"/>
  <c r="AH29" i="6"/>
  <c r="AH17" i="6"/>
  <c r="AH26" i="6"/>
  <c r="AH19" i="6"/>
  <c r="AH31" i="6"/>
  <c r="AH21" i="6"/>
  <c r="AH18" i="6"/>
  <c r="AH24" i="6"/>
  <c r="E154" i="3"/>
  <c r="F154" i="3" s="1"/>
  <c r="G154" i="3" s="1"/>
  <c r="H154" i="3" s="1"/>
  <c r="E149" i="3"/>
  <c r="F149" i="3" s="1"/>
  <c r="G149" i="3" s="1"/>
  <c r="H149" i="3" s="1"/>
  <c r="E156" i="3"/>
  <c r="F156" i="3" s="1"/>
  <c r="G156" i="3" s="1"/>
  <c r="H156" i="3" s="1"/>
  <c r="E314" i="3"/>
  <c r="F314" i="3" s="1"/>
  <c r="G314" i="3" s="1"/>
  <c r="H314" i="3" s="1"/>
  <c r="E306" i="3"/>
  <c r="F306" i="3" s="1"/>
  <c r="G306" i="3" s="1"/>
  <c r="H306" i="3" s="1"/>
  <c r="E227" i="3"/>
  <c r="F227" i="3" s="1"/>
  <c r="G227" i="3" s="1"/>
  <c r="H227" i="3" s="1"/>
  <c r="E209" i="3"/>
  <c r="F209" i="3" s="1"/>
  <c r="G209" i="3" s="1"/>
  <c r="H209" i="3" s="1"/>
  <c r="E165" i="3"/>
  <c r="F165" i="3" s="1"/>
  <c r="G165" i="3" s="1"/>
  <c r="H165" i="3" s="1"/>
  <c r="E163" i="3"/>
  <c r="F163" i="3" s="1"/>
  <c r="G163" i="3" s="1"/>
  <c r="H163" i="3" s="1"/>
  <c r="E169" i="3"/>
  <c r="F169" i="3" s="1"/>
  <c r="G169" i="3" s="1"/>
  <c r="H169" i="3" s="1"/>
  <c r="I325" i="5"/>
  <c r="I324" i="5" s="1"/>
  <c r="I323" i="5" s="1"/>
  <c r="I322" i="5" s="1"/>
  <c r="I321" i="5" s="1"/>
  <c r="I320" i="5" s="1"/>
  <c r="I319" i="5" s="1"/>
  <c r="I318" i="5" s="1"/>
  <c r="I317" i="5" s="1"/>
  <c r="I316" i="5" s="1"/>
  <c r="I315" i="5" s="1"/>
  <c r="I314" i="5" s="1"/>
  <c r="I313" i="5" s="1"/>
  <c r="I312" i="5" s="1"/>
  <c r="I311" i="5" s="1"/>
  <c r="I310" i="5" s="1"/>
  <c r="I309" i="5" s="1"/>
  <c r="I308" i="5" s="1"/>
  <c r="I307" i="5" s="1"/>
  <c r="I306" i="5" s="1"/>
  <c r="I305" i="5" s="1"/>
  <c r="H51" i="8" s="1"/>
  <c r="G325" i="5"/>
  <c r="H325" i="5" s="1"/>
  <c r="G301" i="5"/>
  <c r="H301" i="5" s="1"/>
  <c r="I301" i="5"/>
  <c r="I300" i="5" s="1"/>
  <c r="I299" i="5" s="1"/>
  <c r="I298" i="5" s="1"/>
  <c r="I297" i="5" s="1"/>
  <c r="I296" i="5" s="1"/>
  <c r="I295" i="5" s="1"/>
  <c r="I294" i="5" s="1"/>
  <c r="I293" i="5" s="1"/>
  <c r="I292" i="5" s="1"/>
  <c r="I291" i="5" s="1"/>
  <c r="I290" i="5" s="1"/>
  <c r="I289" i="5" s="1"/>
  <c r="I288" i="5" s="1"/>
  <c r="I287" i="5" s="1"/>
  <c r="I286" i="5" s="1"/>
  <c r="I285" i="5" s="1"/>
  <c r="I284" i="5" s="1"/>
  <c r="I283" i="5" s="1"/>
  <c r="I282" i="5" s="1"/>
  <c r="I281" i="5" s="1"/>
  <c r="H50" i="8" s="1"/>
  <c r="AD23" i="6"/>
  <c r="AD16" i="6"/>
  <c r="AD13" i="6"/>
  <c r="AD33" i="6"/>
  <c r="AD31" i="6"/>
  <c r="AD25" i="6"/>
  <c r="AD15" i="6"/>
  <c r="AD20" i="6"/>
  <c r="AD30" i="6"/>
  <c r="AD27" i="6"/>
  <c r="AD32" i="6"/>
  <c r="AD28" i="6"/>
  <c r="AD29" i="6"/>
  <c r="AD24" i="6"/>
  <c r="AD17" i="6"/>
  <c r="AD19" i="6"/>
  <c r="AD14" i="6"/>
  <c r="AD22" i="6"/>
  <c r="AD21" i="6"/>
  <c r="AD18" i="6"/>
  <c r="AD26" i="6"/>
  <c r="AF8" i="6"/>
  <c r="E243" i="3"/>
  <c r="F243" i="3" s="1"/>
  <c r="G243" i="3" s="1"/>
  <c r="H243" i="3" s="1"/>
  <c r="E238" i="3"/>
  <c r="F238" i="3" s="1"/>
  <c r="G238" i="3" s="1"/>
  <c r="H238" i="3" s="1"/>
  <c r="E233" i="3"/>
  <c r="F233" i="3" s="1"/>
  <c r="G233" i="3" s="1"/>
  <c r="H233" i="3" s="1"/>
  <c r="E236" i="3"/>
  <c r="F236" i="3" s="1"/>
  <c r="G236" i="3" s="1"/>
  <c r="H236" i="3" s="1"/>
  <c r="E247" i="3"/>
  <c r="F247" i="3" s="1"/>
  <c r="G247" i="3" s="1"/>
  <c r="H247" i="3" s="1"/>
  <c r="E234" i="3"/>
  <c r="F234" i="3" s="1"/>
  <c r="G234" i="3" s="1"/>
  <c r="H234" i="3" s="1"/>
  <c r="E237" i="3"/>
  <c r="F237" i="3" s="1"/>
  <c r="G237" i="3" s="1"/>
  <c r="H237" i="3" s="1"/>
  <c r="E242" i="3"/>
  <c r="F242" i="3" s="1"/>
  <c r="G242" i="3" s="1"/>
  <c r="H242" i="3" s="1"/>
  <c r="E245" i="3"/>
  <c r="F245" i="3" s="1"/>
  <c r="G245" i="3" s="1"/>
  <c r="H245" i="3" s="1"/>
  <c r="E241" i="3"/>
  <c r="F241" i="3" s="1"/>
  <c r="G241" i="3" s="1"/>
  <c r="H241" i="3" s="1"/>
  <c r="E244" i="3"/>
  <c r="F244" i="3" s="1"/>
  <c r="G244" i="3" s="1"/>
  <c r="H244" i="3" s="1"/>
  <c r="E240" i="3"/>
  <c r="F240" i="3" s="1"/>
  <c r="G240" i="3" s="1"/>
  <c r="H240" i="3" s="1"/>
  <c r="E249" i="3"/>
  <c r="F249" i="3" s="1"/>
  <c r="G249" i="3" s="1"/>
  <c r="H249" i="3" s="1"/>
  <c r="E252" i="3"/>
  <c r="F252" i="3" s="1"/>
  <c r="G252" i="3" s="1"/>
  <c r="H252" i="3" s="1"/>
  <c r="E248" i="3"/>
  <c r="F248" i="3" s="1"/>
  <c r="G248" i="3" s="1"/>
  <c r="H248" i="3" s="1"/>
  <c r="E250" i="3"/>
  <c r="F250" i="3" s="1"/>
  <c r="G250" i="3" s="1"/>
  <c r="H250" i="3" s="1"/>
  <c r="E253" i="3"/>
  <c r="F253" i="3" s="1"/>
  <c r="E246" i="3"/>
  <c r="F246" i="3" s="1"/>
  <c r="G246" i="3" s="1"/>
  <c r="H246" i="3" s="1"/>
  <c r="E239" i="3"/>
  <c r="F239" i="3" s="1"/>
  <c r="G239" i="3" s="1"/>
  <c r="H239" i="3" s="1"/>
  <c r="E235" i="3"/>
  <c r="F235" i="3" s="1"/>
  <c r="G235" i="3" s="1"/>
  <c r="H235" i="3" s="1"/>
  <c r="E251" i="3"/>
  <c r="F251" i="3" s="1"/>
  <c r="G251" i="3" s="1"/>
  <c r="H251" i="3" s="1"/>
  <c r="E157" i="3"/>
  <c r="F157" i="3" s="1"/>
  <c r="E153" i="3"/>
  <c r="F153" i="3" s="1"/>
  <c r="G153" i="3" s="1"/>
  <c r="H153" i="3" s="1"/>
  <c r="E138" i="3"/>
  <c r="F138" i="3" s="1"/>
  <c r="G138" i="3" s="1"/>
  <c r="H138" i="3" s="1"/>
  <c r="E312" i="3"/>
  <c r="F312" i="3" s="1"/>
  <c r="G312" i="3" s="1"/>
  <c r="H312" i="3" s="1"/>
  <c r="E320" i="3"/>
  <c r="F320" i="3" s="1"/>
  <c r="G320" i="3" s="1"/>
  <c r="H320" i="3" s="1"/>
  <c r="E229" i="3"/>
  <c r="F229" i="3" s="1"/>
  <c r="E222" i="3"/>
  <c r="F222" i="3" s="1"/>
  <c r="G222" i="3" s="1"/>
  <c r="H222" i="3" s="1"/>
  <c r="E214" i="3"/>
  <c r="F214" i="3" s="1"/>
  <c r="G214" i="3" s="1"/>
  <c r="H214" i="3" s="1"/>
  <c r="E180" i="3"/>
  <c r="F180" i="3" s="1"/>
  <c r="G180" i="3" s="1"/>
  <c r="H180" i="3" s="1"/>
  <c r="E177" i="3"/>
  <c r="F177" i="3" s="1"/>
  <c r="G177" i="3" s="1"/>
  <c r="H177" i="3" s="1"/>
  <c r="E172" i="3"/>
  <c r="F172" i="3" s="1"/>
  <c r="G172" i="3" s="1"/>
  <c r="H172" i="3" s="1"/>
  <c r="G253" i="5"/>
  <c r="H253" i="5" s="1"/>
  <c r="I253" i="5"/>
  <c r="I252" i="5" s="1"/>
  <c r="I251" i="5" s="1"/>
  <c r="I250" i="5" s="1"/>
  <c r="I249" i="5" s="1"/>
  <c r="I248" i="5" s="1"/>
  <c r="I247" i="5" s="1"/>
  <c r="I246" i="5" s="1"/>
  <c r="I245" i="5" s="1"/>
  <c r="I244" i="5" s="1"/>
  <c r="I243" i="5" s="1"/>
  <c r="I242" i="5" s="1"/>
  <c r="I241" i="5" s="1"/>
  <c r="I240" i="5" s="1"/>
  <c r="I239" i="5" s="1"/>
  <c r="I238" i="5" s="1"/>
  <c r="I237" i="5" s="1"/>
  <c r="I236" i="5" s="1"/>
  <c r="I235" i="5" s="1"/>
  <c r="I234" i="5" s="1"/>
  <c r="I233" i="5" s="1"/>
  <c r="H48" i="8" s="1"/>
  <c r="G157" i="5"/>
  <c r="H157" i="5" s="1"/>
  <c r="I157" i="5"/>
  <c r="I156" i="5" s="1"/>
  <c r="I155" i="5" s="1"/>
  <c r="I154" i="5" s="1"/>
  <c r="I153" i="5" s="1"/>
  <c r="I152" i="5" s="1"/>
  <c r="I151" i="5" s="1"/>
  <c r="I150" i="5" s="1"/>
  <c r="I149" i="5" s="1"/>
  <c r="I148" i="5" s="1"/>
  <c r="I147" i="5" s="1"/>
  <c r="I146" i="5" s="1"/>
  <c r="I145" i="5" s="1"/>
  <c r="I144" i="5" s="1"/>
  <c r="I143" i="5" s="1"/>
  <c r="I142" i="5" s="1"/>
  <c r="I141" i="5" s="1"/>
  <c r="I140" i="5" s="1"/>
  <c r="I139" i="5" s="1"/>
  <c r="I138" i="5" s="1"/>
  <c r="I137" i="5" s="1"/>
  <c r="H44" i="8" s="1"/>
  <c r="N8" i="6"/>
  <c r="E97" i="3"/>
  <c r="F97" i="3" s="1"/>
  <c r="G97" i="3" s="1"/>
  <c r="H97" i="3" s="1"/>
  <c r="E92" i="3"/>
  <c r="F92" i="3" s="1"/>
  <c r="G92" i="3" s="1"/>
  <c r="H92" i="3" s="1"/>
  <c r="E94" i="3"/>
  <c r="F94" i="3" s="1"/>
  <c r="G94" i="3" s="1"/>
  <c r="H94" i="3" s="1"/>
  <c r="E105" i="3"/>
  <c r="F105" i="3" s="1"/>
  <c r="G105" i="3" s="1"/>
  <c r="H105" i="3" s="1"/>
  <c r="E108" i="3"/>
  <c r="F108" i="3" s="1"/>
  <c r="G108" i="3" s="1"/>
  <c r="H108" i="3" s="1"/>
  <c r="E103" i="3"/>
  <c r="F103" i="3" s="1"/>
  <c r="G103" i="3" s="1"/>
  <c r="H103" i="3" s="1"/>
  <c r="E106" i="3"/>
  <c r="F106" i="3" s="1"/>
  <c r="G106" i="3" s="1"/>
  <c r="H106" i="3" s="1"/>
  <c r="E109" i="3"/>
  <c r="F109" i="3" s="1"/>
  <c r="E91" i="3"/>
  <c r="F91" i="3" s="1"/>
  <c r="G91" i="3" s="1"/>
  <c r="H91" i="3" s="1"/>
  <c r="E96" i="3"/>
  <c r="F96" i="3" s="1"/>
  <c r="G96" i="3" s="1"/>
  <c r="H96" i="3" s="1"/>
  <c r="E90" i="3"/>
  <c r="F90" i="3" s="1"/>
  <c r="G90" i="3" s="1"/>
  <c r="H90" i="3" s="1"/>
  <c r="E93" i="3"/>
  <c r="F93" i="3" s="1"/>
  <c r="G93" i="3" s="1"/>
  <c r="H93" i="3" s="1"/>
  <c r="E98" i="3"/>
  <c r="F98" i="3" s="1"/>
  <c r="G98" i="3" s="1"/>
  <c r="H98" i="3" s="1"/>
  <c r="E101" i="3"/>
  <c r="F101" i="3" s="1"/>
  <c r="G101" i="3" s="1"/>
  <c r="H101" i="3" s="1"/>
  <c r="E99" i="3"/>
  <c r="F99" i="3" s="1"/>
  <c r="G99" i="3" s="1"/>
  <c r="H99" i="3" s="1"/>
  <c r="E104" i="3"/>
  <c r="F104" i="3" s="1"/>
  <c r="G104" i="3" s="1"/>
  <c r="H104" i="3" s="1"/>
  <c r="E89" i="3"/>
  <c r="F89" i="3" s="1"/>
  <c r="G89" i="3" s="1"/>
  <c r="H89" i="3" s="1"/>
  <c r="E107" i="3"/>
  <c r="F107" i="3" s="1"/>
  <c r="G107" i="3" s="1"/>
  <c r="H107" i="3" s="1"/>
  <c r="E100" i="3"/>
  <c r="F100" i="3" s="1"/>
  <c r="G100" i="3" s="1"/>
  <c r="H100" i="3" s="1"/>
  <c r="E102" i="3"/>
  <c r="F102" i="3" s="1"/>
  <c r="G102" i="3" s="1"/>
  <c r="H102" i="3" s="1"/>
  <c r="E95" i="3"/>
  <c r="F95" i="3" s="1"/>
  <c r="G95" i="3" s="1"/>
  <c r="H95" i="3" s="1"/>
  <c r="E146" i="3"/>
  <c r="F146" i="3" s="1"/>
  <c r="G146" i="3" s="1"/>
  <c r="H146" i="3" s="1"/>
  <c r="E152" i="3"/>
  <c r="F152" i="3" s="1"/>
  <c r="G152" i="3" s="1"/>
  <c r="H152" i="3" s="1"/>
  <c r="E316" i="3"/>
  <c r="F316" i="3" s="1"/>
  <c r="G316" i="3" s="1"/>
  <c r="H316" i="3" s="1"/>
  <c r="E324" i="3"/>
  <c r="F324" i="3" s="1"/>
  <c r="G324" i="3" s="1"/>
  <c r="H324" i="3" s="1"/>
  <c r="E221" i="3"/>
  <c r="F221" i="3" s="1"/>
  <c r="G221" i="3" s="1"/>
  <c r="H221" i="3" s="1"/>
  <c r="E219" i="3"/>
  <c r="F219" i="3" s="1"/>
  <c r="G219" i="3" s="1"/>
  <c r="H219" i="3" s="1"/>
  <c r="E211" i="3"/>
  <c r="F211" i="3" s="1"/>
  <c r="G211" i="3" s="1"/>
  <c r="H211" i="3" s="1"/>
  <c r="E170" i="3"/>
  <c r="F170" i="3" s="1"/>
  <c r="G170" i="3" s="1"/>
  <c r="H170" i="3" s="1"/>
  <c r="E175" i="3"/>
  <c r="F175" i="3" s="1"/>
  <c r="G175" i="3" s="1"/>
  <c r="H175" i="3" s="1"/>
  <c r="E178" i="3"/>
  <c r="F178" i="3" s="1"/>
  <c r="G178" i="3" s="1"/>
  <c r="H178" i="3" s="1"/>
  <c r="I109" i="5"/>
  <c r="I108" i="5" s="1"/>
  <c r="I107" i="5" s="1"/>
  <c r="I106" i="5" s="1"/>
  <c r="I105" i="5" s="1"/>
  <c r="I104" i="5" s="1"/>
  <c r="I103" i="5" s="1"/>
  <c r="I102" i="5" s="1"/>
  <c r="I101" i="5" s="1"/>
  <c r="I100" i="5" s="1"/>
  <c r="I99" i="5" s="1"/>
  <c r="I98" i="5" s="1"/>
  <c r="I97" i="5" s="1"/>
  <c r="I96" i="5" s="1"/>
  <c r="I95" i="5" s="1"/>
  <c r="I94" i="5" s="1"/>
  <c r="I93" i="5" s="1"/>
  <c r="I92" i="5" s="1"/>
  <c r="I91" i="5" s="1"/>
  <c r="I90" i="5" s="1"/>
  <c r="I89" i="5" s="1"/>
  <c r="H42" i="8" s="1"/>
  <c r="G109" i="5"/>
  <c r="H109" i="5" s="1"/>
  <c r="E151" i="3"/>
  <c r="F151" i="3" s="1"/>
  <c r="G151" i="3" s="1"/>
  <c r="H151" i="3" s="1"/>
  <c r="E148" i="3"/>
  <c r="F148" i="3" s="1"/>
  <c r="G148" i="3" s="1"/>
  <c r="H148" i="3" s="1"/>
  <c r="E310" i="3"/>
  <c r="F310" i="3" s="1"/>
  <c r="G310" i="3" s="1"/>
  <c r="H310" i="3" s="1"/>
  <c r="E313" i="3"/>
  <c r="F313" i="3" s="1"/>
  <c r="G313" i="3" s="1"/>
  <c r="H313" i="3" s="1"/>
  <c r="E321" i="3"/>
  <c r="F321" i="3" s="1"/>
  <c r="G321" i="3" s="1"/>
  <c r="H321" i="3" s="1"/>
  <c r="E226" i="3"/>
  <c r="F226" i="3" s="1"/>
  <c r="G226" i="3" s="1"/>
  <c r="H226" i="3" s="1"/>
  <c r="E224" i="3"/>
  <c r="F224" i="3" s="1"/>
  <c r="G224" i="3" s="1"/>
  <c r="H224" i="3" s="1"/>
  <c r="E223" i="3"/>
  <c r="F223" i="3" s="1"/>
  <c r="G223" i="3" s="1"/>
  <c r="H223" i="3" s="1"/>
  <c r="E164" i="3"/>
  <c r="F164" i="3" s="1"/>
  <c r="G164" i="3" s="1"/>
  <c r="H164" i="3" s="1"/>
  <c r="E174" i="3"/>
  <c r="F174" i="3" s="1"/>
  <c r="G174" i="3" s="1"/>
  <c r="H174" i="3" s="1"/>
  <c r="E161" i="3"/>
  <c r="F161" i="3" s="1"/>
  <c r="G161" i="3" s="1"/>
  <c r="H161" i="3" s="1"/>
  <c r="E140" i="3"/>
  <c r="F140" i="3" s="1"/>
  <c r="G140" i="3" s="1"/>
  <c r="H140" i="3" s="1"/>
  <c r="E145" i="3"/>
  <c r="F145" i="3" s="1"/>
  <c r="G145" i="3" s="1"/>
  <c r="H145" i="3" s="1"/>
  <c r="E318" i="3"/>
  <c r="F318" i="3" s="1"/>
  <c r="G318" i="3" s="1"/>
  <c r="H318" i="3" s="1"/>
  <c r="E319" i="3"/>
  <c r="F319" i="3" s="1"/>
  <c r="G319" i="3" s="1"/>
  <c r="H319" i="3" s="1"/>
  <c r="E311" i="3"/>
  <c r="F311" i="3" s="1"/>
  <c r="G311" i="3" s="1"/>
  <c r="H311" i="3" s="1"/>
  <c r="E218" i="3"/>
  <c r="F218" i="3" s="1"/>
  <c r="G218" i="3" s="1"/>
  <c r="H218" i="3" s="1"/>
  <c r="E228" i="3"/>
  <c r="F228" i="3" s="1"/>
  <c r="G228" i="3" s="1"/>
  <c r="H228" i="3" s="1"/>
  <c r="E220" i="3"/>
  <c r="F220" i="3" s="1"/>
  <c r="G220" i="3" s="1"/>
  <c r="H220" i="3" s="1"/>
  <c r="E162" i="3"/>
  <c r="F162" i="3" s="1"/>
  <c r="G162" i="3" s="1"/>
  <c r="H162" i="3" s="1"/>
  <c r="E179" i="3"/>
  <c r="F179" i="3" s="1"/>
  <c r="G179" i="3" s="1"/>
  <c r="H179" i="3" s="1"/>
  <c r="Q16" i="6" l="1"/>
  <c r="K32" i="6"/>
  <c r="K25" i="6"/>
  <c r="K13" i="6"/>
  <c r="K29" i="6"/>
  <c r="K33" i="6"/>
  <c r="K15" i="6"/>
  <c r="K23" i="6"/>
  <c r="K24" i="6"/>
  <c r="K18" i="6"/>
  <c r="K27" i="6"/>
  <c r="K20" i="6"/>
  <c r="K22" i="6"/>
  <c r="Q13" i="6"/>
  <c r="Q14" i="6"/>
  <c r="Q28" i="6"/>
  <c r="Q32" i="6"/>
  <c r="K14" i="6"/>
  <c r="Q26" i="6"/>
  <c r="Q30" i="6"/>
  <c r="K31" i="6"/>
  <c r="Q15" i="6"/>
  <c r="K30" i="6"/>
  <c r="Q21" i="6"/>
  <c r="K28" i="6"/>
  <c r="K26" i="6"/>
  <c r="K21" i="6"/>
  <c r="Q29" i="6"/>
  <c r="AI16" i="6"/>
  <c r="Q23" i="6"/>
  <c r="Q20" i="6"/>
  <c r="Q22" i="6"/>
  <c r="Q33" i="6"/>
  <c r="Q18" i="6"/>
  <c r="Q24" i="6"/>
  <c r="Q25" i="6"/>
  <c r="Q19" i="6"/>
  <c r="K16" i="6"/>
  <c r="Q17" i="6"/>
  <c r="Q31" i="6"/>
  <c r="H27" i="6"/>
  <c r="K17" i="6"/>
  <c r="H32" i="6"/>
  <c r="H14" i="6"/>
  <c r="H17" i="6"/>
  <c r="H26" i="6"/>
  <c r="H16" i="6"/>
  <c r="H24" i="6"/>
  <c r="H13" i="6"/>
  <c r="H25" i="6"/>
  <c r="H19" i="6"/>
  <c r="H23" i="6"/>
  <c r="H18" i="6"/>
  <c r="H30" i="6"/>
  <c r="H33" i="6"/>
  <c r="H20" i="6"/>
  <c r="H29" i="6"/>
  <c r="H28" i="6"/>
  <c r="H21" i="6"/>
  <c r="H22" i="6"/>
  <c r="H31" i="6"/>
  <c r="AI15" i="6"/>
  <c r="AI20" i="6"/>
  <c r="AI26" i="6"/>
  <c r="AI14" i="6"/>
  <c r="AI23" i="6"/>
  <c r="AI33" i="6"/>
  <c r="AI25" i="6"/>
  <c r="AI18" i="6"/>
  <c r="AI31" i="6"/>
  <c r="AI17" i="6"/>
  <c r="AI13" i="6"/>
  <c r="AI27" i="6"/>
  <c r="AI28" i="6"/>
  <c r="AI32" i="6"/>
  <c r="AI22" i="6"/>
  <c r="AI29" i="6"/>
  <c r="AI24" i="6"/>
  <c r="AI21" i="6"/>
  <c r="AI19" i="6"/>
  <c r="AI30" i="6"/>
  <c r="AO20" i="6"/>
  <c r="T32" i="6"/>
  <c r="T19" i="6"/>
  <c r="T27" i="6"/>
  <c r="T16" i="6"/>
  <c r="T21" i="6"/>
  <c r="T15" i="6"/>
  <c r="T24" i="6"/>
  <c r="AO19" i="6"/>
  <c r="AO16" i="6"/>
  <c r="AO21" i="6"/>
  <c r="AO26" i="6"/>
  <c r="AO31" i="6"/>
  <c r="AO29" i="6"/>
  <c r="AO18" i="6"/>
  <c r="AO14" i="6"/>
  <c r="AO13" i="6"/>
  <c r="AO23" i="6"/>
  <c r="AO25" i="6"/>
  <c r="AO32" i="6"/>
  <c r="AO28" i="6"/>
  <c r="AO22" i="6"/>
  <c r="AO27" i="6"/>
  <c r="AO17" i="6"/>
  <c r="AO24" i="6"/>
  <c r="AO33" i="6"/>
  <c r="AO15" i="6"/>
  <c r="W25" i="6"/>
  <c r="W23" i="6"/>
  <c r="W18" i="6"/>
  <c r="W28" i="6"/>
  <c r="W24" i="6"/>
  <c r="W15" i="6"/>
  <c r="W31" i="6"/>
  <c r="AC19" i="6"/>
  <c r="T17" i="6"/>
  <c r="W22" i="6"/>
  <c r="W21" i="6"/>
  <c r="W32" i="6"/>
  <c r="W19" i="6"/>
  <c r="W17" i="6"/>
  <c r="W16" i="6"/>
  <c r="T33" i="6"/>
  <c r="T13" i="6"/>
  <c r="T22" i="6"/>
  <c r="AC22" i="6"/>
  <c r="AC28" i="6"/>
  <c r="AC23" i="6"/>
  <c r="AC21" i="6"/>
  <c r="AC20" i="6"/>
  <c r="AC14" i="6"/>
  <c r="AC30" i="6"/>
  <c r="AC16" i="6"/>
  <c r="AC32" i="6"/>
  <c r="AC31" i="6"/>
  <c r="AC29" i="6"/>
  <c r="AC15" i="6"/>
  <c r="AC27" i="6"/>
  <c r="AC13" i="6"/>
  <c r="AC18" i="6"/>
  <c r="AC24" i="6"/>
  <c r="AC25" i="6"/>
  <c r="AC26" i="6"/>
  <c r="AC33" i="6"/>
  <c r="T28" i="6"/>
  <c r="T20" i="6"/>
  <c r="T29" i="6"/>
  <c r="I60" i="3"/>
  <c r="I59" i="3" s="1"/>
  <c r="I58" i="3" s="1"/>
  <c r="I57" i="3" s="1"/>
  <c r="I56" i="3" s="1"/>
  <c r="I55" i="3" s="1"/>
  <c r="I54" i="3" s="1"/>
  <c r="I53" i="3" s="1"/>
  <c r="I52" i="3" s="1"/>
  <c r="I51" i="3" s="1"/>
  <c r="I50" i="3" s="1"/>
  <c r="I49" i="3" s="1"/>
  <c r="I48" i="3" s="1"/>
  <c r="I47" i="3" s="1"/>
  <c r="I46" i="3" s="1"/>
  <c r="I45" i="3" s="1"/>
  <c r="I44" i="3" s="1"/>
  <c r="I43" i="3" s="1"/>
  <c r="I42" i="3" s="1"/>
  <c r="I41" i="3" s="1"/>
  <c r="H16" i="8" s="1"/>
  <c r="W33" i="6"/>
  <c r="W20" i="6"/>
  <c r="W14" i="6"/>
  <c r="W29" i="6"/>
  <c r="W13" i="6"/>
  <c r="W27" i="6"/>
  <c r="W26" i="6"/>
  <c r="T31" i="6"/>
  <c r="T25" i="6"/>
  <c r="T18" i="6"/>
  <c r="T26" i="6"/>
  <c r="T23" i="6"/>
  <c r="T30" i="6"/>
  <c r="G61" i="3"/>
  <c r="H61" i="3" s="1"/>
  <c r="G85" i="3"/>
  <c r="H85" i="3" s="1"/>
  <c r="G181" i="3"/>
  <c r="H181" i="3" s="1"/>
  <c r="AF22" i="6"/>
  <c r="AF25" i="6"/>
  <c r="AF17" i="6"/>
  <c r="AF21" i="6"/>
  <c r="AF24" i="6"/>
  <c r="AF13" i="6"/>
  <c r="AF28" i="6"/>
  <c r="AF33" i="6"/>
  <c r="AF32" i="6"/>
  <c r="AF16" i="6"/>
  <c r="AF26" i="6"/>
  <c r="AF29" i="6"/>
  <c r="AF27" i="6"/>
  <c r="AF14" i="6"/>
  <c r="AF18" i="6"/>
  <c r="AF23" i="6"/>
  <c r="AF30" i="6"/>
  <c r="AF20" i="6"/>
  <c r="AF19" i="6"/>
  <c r="AF31" i="6"/>
  <c r="AF15" i="6"/>
  <c r="G325" i="3"/>
  <c r="H325" i="3" s="1"/>
  <c r="I325" i="3"/>
  <c r="I324" i="3" s="1"/>
  <c r="I323" i="3" s="1"/>
  <c r="I322" i="3" s="1"/>
  <c r="I321" i="3" s="1"/>
  <c r="I320" i="3" s="1"/>
  <c r="I319" i="3" s="1"/>
  <c r="I318" i="3" s="1"/>
  <c r="I317" i="3" s="1"/>
  <c r="I316" i="3" s="1"/>
  <c r="I315" i="3" s="1"/>
  <c r="I314" i="3" s="1"/>
  <c r="I313" i="3" s="1"/>
  <c r="I312" i="3" s="1"/>
  <c r="I311" i="3" s="1"/>
  <c r="I310" i="3" s="1"/>
  <c r="I309" i="3" s="1"/>
  <c r="I308" i="3" s="1"/>
  <c r="I307" i="3" s="1"/>
  <c r="I306" i="3" s="1"/>
  <c r="I305" i="3" s="1"/>
  <c r="H27" i="8" s="1"/>
  <c r="G157" i="3"/>
  <c r="H157" i="3" s="1"/>
  <c r="I157" i="3"/>
  <c r="I156" i="3" s="1"/>
  <c r="I155" i="3" s="1"/>
  <c r="I154" i="3" s="1"/>
  <c r="I153" i="3" s="1"/>
  <c r="I152" i="3" s="1"/>
  <c r="I151" i="3" s="1"/>
  <c r="I150" i="3" s="1"/>
  <c r="I149" i="3" s="1"/>
  <c r="I148" i="3" s="1"/>
  <c r="I147" i="3" s="1"/>
  <c r="I146" i="3" s="1"/>
  <c r="I145" i="3" s="1"/>
  <c r="I144" i="3" s="1"/>
  <c r="I143" i="3" s="1"/>
  <c r="I142" i="3" s="1"/>
  <c r="I141" i="3" s="1"/>
  <c r="I140" i="3" s="1"/>
  <c r="I139" i="3" s="1"/>
  <c r="I138" i="3" s="1"/>
  <c r="I137" i="3" s="1"/>
  <c r="H20" i="8" s="1"/>
  <c r="I84" i="3"/>
  <c r="I83" i="3" s="1"/>
  <c r="I82" i="3" s="1"/>
  <c r="I81" i="3" s="1"/>
  <c r="I80" i="3" s="1"/>
  <c r="I79" i="3" s="1"/>
  <c r="I78" i="3" s="1"/>
  <c r="I77" i="3" s="1"/>
  <c r="I76" i="3" s="1"/>
  <c r="I75" i="3" s="1"/>
  <c r="I74" i="3" s="1"/>
  <c r="I73" i="3" s="1"/>
  <c r="I72" i="3" s="1"/>
  <c r="I71" i="3" s="1"/>
  <c r="I70" i="3" s="1"/>
  <c r="I69" i="3" s="1"/>
  <c r="I68" i="3" s="1"/>
  <c r="I67" i="3" s="1"/>
  <c r="I66" i="3" s="1"/>
  <c r="I65" i="3" s="1"/>
  <c r="H17" i="8" s="1"/>
  <c r="G205" i="3"/>
  <c r="H205" i="3" s="1"/>
  <c r="I205" i="3"/>
  <c r="I204" i="3" s="1"/>
  <c r="I203" i="3" s="1"/>
  <c r="I202" i="3" s="1"/>
  <c r="I201" i="3" s="1"/>
  <c r="I200" i="3" s="1"/>
  <c r="I199" i="3" s="1"/>
  <c r="I198" i="3" s="1"/>
  <c r="I197" i="3" s="1"/>
  <c r="I196" i="3" s="1"/>
  <c r="I195" i="3" s="1"/>
  <c r="I194" i="3" s="1"/>
  <c r="I193" i="3" s="1"/>
  <c r="I192" i="3" s="1"/>
  <c r="I191" i="3" s="1"/>
  <c r="I190" i="3" s="1"/>
  <c r="I189" i="3" s="1"/>
  <c r="I188" i="3" s="1"/>
  <c r="I187" i="3" s="1"/>
  <c r="I186" i="3" s="1"/>
  <c r="I185" i="3" s="1"/>
  <c r="H22" i="8" s="1"/>
  <c r="G277" i="3"/>
  <c r="H277" i="3" s="1"/>
  <c r="I277" i="3"/>
  <c r="I276" i="3" s="1"/>
  <c r="I275" i="3" s="1"/>
  <c r="I274" i="3" s="1"/>
  <c r="I273" i="3" s="1"/>
  <c r="I272" i="3" s="1"/>
  <c r="I271" i="3" s="1"/>
  <c r="I270" i="3" s="1"/>
  <c r="I269" i="3" s="1"/>
  <c r="I268" i="3" s="1"/>
  <c r="I267" i="3" s="1"/>
  <c r="I266" i="3" s="1"/>
  <c r="I265" i="3" s="1"/>
  <c r="I264" i="3" s="1"/>
  <c r="I263" i="3" s="1"/>
  <c r="I262" i="3" s="1"/>
  <c r="I261" i="3" s="1"/>
  <c r="I260" i="3" s="1"/>
  <c r="I259" i="3" s="1"/>
  <c r="I258" i="3" s="1"/>
  <c r="I257" i="3" s="1"/>
  <c r="H25" i="8" s="1"/>
  <c r="G229" i="3"/>
  <c r="H229" i="3" s="1"/>
  <c r="I229" i="3"/>
  <c r="I228" i="3" s="1"/>
  <c r="I227" i="3" s="1"/>
  <c r="I226" i="3" s="1"/>
  <c r="I225" i="3" s="1"/>
  <c r="I224" i="3" s="1"/>
  <c r="I223" i="3" s="1"/>
  <c r="I222" i="3" s="1"/>
  <c r="I221" i="3" s="1"/>
  <c r="I220" i="3" s="1"/>
  <c r="I219" i="3" s="1"/>
  <c r="I218" i="3" s="1"/>
  <c r="I217" i="3" s="1"/>
  <c r="I216" i="3" s="1"/>
  <c r="I215" i="3" s="1"/>
  <c r="I214" i="3" s="1"/>
  <c r="I213" i="3" s="1"/>
  <c r="I212" i="3" s="1"/>
  <c r="I211" i="3" s="1"/>
  <c r="I210" i="3" s="1"/>
  <c r="I209" i="3" s="1"/>
  <c r="H23" i="8" s="1"/>
  <c r="Z13" i="6"/>
  <c r="Z20" i="6"/>
  <c r="Z30" i="6"/>
  <c r="Z31" i="6"/>
  <c r="Z16" i="6"/>
  <c r="Z26" i="6"/>
  <c r="Z25" i="6"/>
  <c r="Z22" i="6"/>
  <c r="Z17" i="6"/>
  <c r="Z27" i="6"/>
  <c r="Z33" i="6"/>
  <c r="Z28" i="6"/>
  <c r="Z24" i="6"/>
  <c r="Z19" i="6"/>
  <c r="Z23" i="6"/>
  <c r="Z29" i="6"/>
  <c r="Z18" i="6"/>
  <c r="Z15" i="6"/>
  <c r="Z14" i="6"/>
  <c r="Z21" i="6"/>
  <c r="Z32" i="6"/>
  <c r="I180" i="3"/>
  <c r="I179" i="3" s="1"/>
  <c r="I178" i="3" s="1"/>
  <c r="I177" i="3" s="1"/>
  <c r="I176" i="3" s="1"/>
  <c r="I175" i="3" s="1"/>
  <c r="I174" i="3" s="1"/>
  <c r="I173" i="3" s="1"/>
  <c r="I172" i="3" s="1"/>
  <c r="I171" i="3" s="1"/>
  <c r="I170" i="3" s="1"/>
  <c r="I169" i="3" s="1"/>
  <c r="I168" i="3" s="1"/>
  <c r="I167" i="3" s="1"/>
  <c r="I166" i="3" s="1"/>
  <c r="I165" i="3" s="1"/>
  <c r="I164" i="3" s="1"/>
  <c r="I163" i="3" s="1"/>
  <c r="I162" i="3" s="1"/>
  <c r="I161" i="3" s="1"/>
  <c r="H21" i="8" s="1"/>
  <c r="G109" i="3"/>
  <c r="H109" i="3" s="1"/>
  <c r="I109" i="3"/>
  <c r="I108" i="3" s="1"/>
  <c r="I107" i="3" s="1"/>
  <c r="I106" i="3" s="1"/>
  <c r="I105" i="3" s="1"/>
  <c r="I104" i="3" s="1"/>
  <c r="I103" i="3" s="1"/>
  <c r="I102" i="3" s="1"/>
  <c r="I101" i="3" s="1"/>
  <c r="I100" i="3" s="1"/>
  <c r="I99" i="3" s="1"/>
  <c r="I98" i="3" s="1"/>
  <c r="I97" i="3" s="1"/>
  <c r="I96" i="3" s="1"/>
  <c r="I95" i="3" s="1"/>
  <c r="I94" i="3" s="1"/>
  <c r="I93" i="3" s="1"/>
  <c r="I92" i="3" s="1"/>
  <c r="I91" i="3" s="1"/>
  <c r="I90" i="3" s="1"/>
  <c r="I89" i="3" s="1"/>
  <c r="H18" i="8" s="1"/>
  <c r="N15" i="6"/>
  <c r="N31" i="6"/>
  <c r="N33" i="6"/>
  <c r="N28" i="6"/>
  <c r="N22" i="6"/>
  <c r="N13" i="6"/>
  <c r="N29" i="6"/>
  <c r="N19" i="6"/>
  <c r="N17" i="6"/>
  <c r="N24" i="6"/>
  <c r="N16" i="6"/>
  <c r="N21" i="6"/>
  <c r="N27" i="6"/>
  <c r="N32" i="6"/>
  <c r="N18" i="6"/>
  <c r="N30" i="6"/>
  <c r="N23" i="6"/>
  <c r="N14" i="6"/>
  <c r="N25" i="6"/>
  <c r="N20" i="6"/>
  <c r="N26" i="6"/>
  <c r="G133" i="3"/>
  <c r="H133" i="3" s="1"/>
  <c r="I133" i="3"/>
  <c r="I132" i="3" s="1"/>
  <c r="I131" i="3" s="1"/>
  <c r="I130" i="3" s="1"/>
  <c r="I129" i="3" s="1"/>
  <c r="I128" i="3" s="1"/>
  <c r="I127" i="3" s="1"/>
  <c r="I126" i="3" s="1"/>
  <c r="I125" i="3" s="1"/>
  <c r="I124" i="3" s="1"/>
  <c r="I123" i="3" s="1"/>
  <c r="I122" i="3" s="1"/>
  <c r="I121" i="3" s="1"/>
  <c r="I120" i="3" s="1"/>
  <c r="I119" i="3" s="1"/>
  <c r="I118" i="3" s="1"/>
  <c r="I117" i="3" s="1"/>
  <c r="I116" i="3" s="1"/>
  <c r="I115" i="3" s="1"/>
  <c r="I114" i="3" s="1"/>
  <c r="I113" i="3" s="1"/>
  <c r="H19" i="8" s="1"/>
  <c r="G253" i="3"/>
  <c r="H253" i="3" s="1"/>
  <c r="I253" i="3"/>
  <c r="I252" i="3" s="1"/>
  <c r="I251" i="3" s="1"/>
  <c r="I250" i="3" s="1"/>
  <c r="I249" i="3" s="1"/>
  <c r="I248" i="3" s="1"/>
  <c r="I247" i="3" s="1"/>
  <c r="I246" i="3" s="1"/>
  <c r="I245" i="3" s="1"/>
  <c r="I244" i="3" s="1"/>
  <c r="I243" i="3" s="1"/>
  <c r="I242" i="3" s="1"/>
  <c r="I241" i="3" s="1"/>
  <c r="I240" i="3" s="1"/>
  <c r="I239" i="3" s="1"/>
  <c r="I238" i="3" s="1"/>
  <c r="I237" i="3" s="1"/>
  <c r="I236" i="3" s="1"/>
  <c r="I235" i="3" s="1"/>
  <c r="I234" i="3" s="1"/>
  <c r="I233" i="3" s="1"/>
  <c r="H24" i="8" s="1"/>
  <c r="AT9" i="6" l="1"/>
  <c r="AT18" i="6"/>
  <c r="AT21" i="6"/>
  <c r="AT7" i="6"/>
  <c r="AT22" i="6"/>
  <c r="AT12" i="6"/>
  <c r="AT13" i="6"/>
  <c r="B35" i="7" s="1"/>
  <c r="AT23" i="6"/>
  <c r="AX23" i="6" s="1"/>
  <c r="AT6" i="6"/>
  <c r="AT5" i="6"/>
  <c r="AT8" i="6"/>
  <c r="AT16" i="6"/>
  <c r="AT20" i="6"/>
  <c r="AT15" i="6"/>
  <c r="AT14" i="6"/>
  <c r="AT10" i="6"/>
  <c r="AT4" i="6"/>
  <c r="AT19" i="6"/>
  <c r="AT3" i="6"/>
  <c r="AT17" i="6"/>
  <c r="AT11" i="6"/>
  <c r="B9" i="7" l="1"/>
  <c r="AX22" i="6"/>
  <c r="B10" i="7" l="1"/>
  <c r="AX21" i="6"/>
  <c r="AX20" i="6" l="1"/>
  <c r="B11" i="7"/>
  <c r="AX19" i="6" l="1"/>
  <c r="B12" i="7"/>
  <c r="B13" i="7" l="1"/>
  <c r="AX18" i="6"/>
  <c r="B14" i="7" l="1"/>
  <c r="AX17" i="6"/>
  <c r="AX16" i="6" l="1"/>
  <c r="B15" i="7"/>
  <c r="B16" i="7" l="1"/>
  <c r="AX15" i="6"/>
  <c r="AX14" i="6" l="1"/>
  <c r="B17" i="7"/>
  <c r="AX13" i="6" l="1"/>
  <c r="B18" i="7"/>
  <c r="AX12" i="6" l="1"/>
  <c r="B19" i="7"/>
  <c r="AX11" i="6" l="1"/>
  <c r="B20" i="7"/>
  <c r="B21" i="7" l="1"/>
  <c r="AX10" i="6"/>
  <c r="AX9" i="6" l="1"/>
  <c r="B22" i="7"/>
  <c r="AX8" i="6" l="1"/>
  <c r="B23" i="7"/>
  <c r="AX7" i="6" l="1"/>
  <c r="B24" i="7"/>
  <c r="B25" i="7" l="1"/>
  <c r="AX6" i="6"/>
  <c r="AX5" i="6" l="1"/>
  <c r="B26" i="7"/>
  <c r="AX4" i="6" l="1"/>
  <c r="B27" i="7"/>
  <c r="AX3" i="6" l="1"/>
  <c r="B29" i="7" s="1"/>
  <c r="B39" i="7" s="1"/>
  <c r="F6" i="11" s="1"/>
  <c r="B28" i="7"/>
  <c r="B35" i="3" l="1"/>
  <c r="AL3" i="6" s="1"/>
  <c r="C35" i="3" l="1"/>
  <c r="AL7" i="6" s="1"/>
  <c r="C293" i="3"/>
  <c r="C284" i="3"/>
  <c r="C287" i="3"/>
  <c r="C281" i="3"/>
  <c r="C297" i="3"/>
  <c r="C296" i="3"/>
  <c r="C295" i="3"/>
  <c r="C289" i="3"/>
  <c r="C283" i="3"/>
  <c r="C300" i="3"/>
  <c r="C294" i="3"/>
  <c r="C286" i="3"/>
  <c r="C282" i="3"/>
  <c r="C298" i="3"/>
  <c r="C288" i="3"/>
  <c r="C290" i="3"/>
  <c r="C285" i="3"/>
  <c r="D35" i="3"/>
  <c r="I35" i="3" s="1"/>
  <c r="C301" i="3"/>
  <c r="C291" i="3"/>
  <c r="E35" i="3"/>
  <c r="C299" i="3" l="1"/>
  <c r="C292" i="3"/>
  <c r="F35" i="3"/>
  <c r="E300" i="3" s="1"/>
  <c r="AL10" i="6"/>
  <c r="K26" i="8" a="1"/>
  <c r="K26" i="8" s="1"/>
  <c r="B299" i="3"/>
  <c r="D299" i="3"/>
  <c r="D294" i="3"/>
  <c r="B294" i="3"/>
  <c r="D290" i="3"/>
  <c r="B290" i="3"/>
  <c r="D288" i="3"/>
  <c r="B288" i="3"/>
  <c r="D298" i="3"/>
  <c r="B298" i="3"/>
  <c r="D289" i="3"/>
  <c r="B289" i="3"/>
  <c r="D293" i="3"/>
  <c r="B293" i="3"/>
  <c r="AL8" i="6"/>
  <c r="B282" i="3"/>
  <c r="D282" i="3"/>
  <c r="D295" i="3"/>
  <c r="B295" i="3"/>
  <c r="D291" i="3"/>
  <c r="B291" i="3"/>
  <c r="D296" i="3"/>
  <c r="B296" i="3"/>
  <c r="D292" i="3"/>
  <c r="B292" i="3"/>
  <c r="D301" i="3"/>
  <c r="B301" i="3"/>
  <c r="B297" i="3"/>
  <c r="D297" i="3"/>
  <c r="B285" i="3"/>
  <c r="D285" i="3"/>
  <c r="D281" i="3"/>
  <c r="B281" i="3"/>
  <c r="H35" i="3"/>
  <c r="D287" i="3"/>
  <c r="B287" i="3"/>
  <c r="D286" i="3"/>
  <c r="B286" i="3"/>
  <c r="B300" i="3"/>
  <c r="D300" i="3"/>
  <c r="D283" i="3"/>
  <c r="B283" i="3"/>
  <c r="D284" i="3"/>
  <c r="B284" i="3"/>
  <c r="E298" i="3" l="1"/>
  <c r="F298" i="3" s="1"/>
  <c r="G298" i="3" s="1"/>
  <c r="H298" i="3" s="1"/>
  <c r="J26" i="8" a="1"/>
  <c r="J26" i="8" s="1"/>
  <c r="G19" i="9" s="1"/>
  <c r="E292" i="3"/>
  <c r="F292" i="3" s="1"/>
  <c r="G292" i="3" s="1"/>
  <c r="H292" i="3" s="1"/>
  <c r="AL9" i="6"/>
  <c r="AL28" i="6" s="1"/>
  <c r="E296" i="3"/>
  <c r="F296" i="3" s="1"/>
  <c r="G296" i="3" s="1"/>
  <c r="H296" i="3" s="1"/>
  <c r="E291" i="3"/>
  <c r="F291" i="3" s="1"/>
  <c r="G291" i="3" s="1"/>
  <c r="H291" i="3" s="1"/>
  <c r="E293" i="3"/>
  <c r="F293" i="3" s="1"/>
  <c r="G293" i="3" s="1"/>
  <c r="H293" i="3" s="1"/>
  <c r="E287" i="3"/>
  <c r="F287" i="3" s="1"/>
  <c r="G287" i="3" s="1"/>
  <c r="H287" i="3" s="1"/>
  <c r="E282" i="3"/>
  <c r="F282" i="3" s="1"/>
  <c r="G282" i="3" s="1"/>
  <c r="H282" i="3" s="1"/>
  <c r="E281" i="3"/>
  <c r="F281" i="3" s="1"/>
  <c r="G281" i="3" s="1"/>
  <c r="H281" i="3" s="1"/>
  <c r="E284" i="3"/>
  <c r="F284" i="3" s="1"/>
  <c r="G284" i="3" s="1"/>
  <c r="H284" i="3" s="1"/>
  <c r="E289" i="3"/>
  <c r="F289" i="3" s="1"/>
  <c r="G289" i="3" s="1"/>
  <c r="H289" i="3" s="1"/>
  <c r="E297" i="3"/>
  <c r="F297" i="3" s="1"/>
  <c r="G297" i="3" s="1"/>
  <c r="H297" i="3" s="1"/>
  <c r="E301" i="3"/>
  <c r="F301" i="3" s="1"/>
  <c r="E286" i="3"/>
  <c r="F286" i="3" s="1"/>
  <c r="G286" i="3" s="1"/>
  <c r="H286" i="3" s="1"/>
  <c r="E299" i="3"/>
  <c r="F299" i="3" s="1"/>
  <c r="G299" i="3" s="1"/>
  <c r="H299" i="3" s="1"/>
  <c r="E283" i="3"/>
  <c r="F283" i="3" s="1"/>
  <c r="G283" i="3" s="1"/>
  <c r="H283" i="3" s="1"/>
  <c r="E295" i="3"/>
  <c r="F295" i="3" s="1"/>
  <c r="G295" i="3" s="1"/>
  <c r="H295" i="3" s="1"/>
  <c r="E294" i="3"/>
  <c r="F294" i="3" s="1"/>
  <c r="G294" i="3" s="1"/>
  <c r="H294" i="3" s="1"/>
  <c r="E290" i="3"/>
  <c r="F290" i="3" s="1"/>
  <c r="G290" i="3" s="1"/>
  <c r="H290" i="3" s="1"/>
  <c r="F300" i="3"/>
  <c r="G300" i="3" s="1"/>
  <c r="H300" i="3" s="1"/>
  <c r="E285" i="3"/>
  <c r="F285" i="3" s="1"/>
  <c r="G285" i="3" s="1"/>
  <c r="H285" i="3" s="1"/>
  <c r="E288" i="3"/>
  <c r="F288" i="3" s="1"/>
  <c r="G288" i="3" s="1"/>
  <c r="H288" i="3" s="1"/>
  <c r="G27" i="9"/>
  <c r="P40" i="8"/>
  <c r="P38" i="8"/>
  <c r="N40" i="8" s="1"/>
  <c r="G14" i="9" l="1"/>
  <c r="G11" i="9"/>
  <c r="F51" i="9"/>
  <c r="G37" i="9"/>
  <c r="F53" i="9"/>
  <c r="O38" i="8"/>
  <c r="N39" i="8" s="1"/>
  <c r="G42" i="9"/>
  <c r="N44" i="8"/>
  <c r="O44" i="8" s="1"/>
  <c r="P44" i="8" s="1"/>
  <c r="G35" i="9"/>
  <c r="G40" i="9"/>
  <c r="G10" i="9"/>
  <c r="G24" i="9"/>
  <c r="G23" i="9"/>
  <c r="G38" i="9"/>
  <c r="N46" i="8"/>
  <c r="O46" i="8" s="1"/>
  <c r="P46" i="8" s="1"/>
  <c r="G41" i="9"/>
  <c r="G16" i="9"/>
  <c r="G8" i="9"/>
  <c r="G21" i="9"/>
  <c r="G32" i="9"/>
  <c r="F52" i="9"/>
  <c r="G26" i="9"/>
  <c r="G39" i="9"/>
  <c r="G20" i="9"/>
  <c r="G25" i="9"/>
  <c r="G17" i="9"/>
  <c r="F55" i="9"/>
  <c r="F50" i="9"/>
  <c r="O39" i="8"/>
  <c r="G43" i="9"/>
  <c r="G9" i="9"/>
  <c r="G33" i="9"/>
  <c r="G29" i="9"/>
  <c r="G12" i="9"/>
  <c r="G31" i="9"/>
  <c r="F54" i="9"/>
  <c r="G13" i="9"/>
  <c r="G34" i="9"/>
  <c r="G28" i="9"/>
  <c r="G36" i="9"/>
  <c r="G15" i="9"/>
  <c r="P39" i="8"/>
  <c r="O40" i="8" s="1"/>
  <c r="G18" i="9"/>
  <c r="G22" i="9"/>
  <c r="G30" i="9"/>
  <c r="AL22" i="6"/>
  <c r="BB12" i="6" s="1"/>
  <c r="AL18" i="6"/>
  <c r="BB8" i="6" s="1"/>
  <c r="AL30" i="6"/>
  <c r="AU20" i="6" s="1" a="1"/>
  <c r="AU20" i="6" s="1"/>
  <c r="AV20" i="6" s="1"/>
  <c r="AW20" i="6" s="1"/>
  <c r="AL26" i="6"/>
  <c r="AU16" i="6" s="1" a="1"/>
  <c r="AU16" i="6" s="1"/>
  <c r="AV16" i="6" s="1"/>
  <c r="AW16" i="6" s="1"/>
  <c r="AL21" i="6"/>
  <c r="BB11" i="6" s="1"/>
  <c r="AL29" i="6"/>
  <c r="AU19" i="6" s="1" a="1"/>
  <c r="AU19" i="6" s="1"/>
  <c r="AV19" i="6" s="1"/>
  <c r="AW19" i="6" s="1"/>
  <c r="AL19" i="6"/>
  <c r="BB9" i="6" s="1"/>
  <c r="AL20" i="6"/>
  <c r="AU10" i="6" s="1" a="1"/>
  <c r="AU10" i="6" s="1"/>
  <c r="AV10" i="6" s="1"/>
  <c r="AW10" i="6" s="1"/>
  <c r="AL13" i="6"/>
  <c r="BB3" i="6" s="1"/>
  <c r="AL33" i="6"/>
  <c r="BB23" i="6" s="1"/>
  <c r="AL25" i="6"/>
  <c r="AU15" i="6" s="1" a="1"/>
  <c r="AU15" i="6" s="1"/>
  <c r="AV15" i="6" s="1"/>
  <c r="AW15" i="6" s="1"/>
  <c r="AL32" i="6"/>
  <c r="BB22" i="6" s="1"/>
  <c r="AL15" i="6"/>
  <c r="AU5" i="6" s="1" a="1"/>
  <c r="AU5" i="6" s="1"/>
  <c r="AV5" i="6" s="1"/>
  <c r="AW5" i="6" s="1"/>
  <c r="AL23" i="6"/>
  <c r="BB13" i="6" s="1"/>
  <c r="AL27" i="6"/>
  <c r="BB17" i="6" s="1"/>
  <c r="AL24" i="6"/>
  <c r="BB14" i="6" s="1"/>
  <c r="AL31" i="6"/>
  <c r="BB21" i="6" s="1"/>
  <c r="AL17" i="6"/>
  <c r="AU7" i="6" s="1" a="1"/>
  <c r="AU7" i="6" s="1"/>
  <c r="AV7" i="6" s="1"/>
  <c r="AW7" i="6" s="1"/>
  <c r="AL16" i="6"/>
  <c r="BB6" i="6" s="1"/>
  <c r="AL14" i="6"/>
  <c r="AU4" i="6" s="1" a="1"/>
  <c r="AU4" i="6" s="1"/>
  <c r="AV4" i="6" s="1"/>
  <c r="AW4" i="6" s="1"/>
  <c r="G301" i="3"/>
  <c r="H301" i="3" s="1"/>
  <c r="I301" i="3"/>
  <c r="I300" i="3" s="1"/>
  <c r="I299" i="3" s="1"/>
  <c r="I298" i="3" s="1"/>
  <c r="I297" i="3" s="1"/>
  <c r="I296" i="3" s="1"/>
  <c r="I295" i="3" s="1"/>
  <c r="I294" i="3" s="1"/>
  <c r="I293" i="3" s="1"/>
  <c r="I292" i="3" s="1"/>
  <c r="I291" i="3" s="1"/>
  <c r="I290" i="3" s="1"/>
  <c r="I289" i="3" s="1"/>
  <c r="I288" i="3" s="1"/>
  <c r="I287" i="3" s="1"/>
  <c r="I286" i="3" s="1"/>
  <c r="I285" i="3" s="1"/>
  <c r="I284" i="3" s="1"/>
  <c r="I283" i="3" s="1"/>
  <c r="I282" i="3" s="1"/>
  <c r="I281" i="3" s="1"/>
  <c r="H26" i="8" s="1"/>
  <c r="BB18" i="6"/>
  <c r="AU18" i="6" a="1"/>
  <c r="AU18" i="6" s="1"/>
  <c r="AV18" i="6" s="1"/>
  <c r="AW18" i="6" s="1"/>
  <c r="BB20" i="6" l="1"/>
  <c r="AU3" i="6" a="1"/>
  <c r="AU3" i="6" s="1"/>
  <c r="AV3" i="6" s="1"/>
  <c r="AW3" i="6" s="1"/>
  <c r="AU23" i="6" a="1"/>
  <c r="AU23" i="6" s="1"/>
  <c r="AV23" i="6" s="1"/>
  <c r="AW23" i="6" s="1"/>
  <c r="AU8" i="6" a="1"/>
  <c r="AU8" i="6" s="1"/>
  <c r="AV8" i="6" s="1"/>
  <c r="AW8" i="6" s="1"/>
  <c r="G50" i="9" a="1"/>
  <c r="G50" i="9" s="1"/>
  <c r="BB7" i="6"/>
  <c r="BC7" i="6" s="1" a="1"/>
  <c r="BC7" i="6" s="1"/>
  <c r="BD7" i="6" s="1"/>
  <c r="BE7" i="6" s="1"/>
  <c r="BB15" i="6"/>
  <c r="BC15" i="6" s="1" a="1"/>
  <c r="BC15" i="6" s="1"/>
  <c r="BD15" i="6" s="1"/>
  <c r="BE15" i="6" s="1"/>
  <c r="AU6" i="6" a="1"/>
  <c r="AU6" i="6" s="1"/>
  <c r="AV6" i="6" s="1"/>
  <c r="AW6" i="6" s="1"/>
  <c r="AU12" i="6" a="1"/>
  <c r="AU12" i="6" s="1"/>
  <c r="AV12" i="6" s="1"/>
  <c r="AW12" i="6" s="1"/>
  <c r="BB10" i="6"/>
  <c r="BC10" i="6" s="1" a="1"/>
  <c r="BC10" i="6" s="1"/>
  <c r="BD10" i="6" s="1"/>
  <c r="BE10" i="6" s="1"/>
  <c r="AU13" i="6" a="1"/>
  <c r="AU13" i="6" s="1"/>
  <c r="AV13" i="6" s="1"/>
  <c r="AW13" i="6" s="1"/>
  <c r="D35" i="7" s="1"/>
  <c r="BB5" i="6"/>
  <c r="BC5" i="6" s="1" a="1"/>
  <c r="BC5" i="6" s="1"/>
  <c r="BD5" i="6" s="1"/>
  <c r="BE5" i="6" s="1"/>
  <c r="BB4" i="6"/>
  <c r="BC4" i="6" s="1" a="1"/>
  <c r="BC4" i="6" s="1"/>
  <c r="BD4" i="6" s="1"/>
  <c r="BE4" i="6" s="1"/>
  <c r="AU9" i="6" a="1"/>
  <c r="AU9" i="6" s="1"/>
  <c r="AV9" i="6" s="1"/>
  <c r="AW9" i="6" s="1"/>
  <c r="AU22" i="6" a="1"/>
  <c r="AU22" i="6" s="1"/>
  <c r="AV22" i="6" s="1"/>
  <c r="AW22" i="6" s="1"/>
  <c r="BB19" i="6"/>
  <c r="BC19" i="6" s="1" a="1"/>
  <c r="BC19" i="6" s="1"/>
  <c r="BD19" i="6" s="1"/>
  <c r="BE19" i="6" s="1"/>
  <c r="AU17" i="6" a="1"/>
  <c r="AU17" i="6" s="1"/>
  <c r="AV17" i="6" s="1"/>
  <c r="AW17" i="6" s="1"/>
  <c r="AU11" i="6" a="1"/>
  <c r="AU11" i="6" s="1"/>
  <c r="AV11" i="6" s="1"/>
  <c r="AW11" i="6" s="1"/>
  <c r="BB16" i="6"/>
  <c r="BC16" i="6" s="1" a="1"/>
  <c r="BC16" i="6" s="1"/>
  <c r="BD16" i="6" s="1"/>
  <c r="BE16" i="6" s="1"/>
  <c r="AU14" i="6" a="1"/>
  <c r="AU14" i="6" s="1"/>
  <c r="AV14" i="6" s="1"/>
  <c r="AW14" i="6" s="1"/>
  <c r="AU21" i="6" a="1"/>
  <c r="AU21" i="6" s="1"/>
  <c r="AV21" i="6" s="1"/>
  <c r="AW21" i="6" s="1"/>
  <c r="BC14" i="6" a="1"/>
  <c r="BC14" i="6" s="1"/>
  <c r="BD14" i="6" s="1"/>
  <c r="BE14" i="6" s="1"/>
  <c r="BC6" i="6" a="1"/>
  <c r="BC6" i="6" s="1"/>
  <c r="BD6" i="6" s="1"/>
  <c r="BE6" i="6" s="1"/>
  <c r="BC9" i="6" a="1"/>
  <c r="BC9" i="6" s="1"/>
  <c r="BD9" i="6" s="1"/>
  <c r="BE9" i="6" s="1"/>
  <c r="BC18" i="6" a="1"/>
  <c r="BC18" i="6" s="1"/>
  <c r="BD18" i="6" s="1"/>
  <c r="BE18" i="6" s="1"/>
  <c r="BC21" i="6" a="1"/>
  <c r="BC21" i="6" s="1"/>
  <c r="BD21" i="6" s="1"/>
  <c r="BE21" i="6" s="1"/>
  <c r="BC11" i="6" a="1"/>
  <c r="BC11" i="6" s="1"/>
  <c r="BD11" i="6" s="1"/>
  <c r="BE11" i="6" s="1"/>
  <c r="BC8" i="6" a="1"/>
  <c r="BC8" i="6" s="1"/>
  <c r="BD8" i="6" s="1"/>
  <c r="BE8" i="6" s="1"/>
  <c r="BF23" i="6"/>
  <c r="BC23" i="6" a="1"/>
  <c r="BC23" i="6" s="1"/>
  <c r="BD23" i="6" s="1"/>
  <c r="BE23" i="6" s="1"/>
  <c r="BC12" i="6" a="1"/>
  <c r="BC12" i="6" s="1"/>
  <c r="BD12" i="6" s="1"/>
  <c r="BE12" i="6" s="1"/>
  <c r="BC17" i="6" a="1"/>
  <c r="BC17" i="6" s="1"/>
  <c r="BD17" i="6" s="1"/>
  <c r="BE17" i="6" s="1"/>
  <c r="BC22" i="6" a="1"/>
  <c r="BC22" i="6" s="1"/>
  <c r="BD22" i="6" s="1"/>
  <c r="BE22" i="6" s="1"/>
  <c r="B36" i="7"/>
  <c r="BC13" i="6" a="1"/>
  <c r="BC13" i="6" s="1"/>
  <c r="BD13" i="6" s="1"/>
  <c r="BC3" i="6" a="1"/>
  <c r="BC3" i="6" s="1"/>
  <c r="BD3" i="6" s="1"/>
  <c r="BE3" i="6" s="1"/>
  <c r="V21" i="8"/>
  <c r="B11" i="9"/>
  <c r="B15" i="9"/>
  <c r="B25" i="9"/>
  <c r="N21" i="8"/>
  <c r="B10" i="11" s="1"/>
  <c r="B26" i="9"/>
  <c r="A51" i="9"/>
  <c r="B13" i="9"/>
  <c r="A55" i="9"/>
  <c r="B22" i="9"/>
  <c r="B40" i="9"/>
  <c r="B31" i="9"/>
  <c r="A50" i="9"/>
  <c r="B16" i="9"/>
  <c r="B36" i="9"/>
  <c r="A54" i="9"/>
  <c r="B14" i="9"/>
  <c r="B18" i="9"/>
  <c r="B23" i="9"/>
  <c r="B30" i="9"/>
  <c r="B12" i="9"/>
  <c r="B10" i="9"/>
  <c r="B19" i="9"/>
  <c r="B9" i="9"/>
  <c r="B24" i="9"/>
  <c r="B21" i="9"/>
  <c r="B28" i="9"/>
  <c r="A52" i="9"/>
  <c r="B39" i="9"/>
  <c r="B27" i="9"/>
  <c r="B42" i="9"/>
  <c r="B20" i="9"/>
  <c r="B8" i="9"/>
  <c r="B29" i="9"/>
  <c r="A53" i="9"/>
  <c r="B41" i="9"/>
  <c r="B17" i="9"/>
  <c r="B37" i="9"/>
  <c r="B43" i="9"/>
  <c r="B33" i="9"/>
  <c r="B34" i="9"/>
  <c r="B32" i="9"/>
  <c r="B35" i="9"/>
  <c r="B38" i="9"/>
  <c r="W31" i="8"/>
  <c r="N26" i="8"/>
  <c r="N27" i="8" s="1"/>
  <c r="W25" i="8"/>
  <c r="O30" i="8"/>
  <c r="N18" i="8"/>
  <c r="V32" i="8"/>
  <c r="N30" i="8"/>
  <c r="O26" i="8"/>
  <c r="Y25" i="8"/>
  <c r="V26" i="8"/>
  <c r="O25" i="8"/>
  <c r="V33" i="8"/>
  <c r="V30" i="8"/>
  <c r="N31" i="8"/>
  <c r="V31" i="8"/>
  <c r="W30" i="8"/>
  <c r="W32" i="8"/>
  <c r="Q25" i="8"/>
  <c r="V20" i="8"/>
  <c r="O32" i="8"/>
  <c r="W26" i="8"/>
  <c r="W33" i="8"/>
  <c r="N32" i="8"/>
  <c r="V18" i="8"/>
  <c r="N20" i="8"/>
  <c r="O31" i="8"/>
  <c r="BC20" i="6" a="1"/>
  <c r="BC20" i="6" s="1"/>
  <c r="BD20" i="6" s="1"/>
  <c r="BE20" i="6" s="1"/>
  <c r="V19" i="8" l="1"/>
  <c r="C35" i="7"/>
  <c r="F8" i="11" s="1"/>
  <c r="R25" i="8"/>
  <c r="N52" i="8" s="1"/>
  <c r="Z25" i="8"/>
  <c r="O52" i="8" s="1"/>
  <c r="BE13" i="6"/>
  <c r="D36" i="7" s="1"/>
  <c r="C36" i="7"/>
  <c r="N58" i="8"/>
  <c r="V27" i="8"/>
  <c r="B50" i="9" a="1"/>
  <c r="B50" i="9" s="1"/>
  <c r="N56" i="8"/>
  <c r="P26" i="8"/>
  <c r="AA31" i="8"/>
  <c r="Z31" i="8"/>
  <c r="X31" i="8"/>
  <c r="Y31" i="8" s="1"/>
  <c r="R30" i="8"/>
  <c r="S30" i="8"/>
  <c r="P30" i="8"/>
  <c r="Q30" i="8" s="1"/>
  <c r="O51" i="8"/>
  <c r="V17" i="8"/>
  <c r="O50" i="8"/>
  <c r="R31" i="8"/>
  <c r="B8" i="11"/>
  <c r="P31" i="8"/>
  <c r="S31" i="8"/>
  <c r="AA32" i="8"/>
  <c r="X32" i="8"/>
  <c r="Y32" i="8" s="1"/>
  <c r="Z32" i="8"/>
  <c r="P32" i="8"/>
  <c r="Q32" i="8" s="1"/>
  <c r="S32" i="8"/>
  <c r="R32" i="8"/>
  <c r="X26" i="8"/>
  <c r="Q46" i="8" s="1"/>
  <c r="N57" i="8"/>
  <c r="AA30" i="8"/>
  <c r="Z30" i="8"/>
  <c r="X30" i="8"/>
  <c r="Y30" i="8" s="1"/>
  <c r="N19" i="8"/>
  <c r="N51" i="8" s="1"/>
  <c r="N17" i="8"/>
  <c r="B6" i="11"/>
  <c r="N50" i="8"/>
  <c r="C9" i="7"/>
  <c r="BF22" i="6"/>
  <c r="C10" i="7" s="1"/>
  <c r="AA33" i="8"/>
  <c r="Z33" i="8"/>
  <c r="X33" i="8"/>
  <c r="Y33" i="8" s="1"/>
  <c r="O53" i="8" s="1"/>
  <c r="O27" i="8"/>
  <c r="P25" i="8"/>
  <c r="X25" i="8"/>
  <c r="W27" i="8"/>
  <c r="B7" i="11" l="1"/>
  <c r="Q45" i="8"/>
  <c r="BF21" i="6"/>
  <c r="Q44" i="8"/>
  <c r="Q31" i="8"/>
  <c r="C9" i="11" s="1"/>
  <c r="B9" i="11"/>
  <c r="N59" i="8"/>
  <c r="N60" i="8" s="1"/>
  <c r="M63" i="8" s="1"/>
  <c r="C11" i="7" l="1"/>
  <c r="BF20" i="6"/>
  <c r="BF19" i="6" l="1"/>
  <c r="C12" i="7"/>
  <c r="BF18" i="6" l="1"/>
  <c r="C13" i="7"/>
  <c r="C14" i="7" l="1"/>
  <c r="BF17" i="6"/>
  <c r="C15" i="7" l="1"/>
  <c r="BF16" i="6"/>
  <c r="BF15" i="6" l="1"/>
  <c r="C16" i="7"/>
  <c r="BF14" i="6" l="1"/>
  <c r="C17" i="7"/>
  <c r="C18" i="7" l="1"/>
  <c r="BF13" i="6"/>
  <c r="C19" i="7" l="1"/>
  <c r="BF12" i="6"/>
  <c r="BF11" i="6" l="1"/>
  <c r="C20" i="7"/>
  <c r="BF10" i="6" l="1"/>
  <c r="C21" i="7"/>
  <c r="C22" i="7" l="1"/>
  <c r="BF9" i="6"/>
  <c r="C23" i="7" l="1"/>
  <c r="BF8" i="6"/>
  <c r="BF7" i="6" l="1"/>
  <c r="C24" i="7"/>
  <c r="BF6" i="6" l="1"/>
  <c r="C25" i="7"/>
  <c r="C26" i="7" l="1"/>
  <c r="BF5" i="6"/>
  <c r="C27" i="7" l="1"/>
  <c r="BF4" i="6"/>
  <c r="BF3" i="6" l="1"/>
  <c r="C29" i="7" s="1"/>
  <c r="B40" i="7" s="1"/>
  <c r="F7" i="11" s="1"/>
  <c r="C28" i="7"/>
  <c r="N45" i="8"/>
  <c r="O45" i="8" s="1"/>
  <c r="P45" i="8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<sst xmlns="http://schemas.openxmlformats.org/spreadsheetml/2006/main" count="903" uniqueCount="211">
  <si>
    <t>Date</t>
  </si>
  <si>
    <t>TA125</t>
  </si>
  <si>
    <t>Fattal</t>
  </si>
  <si>
    <t>Isrotel</t>
  </si>
  <si>
    <t>Dan</t>
  </si>
  <si>
    <t>TA125_Daily</t>
  </si>
  <si>
    <t>Fattal_Daily</t>
  </si>
  <si>
    <t>Isrotel_Daily</t>
  </si>
  <si>
    <t>Dan_Daily</t>
  </si>
  <si>
    <t>Parameters</t>
  </si>
  <si>
    <t>Estimation window (max days)</t>
  </si>
  <si>
    <t>Event window (days each side)</t>
  </si>
  <si>
    <t>Significance |t| &gt;</t>
  </si>
  <si>
    <t>Events</t>
  </si>
  <si>
    <t>#</t>
  </si>
  <si>
    <t>Event date</t>
  </si>
  <si>
    <t>TASE t=0</t>
  </si>
  <si>
    <t>Sign</t>
  </si>
  <si>
    <t>Description</t>
  </si>
  <si>
    <t>-</t>
  </si>
  <si>
    <t>Hamas attack; Israel declares war</t>
  </si>
  <si>
    <t>+</t>
  </si>
  <si>
    <t>First hostage truce (105 freed)</t>
  </si>
  <si>
    <t>Iran first direct attack</t>
  </si>
  <si>
    <t>Haniyeh assassinated in Tehran</t>
  </si>
  <si>
    <t>Iran second attack (~180 missiles)</t>
  </si>
  <si>
    <t>Israel-Lebanon ceasefire</t>
  </si>
  <si>
    <t>Gaza ceasefire (33 hostages)</t>
  </si>
  <si>
    <t>Edan Alexander released</t>
  </si>
  <si>
    <t>12-Day War begins</t>
  </si>
  <si>
    <t>Sharm el-Sheikh deal</t>
  </si>
  <si>
    <t>2026 Israel-Iran war begins</t>
  </si>
  <si>
    <t>Pakistan-brokered ceasefire</t>
  </si>
  <si>
    <t>Event t=0 (adj)</t>
  </si>
  <si>
    <t>Event point</t>
  </si>
  <si>
    <t>Window</t>
  </si>
  <si>
    <t>a (intercept)</t>
  </si>
  <si>
    <t>b1 (TA125)</t>
  </si>
  <si>
    <t>R2</t>
  </si>
  <si>
    <t>sey</t>
  </si>
  <si>
    <t>Event windows  [-10, +10]  —  AR = Actual − Expected;  t = AR / sey;  CAR = (1+CARprev)(1+AR)−1</t>
  </si>
  <si>
    <t>Event 1</t>
  </si>
  <si>
    <t>rel day</t>
  </si>
  <si>
    <t>weekday</t>
  </si>
  <si>
    <t>Actual</t>
  </si>
  <si>
    <t>Expected</t>
  </si>
  <si>
    <t>AR</t>
  </si>
  <si>
    <t>t-test</t>
  </si>
  <si>
    <t>Sig?</t>
  </si>
  <si>
    <t>CAR</t>
  </si>
  <si>
    <t>Event 2</t>
  </si>
  <si>
    <t>Event 3</t>
  </si>
  <si>
    <t>Event 4</t>
  </si>
  <si>
    <t>Event 5</t>
  </si>
  <si>
    <t>Event 6</t>
  </si>
  <si>
    <t>Event 7</t>
  </si>
  <si>
    <t>Event 8</t>
  </si>
  <si>
    <t>Event 9</t>
  </si>
  <si>
    <t>Event 10</t>
  </si>
  <si>
    <t>Event 11</t>
  </si>
  <si>
    <t>Event 12</t>
  </si>
  <si>
    <t>Event windows  [-10, +10]   AR = Actual - Expected;  t = AR / sey;  CAR = (1+CARprev)(1+AR)-1</t>
  </si>
  <si>
    <t>Event Study — Cross-Sectional AAR / CAAR (Security escalation +/- de-escalation)</t>
  </si>
  <si>
    <t>TA125_Ret</t>
  </si>
  <si>
    <t>Fattal_Ret</t>
  </si>
  <si>
    <t>Isrotel_Ret</t>
  </si>
  <si>
    <t>Dan_Ret</t>
  </si>
  <si>
    <t>Event #</t>
  </si>
  <si>
    <t>t=0</t>
  </si>
  <si>
    <t>Stock</t>
  </si>
  <si>
    <t>a</t>
  </si>
  <si>
    <t>b1</t>
  </si>
  <si>
    <t>rel \ AR</t>
  </si>
  <si>
    <t>Positive group (de-escalation)</t>
  </si>
  <si>
    <t>AAR</t>
  </si>
  <si>
    <t>cross-sec SE</t>
  </si>
  <si>
    <t>t-stat</t>
  </si>
  <si>
    <t>CAAR</t>
  </si>
  <si>
    <t>n</t>
  </si>
  <si>
    <t>Negative group (escalation)</t>
  </si>
  <si>
    <t>Results — CAAR: Escalation vs De-escalation Events</t>
  </si>
  <si>
    <t>CAAR by event time</t>
  </si>
  <si>
    <t>Significance summary (event day t = 0)</t>
  </si>
  <si>
    <t>Group</t>
  </si>
  <si>
    <t>AAR(0)</t>
  </si>
  <si>
    <t>t-stat(0)</t>
  </si>
  <si>
    <t>Significant?</t>
  </si>
  <si>
    <t>n events</t>
  </si>
  <si>
    <t>De-escalation (+)</t>
  </si>
  <si>
    <t>Escalation (-)</t>
  </si>
  <si>
    <t>Cumulative AAR over full window [-10,+10]</t>
  </si>
  <si>
    <t>De-escalation (+) CAAR(+10)</t>
  </si>
  <si>
    <t>Escalation (-) CAAR(+10)</t>
  </si>
  <si>
    <t>Interpretation</t>
  </si>
  <si>
    <t>Event</t>
  </si>
  <si>
    <t>Severity</t>
  </si>
  <si>
    <t>Regression dataset (36 observations)</t>
  </si>
  <si>
    <t>Obs</t>
  </si>
  <si>
    <t>CAR (Y)</t>
  </si>
  <si>
    <t>Severity (X1)</t>
  </si>
  <si>
    <t>Intercept</t>
  </si>
  <si>
    <t>Value</t>
  </si>
  <si>
    <t>Normality Diagnostics — Grouped Frequency Distributions &amp; Q-Q Plots</t>
  </si>
  <si>
    <t>CAR (dependent variable)</t>
  </si>
  <si>
    <t>i</t>
  </si>
  <si>
    <t>Sorted CAR</t>
  </si>
  <si>
    <t>Percentile</t>
  </si>
  <si>
    <t>Normal Z</t>
  </si>
  <si>
    <t>Grouped Frequency Distributions (6 bins each)</t>
  </si>
  <si>
    <t>Bin upper</t>
  </si>
  <si>
    <t>Frequency</t>
  </si>
  <si>
    <t>Cumulative Returns — all variables (indexed to 0 at start of sample)</t>
  </si>
  <si>
    <t>Analysis &amp; Conclusions</t>
  </si>
  <si>
    <t>Metric</t>
  </si>
  <si>
    <t>Reading</t>
  </si>
  <si>
    <t>&gt; 0.05 → model NOT statistically significant overall</t>
  </si>
  <si>
    <t>Severity coefficient</t>
  </si>
  <si>
    <t>CAAR at +10, de-escalation events</t>
  </si>
  <si>
    <t>Positive drift after good-news events (n = 18)</t>
  </si>
  <si>
    <t>CAAR at +10, escalation events</t>
  </si>
  <si>
    <t>Negative drift after bad-news events (n = 18)</t>
  </si>
  <si>
    <t>(unused)</t>
  </si>
  <si>
    <t>Event Legend (links live to names &amp; signs)</t>
  </si>
  <si>
    <t>Event name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</si>
  <si>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</si>
  <si>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</si>
  <si>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</si>
  <si>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</si>
  <si>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</si>
  <si>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</si>
  <si>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</si>
  <si>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df</t>
  </si>
  <si>
    <t>SS</t>
  </si>
  <si>
    <t>MS</t>
  </si>
  <si>
    <t>F</t>
  </si>
  <si>
    <t>Significance F</t>
  </si>
  <si>
    <t>Regression</t>
  </si>
  <si>
    <t>Residual</t>
  </si>
  <si>
    <t>Total</t>
  </si>
  <si>
    <t>Coefficients</t>
  </si>
  <si>
    <t>t Stat</t>
  </si>
  <si>
    <t>P-value</t>
  </si>
  <si>
    <t>Lower 95%</t>
  </si>
  <si>
    <t>Upper 95%</t>
  </si>
  <si>
    <t>Significance F (overall)</t>
  </si>
  <si>
    <t>Severity t Stat</t>
  </si>
  <si>
    <t>Observations (n)</t>
  </si>
  <si>
    <t>12 events × 3 hotel stocks</t>
  </si>
  <si>
    <t>Why is Severity needed?</t>
  </si>
  <si>
    <t xml:space="preserve">Event Severity — Signed Ordinal Scale (−5 … +5) </t>
  </si>
  <si>
    <t>Fattal — Event Study (market model, single-variable regression)</t>
  </si>
  <si>
    <t>Model info &amp; statistics — market-model regression (stock daily return on TA-125 daily return; 252-day estimation window). Intercept = α (INTERCEPT), b1 = β (SLOPE), R² (RSQ), sey = standard error of the estimate (STEYX).</t>
  </si>
  <si>
    <t>Isrotel — Event Study (market model, single-variable regression)</t>
  </si>
  <si>
    <t>Dan — Event Study (market model, single-variable regression)</t>
  </si>
  <si>
    <t xml:space="preserve">SIG? </t>
  </si>
  <si>
    <t>SIG?</t>
  </si>
  <si>
    <t>CAAR — De-escalation (+)</t>
  </si>
  <si>
    <t>CAAR — Escalation (−)</t>
  </si>
  <si>
    <t>Cross-Sectional Event Study — Multivariate Regression (MLR): CAR vs Severity, Beta, Volatility</t>
  </si>
  <si>
    <t>Beta (X2)</t>
  </si>
  <si>
    <t>Volatility (X3)</t>
  </si>
  <si>
    <t>SUMMARY OUTPUT — Model 1: CAR ~ Severity + Beta</t>
  </si>
  <si>
    <t>Beta</t>
  </si>
  <si>
    <t>SUMMARY OUTPUT — Model 2: CAR ~ Severity + Beta + Volatility</t>
  </si>
  <si>
    <t>Volatility</t>
  </si>
  <si>
    <t>Correlation Matrix (regressors)</t>
  </si>
  <si>
    <t>VIF (auxiliary R² method)</t>
  </si>
  <si>
    <t>Regressor</t>
  </si>
  <si>
    <t>Aux R²</t>
  </si>
  <si>
    <t>VIF = 1/(1-R²)</t>
  </si>
  <si>
    <t>Flag (&gt;5)</t>
  </si>
  <si>
    <t>VIF cross-check (SE-based)</t>
  </si>
  <si>
    <t>Model Comparison — Model 1 vs Model 2</t>
  </si>
  <si>
    <t>Statistic</t>
  </si>
  <si>
    <t>Model 1 (Sev + Beta)</t>
  </si>
  <si>
    <t>Model 2 (Sev + Beta + Vol)</t>
  </si>
  <si>
    <t>R²</t>
  </si>
  <si>
    <t>Adjusted R²</t>
  </si>
  <si>
    <t>Volatility coef significant?</t>
  </si>
  <si>
    <t>n/a (not in model)</t>
  </si>
  <si>
    <t>Partial F-test — H₀: Volatility coef = 0</t>
  </si>
  <si>
    <t>SSE Model 1</t>
  </si>
  <si>
    <t>SSE Model 2</t>
  </si>
  <si>
    <t>df residual Model 2</t>
  </si>
  <si>
    <t>Partial F</t>
  </si>
  <si>
    <t>p-value (partial F)</t>
  </si>
  <si>
    <t>Verdict</t>
  </si>
  <si>
    <t>Beta (continuous regressor)</t>
  </si>
  <si>
    <t>Sorted Beta</t>
  </si>
  <si>
    <t>Model 1 R² (CAR ~ Severity + Beta)</t>
  </si>
  <si>
    <t>Positive: de-escalation (positive score) → higher CAR, as the hypothesis predicts</t>
  </si>
  <si>
    <t>1.  Key Model Results  (MLR tab)</t>
  </si>
  <si>
    <t>2.  Event-Study Cross-Check  (Results tab)</t>
  </si>
  <si>
    <t>Event-day t-stat: de-esc (+) / esc (−)</t>
  </si>
  <si>
    <t>3.  Normality  (Normality tab)</t>
  </si>
  <si>
    <t>•  CAR (the dependent variable) is approximately normally distributed — Q-Q points fall close to the diagonal, supporting the t-tests on the regression coefficients.</t>
  </si>
  <si>
    <t>•  Beta is also approximately normally distributed — the Normality tab tests the two continuous variables, CAR and Beta, and both sets of Q-Q points fall near the diagonal.</t>
  </si>
  <si>
    <t>•  Together this supports the normality assumption underlying the regression's coefficient t-tests.</t>
  </si>
  <si>
    <t>4.  Investment Insights</t>
  </si>
  <si>
    <t>•  Direction matters: the signed-severity coefficient is positive (de-escalation lifts hotel CARs, escalation depresses them) — the direction the hypothesis predicts — though not significant at 5% in this 36-observation sample.</t>
  </si>
  <si>
    <t>•  The model is a multiple regression of event-window CAR on signed Severity, pre-event Beta and pre-event Volatility (n = 36); Model 1 (Severity + Beta) vs Model 2 (+ Volatility), with VIF near 1 (max ≈ 1.06) — no multicollinearity.</t>
  </si>
  <si>
    <t>•  Explanatory power is low and no regressor is significant at 5%: adding Volatility (Model 2) lifts R² only mechanically and the partial F-test does not support it (p ≈ 0.42). A legitimate finding — not a reason to drop to one predictor.</t>
  </si>
  <si>
    <t>•  Stock selection dominated: cumulative returns ranged widely across the three names. Events created short-lived noise; long-run dispersion came from company-specific factors.</t>
  </si>
  <si>
    <t>•  Portfolio takeaway: trading these names purely on geopolitical headlines is not supported; a diversified hold (favouring stronger operators) outperformed event-timing over the period.</t>
  </si>
  <si>
    <t>•  Markets largely price these events efficiently. The regression is not significant overall (Significance F ≈ 0.17) and event-day abnormal returns are insignificant — consistent with semi-strong EMH.</t>
  </si>
  <si>
    <t>De-escalation: |t| = 0.29 - insignificant. Escalation: |t| = 2.27 - significant at 5%. Markets price bad news more forcefully than good news on the event day.</t>
  </si>
  <si>
    <t>Model 1 explains about 9.3% of raw CAR variation, or 3.8% after adjustment.</t>
  </si>
  <si>
    <t>This study applies a market-model event study (single-factor regression of each hotel stock's daily return on the TA-125 over a 252-day estimation window, via INTERCEPT, SLOPE and STEYX) to twelve security-related events affecting Fattal, Isrotel and Dan Hotels, split into escalation shocks and de-escalation events. By day +10, the de-escalation group accumulated a CAAR of +2.71% while the escalation group fell to −1.75%, the direction the hypothesis predicts. Divergence begins at t = −1 (de-escalation AAR = +1.43%, t = 2.46), suggesting mild pre-event leakage; the day-0 reaction itself is insignificant for both groups (de-escalation t = 0.29, escalation t = −1.75, n = 18 each). A cross-sectional MLR of event-window CAR on Severity, Beta and Volatility confirms this: neither Model 1 (Severity + Beta, Sig F = 0.204) nor Model 2 (+ Volatility, Sig F = 0.166) is jointly significant, and the partial F-test (p = 0.169) favours the simpler model. Severity is correctly signed and approaches significance (p = 0.084), consistent with semi-strong EMH.</t>
  </si>
  <si>
    <t>Yes</t>
  </si>
  <si>
    <t>No</t>
  </si>
  <si>
    <t>Geopolitical Shocks &amp; TASE Hospitality Stocks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</si>
</sst>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yyyy\-mm\-dd"/>
    <numFmt numFmtId="165" formatCode="0.0000"/>
    <numFmt numFmtId="166" formatCode="0.0%"/>
    <numFmt numFmtId="167" formatCode="0.000"/>
    <numFmt numFmtId="168" formatCode="0.00000"/>
  </numFmts>
  <fonts count="28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sz val="12"/>
      <color rgb="FF0000FF"/>
      <name val="Aptos Narrow"/>
      <family val="2"/>
      <scheme val="minor"/>
    </font>
    <font>
      <b/>
      <sz val="12"/>
      <color rgb="FFFFFFFF"/>
      <name val="Aptos Narrow"/>
      <family val="2"/>
      <scheme val="minor"/>
    </font>
    <font>
      <b/>
      <sz val="13"/>
      <color rgb="FF1F4E78"/>
      <name val="Aptos Narrow"/>
      <family val="2"/>
      <scheme val="minor"/>
    </font>
    <font>
      <b/>
      <sz val="12"/>
      <color rgb="FF1F4E78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i/>
      <sz val="12"/>
      <color rgb="FF555555"/>
      <name val="Aptos Narrow"/>
      <family val="2"/>
      <scheme val="minor"/>
    </font>
    <font>
      <sz val="12"/>
      <color rgb="FF008000"/>
      <name val="Aptos Narrow"/>
      <family val="2"/>
      <scheme val="minor"/>
    </font>
    <font>
      <sz val="12"/>
      <color rgb="FF000000"/>
      <name val="Aptos Narrow"/>
      <family val="2"/>
      <scheme val="minor"/>
    </font>
    <font>
      <i/>
      <sz val="12"/>
      <color rgb="FF666666"/>
      <name val="Aptos Narrow"/>
      <family val="2"/>
      <scheme val="minor"/>
    </font>
    <font>
      <sz val="9"/>
      <color rgb="FF666666"/>
      <name val="Aptos Narrow"/>
      <family val="2"/>
      <scheme val="minor"/>
    </font>
    <font>
      <b/>
      <sz val="13"/>
      <color theme="1"/>
      <name val="Aptos Narrow"/>
      <family val="2"/>
      <scheme val="minor"/>
    </font>
    <font>
      <i/>
      <sz val="9"/>
      <color rgb="FF666666"/>
      <name val="Aptos Narrow"/>
      <family val="2"/>
      <scheme val="minor"/>
    </font>
    <font>
      <b/>
      <sz val="18"/>
      <color rgb="FF1F3864"/>
      <name val="Aptos Narrow"/>
      <scheme val="minor"/>
    </font>
    <font>
      <i/>
      <sz val="11"/>
      <color rgb="FF808080"/>
      <name val="Aptos Narrow"/>
      <scheme val="minor"/>
    </font>
    <font>
      <sz val="12"/>
      <color theme="1"/>
      <name val="Aptos Narrow"/>
      <scheme val="minor"/>
    </font>
    <font>
      <sz val="12"/>
      <color rgb="FF008000"/>
      <name val="Aptos Narrow"/>
      <scheme val="minor"/>
    </font>
    <font>
      <sz val="12"/>
      <color rgb="FFC00000"/>
      <name val="Aptos Narrow"/>
      <scheme val="minor"/>
    </font>
    <font>
      <b/>
      <sz val="12"/>
      <color rgb="FFFFFFFF"/>
      <name val="Aptos Narrow"/>
      <scheme val="minor"/>
    </font>
    <font>
      <b/>
      <sz val="11"/>
      <color rgb="FFFFFFFF"/>
      <name val="Aptos Narrow"/>
      <scheme val="minor"/>
    </font>
    <font>
      <sz val="12"/>
      <color rgb="FF333333"/>
      <name val="Aptos Narrow"/>
      <scheme val="minor"/>
    </font>
    <font>
      <sz val="12"/>
      <color rgb="FF595959"/>
      <name val="Aptos Narrow"/>
      <scheme val="minor"/>
    </font>
    <font>
      <sz val="11"/>
      <color rgb="FF333333"/>
      <name val="Aptos Narrow"/>
      <scheme val="minor"/>
    </font>
    <font>
      <sz val="10"/>
      <color rgb="FF000000"/>
      <name val="Helvetica Neue"/>
      <family val="2"/>
    </font>
    <font>
      <b/>
      <sz val="12"/>
      <color rgb="FF000000"/>
      <name val="Aptos Narrow"/>
      <family val="2"/>
      <scheme val="minor"/>
    </font>
    <font>
      <sz val="20"/>
      <color theme="1"/>
      <name val="Aptos Narrow (Body)"/>
    </font>
  </fonts>
  <fills count="12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2E5496"/>
        <bgColor indexed="64"/>
      </patternFill>
    </fill>
    <fill>
      <patternFill patternType="solid">
        <fgColor rgb="FFF2F6F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E1F2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7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1" fillId="0" borderId="0" xfId="0" applyFont="1"/>
    <xf numFmtId="0" fontId="2" fillId="2" borderId="0" xfId="0" applyFont="1" applyFill="1" applyAlignment="1">
      <alignment horizontal="center"/>
    </xf>
    <xf numFmtId="10" fontId="0" fillId="0" borderId="0" xfId="0" applyNumberFormat="1"/>
    <xf numFmtId="0" fontId="3" fillId="0" borderId="0" xfId="0" applyFont="1"/>
    <xf numFmtId="0" fontId="4" fillId="2" borderId="0" xfId="0" applyFont="1" applyFill="1"/>
    <xf numFmtId="0" fontId="5" fillId="0" borderId="0" xfId="0" applyFont="1"/>
    <xf numFmtId="0" fontId="6" fillId="0" borderId="0" xfId="0" applyFont="1"/>
    <xf numFmtId="165" fontId="0" fillId="0" borderId="0" xfId="0" applyNumberFormat="1"/>
    <xf numFmtId="166" fontId="0" fillId="0" borderId="0" xfId="0" applyNumberFormat="1"/>
    <xf numFmtId="0" fontId="1" fillId="3" borderId="0" xfId="0" applyFont="1" applyFill="1"/>
    <xf numFmtId="2" fontId="0" fillId="0" borderId="0" xfId="0" applyNumberFormat="1"/>
    <xf numFmtId="0" fontId="0" fillId="0" borderId="0" xfId="0" applyAlignment="1">
      <alignment horizontal="center"/>
    </xf>
    <xf numFmtId="0" fontId="7" fillId="0" borderId="0" xfId="0" applyFont="1"/>
    <xf numFmtId="0" fontId="8" fillId="0" borderId="0" xfId="0" applyFont="1"/>
    <xf numFmtId="10" fontId="9" fillId="0" borderId="0" xfId="0" applyNumberFormat="1" applyFont="1"/>
    <xf numFmtId="0" fontId="10" fillId="0" borderId="0" xfId="0" applyFont="1"/>
    <xf numFmtId="0" fontId="1" fillId="4" borderId="0" xfId="0" applyFont="1" applyFill="1"/>
    <xf numFmtId="0" fontId="11" fillId="0" borderId="0" xfId="0" applyFont="1"/>
    <xf numFmtId="0" fontId="12" fillId="0" borderId="0" xfId="0" applyFont="1"/>
    <xf numFmtId="167" fontId="0" fillId="0" borderId="0" xfId="0" applyNumberFormat="1"/>
    <xf numFmtId="0" fontId="13" fillId="0" borderId="0" xfId="0" applyFont="1"/>
    <xf numFmtId="0" fontId="14" fillId="0" borderId="0" xfId="0" applyFont="1"/>
    <xf numFmtId="168" fontId="0" fillId="0" borderId="0" xfId="0" applyNumberFormat="1"/>
    <xf numFmtId="0" fontId="15" fillId="0" borderId="0" xfId="0" applyFont="1"/>
    <xf numFmtId="0" fontId="16" fillId="0" borderId="0" xfId="0" applyFont="1"/>
    <xf numFmtId="0" fontId="17" fillId="0" borderId="0" xfId="0" applyFont="1"/>
    <xf numFmtId="0" fontId="21" fillId="6" borderId="1" xfId="0" applyFont="1" applyFill="1" applyBorder="1" applyAlignment="1">
      <alignment vertical="center"/>
    </xf>
    <xf numFmtId="0" fontId="22" fillId="0" borderId="1" xfId="0" applyFont="1" applyBorder="1" applyAlignment="1">
      <alignment vertical="center"/>
    </xf>
    <xf numFmtId="167" fontId="17" fillId="0" borderId="1" xfId="0" applyNumberFormat="1" applyFont="1" applyBorder="1" applyAlignment="1">
      <alignment horizontal="center" vertical="center"/>
    </xf>
    <xf numFmtId="0" fontId="23" fillId="0" borderId="1" xfId="0" applyFont="1" applyBorder="1" applyAlignment="1">
      <alignment vertical="center"/>
    </xf>
    <xf numFmtId="0" fontId="22" fillId="7" borderId="1" xfId="0" applyFont="1" applyFill="1" applyBorder="1" applyAlignment="1">
      <alignment vertical="center"/>
    </xf>
    <xf numFmtId="167" fontId="17" fillId="7" borderId="1" xfId="0" applyNumberFormat="1" applyFont="1" applyFill="1" applyBorder="1" applyAlignment="1">
      <alignment horizontal="center" vertical="center"/>
    </xf>
    <xf numFmtId="0" fontId="23" fillId="7" borderId="1" xfId="0" applyFont="1" applyFill="1" applyBorder="1" applyAlignment="1">
      <alignment vertical="center"/>
    </xf>
    <xf numFmtId="165" fontId="18" fillId="0" borderId="1" xfId="0" applyNumberFormat="1" applyFont="1" applyBorder="1" applyAlignment="1">
      <alignment horizontal="center" vertical="center"/>
    </xf>
    <xf numFmtId="1" fontId="17" fillId="0" borderId="1" xfId="0" applyNumberFormat="1" applyFont="1" applyBorder="1" applyAlignment="1">
      <alignment horizontal="center" vertical="center"/>
    </xf>
    <xf numFmtId="166" fontId="18" fillId="0" borderId="1" xfId="0" applyNumberFormat="1" applyFont="1" applyBorder="1" applyAlignment="1">
      <alignment horizontal="center" vertical="center"/>
    </xf>
    <xf numFmtId="166" fontId="19" fillId="7" borderId="1" xfId="0" applyNumberFormat="1" applyFont="1" applyFill="1" applyBorder="1" applyAlignment="1">
      <alignment horizontal="center" vertical="center"/>
    </xf>
    <xf numFmtId="49" fontId="17" fillId="0" borderId="1" xfId="0" applyNumberFormat="1" applyFont="1" applyBorder="1" applyAlignment="1">
      <alignment horizontal="center" vertical="center"/>
    </xf>
    <xf numFmtId="0" fontId="25" fillId="0" borderId="0" xfId="0" applyFont="1"/>
    <xf numFmtId="14" fontId="25" fillId="0" borderId="0" xfId="0" applyNumberFormat="1" applyFont="1" applyAlignment="1">
      <alignment horizontal="left"/>
    </xf>
    <xf numFmtId="0" fontId="26" fillId="9" borderId="0" xfId="0" applyFont="1" applyFill="1"/>
    <xf numFmtId="10" fontId="10" fillId="0" borderId="0" xfId="0" applyNumberFormat="1" applyFont="1"/>
    <xf numFmtId="165" fontId="10" fillId="0" borderId="0" xfId="0" applyNumberFormat="1" applyFont="1"/>
    <xf numFmtId="2" fontId="10" fillId="0" borderId="0" xfId="0" applyNumberFormat="1" applyFont="1"/>
    <xf numFmtId="0" fontId="10" fillId="10" borderId="0" xfId="0" applyFont="1" applyFill="1"/>
    <xf numFmtId="10" fontId="10" fillId="10" borderId="0" xfId="0" applyNumberFormat="1" applyFont="1" applyFill="1"/>
    <xf numFmtId="165" fontId="10" fillId="10" borderId="0" xfId="0" applyNumberFormat="1" applyFont="1" applyFill="1"/>
    <xf numFmtId="2" fontId="10" fillId="10" borderId="0" xfId="0" applyNumberFormat="1" applyFont="1" applyFill="1"/>
    <xf numFmtId="0" fontId="0" fillId="0" borderId="0" xfId="0" applyAlignment="1">
      <alignment wrapText="1"/>
    </xf>
    <xf numFmtId="0" fontId="27" fillId="11" borderId="0" xfId="0" applyFont="1" applyFill="1"/>
    <xf numFmtId="0" fontId="24" fillId="8" borderId="1" xfId="0" applyFont="1" applyFill="1" applyBorder="1" applyAlignment="1">
      <alignment vertical="top" wrapText="1"/>
    </xf>
    <xf numFmtId="0" fontId="20" fillId="5" borderId="0" xfId="0" applyFont="1" applyFill="1" applyAlignment="1">
      <alignment horizontal="left" vertical="center"/>
    </xf>
    <xf numFmtId="0" fontId="0" fillId="0" borderId="0" xfId="0" applyAlignment="1">
      <alignment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Q-Q Plot: CAR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Normality!$D$8:$D$43</c:f>
              <c:numCache>
                <c:formatCode>0.0000</c:formatCode>
                <c:ptCount val="36"/>
                <c:pt idx="0">
                  <c:v>-2.2004105812100327</c:v>
                </c:pt>
                <c:pt idx="1">
                  <c:v>-1.7316643961222451</c:v>
                </c:pt>
                <c:pt idx="2">
                  <c:v>-1.4799413890351922</c:v>
                </c:pt>
                <c:pt idx="3">
                  <c:v>-1.2975429286165541</c:v>
                </c:pt>
                <c:pt idx="4">
                  <c:v>-1.1503493803760083</c:v>
                </c:pt>
                <c:pt idx="5">
                  <c:v>-1.024592392540099</c:v>
                </c:pt>
                <c:pt idx="6">
                  <c:v>-0.91324992668360727</c:v>
                </c:pt>
                <c:pt idx="7">
                  <c:v>-0.81221780149991241</c:v>
                </c:pt>
                <c:pt idx="8">
                  <c:v>-0.71886805282271549</c:v>
                </c:pt>
                <c:pt idx="9">
                  <c:v>-0.6314018942397609</c:v>
                </c:pt>
                <c:pt idx="10">
                  <c:v>-0.54852228269809788</c:v>
                </c:pt>
                <c:pt idx="11">
                  <c:v>-0.46925288381280222</c:v>
                </c:pt>
                <c:pt idx="12">
                  <c:v>-0.39283081364972938</c:v>
                </c:pt>
                <c:pt idx="13">
                  <c:v>-0.3186393639643752</c:v>
                </c:pt>
                <c:pt idx="14">
                  <c:v>-0.24616364666135951</c:v>
                </c:pt>
                <c:pt idx="15">
                  <c:v>-0.17495994016573252</c:v>
                </c:pt>
                <c:pt idx="16">
                  <c:v>-0.10463345561407539</c:v>
                </c:pt>
                <c:pt idx="17">
                  <c:v>-3.4821317260347699E-2</c:v>
                </c:pt>
                <c:pt idx="18">
                  <c:v>3.482131726034756E-2</c:v>
                </c:pt>
                <c:pt idx="19">
                  <c:v>0.10463345561407525</c:v>
                </c:pt>
                <c:pt idx="20">
                  <c:v>0.17495994016573252</c:v>
                </c:pt>
                <c:pt idx="21">
                  <c:v>0.24616364666135951</c:v>
                </c:pt>
                <c:pt idx="22">
                  <c:v>0.3186393639643752</c:v>
                </c:pt>
                <c:pt idx="23">
                  <c:v>0.39283081364972938</c:v>
                </c:pt>
                <c:pt idx="24">
                  <c:v>0.46925288381280222</c:v>
                </c:pt>
                <c:pt idx="25">
                  <c:v>0.54852228269809822</c:v>
                </c:pt>
                <c:pt idx="26">
                  <c:v>0.63140189423976112</c:v>
                </c:pt>
                <c:pt idx="27">
                  <c:v>0.71886805282271604</c:v>
                </c:pt>
                <c:pt idx="28">
                  <c:v>0.81221780149991241</c:v>
                </c:pt>
                <c:pt idx="29">
                  <c:v>0.91324992668360727</c:v>
                </c:pt>
                <c:pt idx="30">
                  <c:v>1.024592392540099</c:v>
                </c:pt>
                <c:pt idx="31">
                  <c:v>1.1503493803760083</c:v>
                </c:pt>
                <c:pt idx="32">
                  <c:v>1.2975429286165541</c:v>
                </c:pt>
                <c:pt idx="33">
                  <c:v>1.4799413890351927</c:v>
                </c:pt>
                <c:pt idx="34">
                  <c:v>1.7316643961222455</c:v>
                </c:pt>
                <c:pt idx="35">
                  <c:v>2.2004105812100336</c:v>
                </c:pt>
              </c:numCache>
            </c:numRef>
          </c:xVal>
          <c:yVal>
            <c:numRef>
              <c:f>Normality!$B$8:$B$43</c:f>
              <c:numCache>
                <c:formatCode>0.0000</c:formatCode>
                <c:ptCount val="36"/>
                <c:pt idx="0">
                  <c:v>-0.18329550021558105</c:v>
                </c:pt>
                <c:pt idx="1">
                  <c:v>-9.5589893334343312E-2</c:v>
                </c:pt>
                <c:pt idx="2">
                  <c:v>-9.3958510644729931E-2</c:v>
                </c:pt>
                <c:pt idx="3">
                  <c:v>-8.1075863768675593E-2</c:v>
                </c:pt>
                <c:pt idx="4">
                  <c:v>-6.387440041331971E-2</c:v>
                </c:pt>
                <c:pt idx="5">
                  <c:v>-5.8397929323969811E-2</c:v>
                </c:pt>
                <c:pt idx="6">
                  <c:v>-5.6053722299910014E-2</c:v>
                </c:pt>
                <c:pt idx="7">
                  <c:v>-5.4969545670092934E-2</c:v>
                </c:pt>
                <c:pt idx="8">
                  <c:v>-4.6738361678267726E-2</c:v>
                </c:pt>
                <c:pt idx="9">
                  <c:v>-4.609679270160516E-2</c:v>
                </c:pt>
                <c:pt idx="10">
                  <c:v>-4.1318250337626594E-2</c:v>
                </c:pt>
                <c:pt idx="11">
                  <c:v>-4.100080399855599E-2</c:v>
                </c:pt>
                <c:pt idx="12">
                  <c:v>-3.4286296473349132E-2</c:v>
                </c:pt>
                <c:pt idx="13">
                  <c:v>-3.1214934646877412E-2</c:v>
                </c:pt>
                <c:pt idx="14">
                  <c:v>-2.9813781575676823E-2</c:v>
                </c:pt>
                <c:pt idx="15">
                  <c:v>-1.9984934573433089E-2</c:v>
                </c:pt>
                <c:pt idx="16">
                  <c:v>-1.9452504483627009E-2</c:v>
                </c:pt>
                <c:pt idx="17">
                  <c:v>-1.1306386224107401E-2</c:v>
                </c:pt>
                <c:pt idx="18">
                  <c:v>-5.7178438065959014E-3</c:v>
                </c:pt>
                <c:pt idx="19">
                  <c:v>-4.3536586039195635E-3</c:v>
                </c:pt>
                <c:pt idx="20">
                  <c:v>1.1936388455278113E-3</c:v>
                </c:pt>
                <c:pt idx="21">
                  <c:v>3.1597398343683469E-3</c:v>
                </c:pt>
                <c:pt idx="22">
                  <c:v>4.8051618379838512E-3</c:v>
                </c:pt>
                <c:pt idx="23">
                  <c:v>7.4946264904263149E-3</c:v>
                </c:pt>
                <c:pt idx="24">
                  <c:v>3.6388015330041767E-2</c:v>
                </c:pt>
                <c:pt idx="25">
                  <c:v>4.9419364270012256E-2</c:v>
                </c:pt>
                <c:pt idx="26">
                  <c:v>5.0423102214775861E-2</c:v>
                </c:pt>
                <c:pt idx="27">
                  <c:v>5.1303875214586903E-2</c:v>
                </c:pt>
                <c:pt idx="28">
                  <c:v>5.5939725280277797E-2</c:v>
                </c:pt>
                <c:pt idx="29">
                  <c:v>6.1173280675709041E-2</c:v>
                </c:pt>
                <c:pt idx="30">
                  <c:v>6.2360023546143228E-2</c:v>
                </c:pt>
                <c:pt idx="31">
                  <c:v>6.6185526231740788E-2</c:v>
                </c:pt>
                <c:pt idx="32">
                  <c:v>0.12057222973697157</c:v>
                </c:pt>
                <c:pt idx="33">
                  <c:v>0.1453972041073317</c:v>
                </c:pt>
                <c:pt idx="34">
                  <c:v>0.22754047072433825</c:v>
                </c:pt>
                <c:pt idx="35">
                  <c:v>0.24541740620695918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B41-914F-8585-2916ECCA2A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5184319"/>
        <c:axId val="501634751"/>
      </c:scatterChart>
      <c:valAx>
        <c:axId val="7851843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Normal Z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501634751"/>
        <c:crosses val="autoZero"/>
        <c:crossBetween val="midCat"/>
      </c:valAx>
      <c:valAx>
        <c:axId val="501634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Sorted 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7851843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Q-Q Plot: Severity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Normality!$I$8:$I$43</c:f>
              <c:numCache>
                <c:formatCode>0.0000</c:formatCode>
                <c:ptCount val="36"/>
                <c:pt idx="0">
                  <c:v>-2.2004105812100327</c:v>
                </c:pt>
                <c:pt idx="1">
                  <c:v>-1.7316643961222451</c:v>
                </c:pt>
                <c:pt idx="2">
                  <c:v>-1.4799413890351922</c:v>
                </c:pt>
                <c:pt idx="3">
                  <c:v>-1.2975429286165541</c:v>
                </c:pt>
                <c:pt idx="4">
                  <c:v>-1.1503493803760083</c:v>
                </c:pt>
                <c:pt idx="5">
                  <c:v>-1.024592392540099</c:v>
                </c:pt>
                <c:pt idx="6">
                  <c:v>-0.91324992668360727</c:v>
                </c:pt>
                <c:pt idx="7">
                  <c:v>-0.81221780149991241</c:v>
                </c:pt>
                <c:pt idx="8">
                  <c:v>-0.71886805282271549</c:v>
                </c:pt>
                <c:pt idx="9">
                  <c:v>-0.6314018942397609</c:v>
                </c:pt>
                <c:pt idx="10">
                  <c:v>-0.54852228269809788</c:v>
                </c:pt>
                <c:pt idx="11">
                  <c:v>-0.46925288381280222</c:v>
                </c:pt>
                <c:pt idx="12">
                  <c:v>-0.39283081364972938</c:v>
                </c:pt>
                <c:pt idx="13">
                  <c:v>-0.3186393639643752</c:v>
                </c:pt>
                <c:pt idx="14">
                  <c:v>-0.24616364666135951</c:v>
                </c:pt>
                <c:pt idx="15">
                  <c:v>-0.17495994016573252</c:v>
                </c:pt>
                <c:pt idx="16">
                  <c:v>-0.10463345561407539</c:v>
                </c:pt>
                <c:pt idx="17">
                  <c:v>-3.4821317260347699E-2</c:v>
                </c:pt>
                <c:pt idx="18">
                  <c:v>3.482131726034756E-2</c:v>
                </c:pt>
                <c:pt idx="19">
                  <c:v>0.10463345561407525</c:v>
                </c:pt>
                <c:pt idx="20">
                  <c:v>0.17495994016573252</c:v>
                </c:pt>
                <c:pt idx="21">
                  <c:v>0.24616364666135951</c:v>
                </c:pt>
                <c:pt idx="22">
                  <c:v>0.3186393639643752</c:v>
                </c:pt>
                <c:pt idx="23">
                  <c:v>0.39283081364972938</c:v>
                </c:pt>
                <c:pt idx="24">
                  <c:v>0.46925288381280222</c:v>
                </c:pt>
                <c:pt idx="25">
                  <c:v>0.54852228269809822</c:v>
                </c:pt>
                <c:pt idx="26">
                  <c:v>0.63140189423976112</c:v>
                </c:pt>
                <c:pt idx="27">
                  <c:v>0.71886805282271604</c:v>
                </c:pt>
                <c:pt idx="28">
                  <c:v>0.81221780149991241</c:v>
                </c:pt>
                <c:pt idx="29">
                  <c:v>0.91324992668360727</c:v>
                </c:pt>
                <c:pt idx="30">
                  <c:v>1.024592392540099</c:v>
                </c:pt>
                <c:pt idx="31">
                  <c:v>1.1503493803760083</c:v>
                </c:pt>
                <c:pt idx="32">
                  <c:v>1.2975429286165541</c:v>
                </c:pt>
                <c:pt idx="33">
                  <c:v>1.4799413890351927</c:v>
                </c:pt>
                <c:pt idx="34">
                  <c:v>1.7316643961222455</c:v>
                </c:pt>
                <c:pt idx="35">
                  <c:v>2.2004105812100336</c:v>
                </c:pt>
              </c:numCache>
            </c:numRef>
          </c:xVal>
          <c:yVal>
            <c:numRef>
              <c:f>Normality!$G$8:$G$43</c:f>
              <c:numCache>
                <c:formatCode>0.0000</c:formatCode>
                <c:ptCount val="36"/>
                <c:pt idx="0">
                  <c:v>5.1232161689801027E-2</c:v>
                </c:pt>
                <c:pt idx="1">
                  <c:v>6.581792120029753E-2</c:v>
                </c:pt>
                <c:pt idx="2">
                  <c:v>0.11154208127770433</c:v>
                </c:pt>
                <c:pt idx="3">
                  <c:v>0.17186972545050871</c:v>
                </c:pt>
                <c:pt idx="4">
                  <c:v>0.18775613636281613</c:v>
                </c:pt>
                <c:pt idx="5">
                  <c:v>0.19999511463399944</c:v>
                </c:pt>
                <c:pt idx="6">
                  <c:v>0.20242167467609223</c:v>
                </c:pt>
                <c:pt idx="7">
                  <c:v>0.22071894480953044</c:v>
                </c:pt>
                <c:pt idx="8">
                  <c:v>0.23559376814729482</c:v>
                </c:pt>
                <c:pt idx="9">
                  <c:v>0.25415525499384817</c:v>
                </c:pt>
                <c:pt idx="10">
                  <c:v>0.32767132744187832</c:v>
                </c:pt>
                <c:pt idx="11">
                  <c:v>0.36440499315022462</c:v>
                </c:pt>
                <c:pt idx="12">
                  <c:v>0.43279233158642372</c:v>
                </c:pt>
                <c:pt idx="13">
                  <c:v>0.4361716317300528</c:v>
                </c:pt>
                <c:pt idx="14">
                  <c:v>0.45472164644579299</c:v>
                </c:pt>
                <c:pt idx="15">
                  <c:v>0.52546814201719272</c:v>
                </c:pt>
                <c:pt idx="16">
                  <c:v>0.67927324895374963</c:v>
                </c:pt>
                <c:pt idx="17">
                  <c:v>0.73853276348458885</c:v>
                </c:pt>
                <c:pt idx="18">
                  <c:v>0.73870749276569092</c:v>
                </c:pt>
                <c:pt idx="19">
                  <c:v>0.8003972398508814</c:v>
                </c:pt>
                <c:pt idx="20">
                  <c:v>0.82484742251924714</c:v>
                </c:pt>
                <c:pt idx="21">
                  <c:v>0.86729297462373089</c:v>
                </c:pt>
                <c:pt idx="22">
                  <c:v>0.87301138030999059</c:v>
                </c:pt>
                <c:pt idx="23">
                  <c:v>0.9953578990699018</c:v>
                </c:pt>
                <c:pt idx="24">
                  <c:v>1.0115584922531848</c:v>
                </c:pt>
                <c:pt idx="25">
                  <c:v>1.0400682269413126</c:v>
                </c:pt>
                <c:pt idx="26">
                  <c:v>1.0944115020309486</c:v>
                </c:pt>
                <c:pt idx="27">
                  <c:v>1.1120020118193856</c:v>
                </c:pt>
                <c:pt idx="28">
                  <c:v>1.119146081869578</c:v>
                </c:pt>
                <c:pt idx="29">
                  <c:v>1.1217334273267003</c:v>
                </c:pt>
                <c:pt idx="30">
                  <c:v>1.1850264402160997</c:v>
                </c:pt>
                <c:pt idx="31">
                  <c:v>1.2085726701151118</c:v>
                </c:pt>
                <c:pt idx="32">
                  <c:v>1.2128881294793152</c:v>
                </c:pt>
                <c:pt idx="33">
                  <c:v>1.285762114103892</c:v>
                </c:pt>
                <c:pt idx="34">
                  <c:v>1.3515287146880119</c:v>
                </c:pt>
                <c:pt idx="35">
                  <c:v>1.4028615278337524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543-4246-85F5-0290E9777C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2169535"/>
        <c:axId val="852165951"/>
      </c:scatterChart>
      <c:valAx>
        <c:axId val="8521695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Normal Z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852165951"/>
        <c:crosses val="autoZero"/>
        <c:crossBetween val="midCat"/>
      </c:valAx>
      <c:valAx>
        <c:axId val="852165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Sorted 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8521695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Frequency: CAR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Normality!$A$50:$A$55</c:f>
              <c:numCache>
                <c:formatCode>0.0000</c:formatCode>
                <c:ptCount val="6"/>
                <c:pt idx="0">
                  <c:v>-0.11184334914515769</c:v>
                </c:pt>
                <c:pt idx="1">
                  <c:v>-4.0391198074734319E-2</c:v>
                </c:pt>
                <c:pt idx="2">
                  <c:v>3.1060952995689062E-2</c:v>
                </c:pt>
                <c:pt idx="3">
                  <c:v>0.10251310406611241</c:v>
                </c:pt>
                <c:pt idx="4">
                  <c:v>0.17396525513653577</c:v>
                </c:pt>
                <c:pt idx="5">
                  <c:v>0.24541740620695918</c:v>
                </c:pt>
              </c:numCache>
            </c:numRef>
          </c:cat>
          <c:val>
            <c:numRef>
              <c:f>Normality!$B$50:$B$55</c:f>
              <c:numCache>
                <c:formatCode>General</c:formatCode>
                <c:ptCount val="6"/>
                <c:pt idx="0">
                  <c:v>1</c:v>
                </c:pt>
                <c:pt idx="1">
                  <c:v>11</c:v>
                </c:pt>
                <c:pt idx="2">
                  <c:v>12</c:v>
                </c:pt>
                <c:pt idx="3">
                  <c:v>8</c:v>
                </c:pt>
                <c:pt idx="4">
                  <c:v>2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63-DD45-919C-A492178B48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"/>
        <c:overlap val="-27"/>
        <c:axId val="852358719"/>
        <c:axId val="852357375"/>
      </c:barChart>
      <c:catAx>
        <c:axId val="8523587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Bin upper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852357375"/>
        <c:crosses val="autoZero"/>
        <c:auto val="1"/>
        <c:lblAlgn val="ctr"/>
        <c:lblOffset val="100"/>
        <c:noMultiLvlLbl val="0"/>
      </c:catAx>
      <c:valAx>
        <c:axId val="852357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8523587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Frequency: Severity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Normality!$F$50:$F$55</c:f>
              <c:numCache>
                <c:formatCode>0.0000</c:formatCode>
                <c:ptCount val="6"/>
                <c:pt idx="0">
                  <c:v>0.27650372271379292</c:v>
                </c:pt>
                <c:pt idx="1">
                  <c:v>0.50177528373778479</c:v>
                </c:pt>
                <c:pt idx="2">
                  <c:v>0.72704684476177672</c:v>
                </c:pt>
                <c:pt idx="3">
                  <c:v>0.95231840578576865</c:v>
                </c:pt>
                <c:pt idx="4">
                  <c:v>1.1775899668097605</c:v>
                </c:pt>
                <c:pt idx="5">
                  <c:v>1.4028615278337524</c:v>
                </c:pt>
              </c:numCache>
            </c:numRef>
          </c:cat>
          <c:val>
            <c:numRef>
              <c:f>Normality!$G$50:$G$55</c:f>
              <c:numCache>
                <c:formatCode>General</c:formatCode>
                <c:ptCount val="6"/>
                <c:pt idx="0">
                  <c:v>10</c:v>
                </c:pt>
                <c:pt idx="1">
                  <c:v>5</c:v>
                </c:pt>
                <c:pt idx="2">
                  <c:v>2</c:v>
                </c:pt>
                <c:pt idx="3">
                  <c:v>6</c:v>
                </c:pt>
                <c:pt idx="4">
                  <c:v>7</c:v>
                </c:pt>
                <c:pt idx="5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2B-5242-99C1-626237DF4E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"/>
        <c:overlap val="-27"/>
        <c:axId val="852323711"/>
        <c:axId val="852321919"/>
      </c:barChart>
      <c:catAx>
        <c:axId val="85232371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Bin upper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852321919"/>
        <c:crosses val="autoZero"/>
        <c:auto val="1"/>
        <c:lblAlgn val="ctr"/>
        <c:lblOffset val="100"/>
        <c:noMultiLvlLbl val="0"/>
      </c:catAx>
      <c:valAx>
        <c:axId val="852321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8523237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Cumulative Returns — TA125, Fattal, Isrotel, Dan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Charts!$B$4</c:f>
              <c:strCache>
                <c:ptCount val="1"/>
                <c:pt idx="0">
                  <c:v>TA125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Charts!$A$5:$A$720</c:f>
              <c:numCache>
                <c:formatCode>m/d/yy</c:formatCode>
                <c:ptCount val="716"/>
                <c:pt idx="0">
                  <c:v>45081</c:v>
                </c:pt>
                <c:pt idx="1">
                  <c:v>45082</c:v>
                </c:pt>
                <c:pt idx="2">
                  <c:v>45083</c:v>
                </c:pt>
                <c:pt idx="3">
                  <c:v>45084</c:v>
                </c:pt>
                <c:pt idx="4">
                  <c:v>45085</c:v>
                </c:pt>
                <c:pt idx="5">
                  <c:v>45088</c:v>
                </c:pt>
                <c:pt idx="6">
                  <c:v>45089</c:v>
                </c:pt>
                <c:pt idx="7">
                  <c:v>45090</c:v>
                </c:pt>
                <c:pt idx="8">
                  <c:v>45091</c:v>
                </c:pt>
                <c:pt idx="9">
                  <c:v>45092</c:v>
                </c:pt>
                <c:pt idx="10">
                  <c:v>45095</c:v>
                </c:pt>
                <c:pt idx="11">
                  <c:v>45096</c:v>
                </c:pt>
                <c:pt idx="12">
                  <c:v>45097</c:v>
                </c:pt>
                <c:pt idx="13">
                  <c:v>45098</c:v>
                </c:pt>
                <c:pt idx="14">
                  <c:v>45099</c:v>
                </c:pt>
                <c:pt idx="15">
                  <c:v>45102</c:v>
                </c:pt>
                <c:pt idx="16">
                  <c:v>45103</c:v>
                </c:pt>
                <c:pt idx="17">
                  <c:v>45104</c:v>
                </c:pt>
                <c:pt idx="18">
                  <c:v>45105</c:v>
                </c:pt>
                <c:pt idx="19">
                  <c:v>45106</c:v>
                </c:pt>
                <c:pt idx="20">
                  <c:v>45109</c:v>
                </c:pt>
                <c:pt idx="21">
                  <c:v>45110</c:v>
                </c:pt>
                <c:pt idx="22">
                  <c:v>45111</c:v>
                </c:pt>
                <c:pt idx="23">
                  <c:v>45112</c:v>
                </c:pt>
                <c:pt idx="24">
                  <c:v>45113</c:v>
                </c:pt>
                <c:pt idx="25">
                  <c:v>45116</c:v>
                </c:pt>
                <c:pt idx="26">
                  <c:v>45117</c:v>
                </c:pt>
                <c:pt idx="27">
                  <c:v>45118</c:v>
                </c:pt>
                <c:pt idx="28">
                  <c:v>45119</c:v>
                </c:pt>
                <c:pt idx="29">
                  <c:v>45120</c:v>
                </c:pt>
                <c:pt idx="30">
                  <c:v>45123</c:v>
                </c:pt>
                <c:pt idx="31">
                  <c:v>45124</c:v>
                </c:pt>
                <c:pt idx="32">
                  <c:v>45125</c:v>
                </c:pt>
                <c:pt idx="33">
                  <c:v>45126</c:v>
                </c:pt>
                <c:pt idx="34">
                  <c:v>45127</c:v>
                </c:pt>
                <c:pt idx="35">
                  <c:v>45130</c:v>
                </c:pt>
                <c:pt idx="36">
                  <c:v>45131</c:v>
                </c:pt>
                <c:pt idx="37">
                  <c:v>45132</c:v>
                </c:pt>
                <c:pt idx="38">
                  <c:v>45133</c:v>
                </c:pt>
                <c:pt idx="39">
                  <c:v>45137</c:v>
                </c:pt>
                <c:pt idx="40">
                  <c:v>45138</c:v>
                </c:pt>
                <c:pt idx="41">
                  <c:v>45139</c:v>
                </c:pt>
                <c:pt idx="42">
                  <c:v>45140</c:v>
                </c:pt>
                <c:pt idx="43">
                  <c:v>45141</c:v>
                </c:pt>
                <c:pt idx="44">
                  <c:v>45144</c:v>
                </c:pt>
                <c:pt idx="45">
                  <c:v>45145</c:v>
                </c:pt>
                <c:pt idx="46">
                  <c:v>45146</c:v>
                </c:pt>
                <c:pt idx="47">
                  <c:v>45147</c:v>
                </c:pt>
                <c:pt idx="48">
                  <c:v>45148</c:v>
                </c:pt>
                <c:pt idx="49">
                  <c:v>45151</c:v>
                </c:pt>
                <c:pt idx="50">
                  <c:v>45152</c:v>
                </c:pt>
                <c:pt idx="51">
                  <c:v>45153</c:v>
                </c:pt>
                <c:pt idx="52">
                  <c:v>45154</c:v>
                </c:pt>
                <c:pt idx="53">
                  <c:v>45155</c:v>
                </c:pt>
                <c:pt idx="54">
                  <c:v>45158</c:v>
                </c:pt>
                <c:pt idx="55">
                  <c:v>45159</c:v>
                </c:pt>
                <c:pt idx="56">
                  <c:v>45160</c:v>
                </c:pt>
                <c:pt idx="57">
                  <c:v>45161</c:v>
                </c:pt>
                <c:pt idx="58">
                  <c:v>45162</c:v>
                </c:pt>
                <c:pt idx="59">
                  <c:v>45165</c:v>
                </c:pt>
                <c:pt idx="60">
                  <c:v>45166</c:v>
                </c:pt>
                <c:pt idx="61">
                  <c:v>45167</c:v>
                </c:pt>
                <c:pt idx="62">
                  <c:v>45168</c:v>
                </c:pt>
                <c:pt idx="63">
                  <c:v>45169</c:v>
                </c:pt>
                <c:pt idx="64">
                  <c:v>45172</c:v>
                </c:pt>
                <c:pt idx="65">
                  <c:v>45173</c:v>
                </c:pt>
                <c:pt idx="66">
                  <c:v>45174</c:v>
                </c:pt>
                <c:pt idx="67">
                  <c:v>45175</c:v>
                </c:pt>
                <c:pt idx="68">
                  <c:v>45176</c:v>
                </c:pt>
                <c:pt idx="69">
                  <c:v>45179</c:v>
                </c:pt>
                <c:pt idx="70">
                  <c:v>45180</c:v>
                </c:pt>
                <c:pt idx="71">
                  <c:v>45181</c:v>
                </c:pt>
                <c:pt idx="72">
                  <c:v>45182</c:v>
                </c:pt>
                <c:pt idx="73">
                  <c:v>45183</c:v>
                </c:pt>
                <c:pt idx="74">
                  <c:v>45187</c:v>
                </c:pt>
                <c:pt idx="75">
                  <c:v>45188</c:v>
                </c:pt>
                <c:pt idx="76">
                  <c:v>45189</c:v>
                </c:pt>
                <c:pt idx="77">
                  <c:v>45190</c:v>
                </c:pt>
                <c:pt idx="78">
                  <c:v>45195</c:v>
                </c:pt>
                <c:pt idx="79">
                  <c:v>45196</c:v>
                </c:pt>
                <c:pt idx="80">
                  <c:v>45197</c:v>
                </c:pt>
                <c:pt idx="81">
                  <c:v>45200</c:v>
                </c:pt>
                <c:pt idx="82">
                  <c:v>45201</c:v>
                </c:pt>
                <c:pt idx="83">
                  <c:v>45202</c:v>
                </c:pt>
                <c:pt idx="84">
                  <c:v>45203</c:v>
                </c:pt>
                <c:pt idx="85">
                  <c:v>45204</c:v>
                </c:pt>
                <c:pt idx="86">
                  <c:v>45207</c:v>
                </c:pt>
                <c:pt idx="87">
                  <c:v>45208</c:v>
                </c:pt>
                <c:pt idx="88">
                  <c:v>45209</c:v>
                </c:pt>
                <c:pt idx="89">
                  <c:v>45210</c:v>
                </c:pt>
                <c:pt idx="90">
                  <c:v>45211</c:v>
                </c:pt>
                <c:pt idx="91">
                  <c:v>45214</c:v>
                </c:pt>
                <c:pt idx="92">
                  <c:v>45215</c:v>
                </c:pt>
                <c:pt idx="93">
                  <c:v>45216</c:v>
                </c:pt>
                <c:pt idx="94">
                  <c:v>45217</c:v>
                </c:pt>
                <c:pt idx="95">
                  <c:v>45218</c:v>
                </c:pt>
                <c:pt idx="96">
                  <c:v>45221</c:v>
                </c:pt>
                <c:pt idx="97">
                  <c:v>45222</c:v>
                </c:pt>
                <c:pt idx="98">
                  <c:v>45223</c:v>
                </c:pt>
                <c:pt idx="99">
                  <c:v>45224</c:v>
                </c:pt>
                <c:pt idx="100">
                  <c:v>45225</c:v>
                </c:pt>
                <c:pt idx="101">
                  <c:v>45228</c:v>
                </c:pt>
                <c:pt idx="102">
                  <c:v>45229</c:v>
                </c:pt>
                <c:pt idx="103">
                  <c:v>45230</c:v>
                </c:pt>
                <c:pt idx="104">
                  <c:v>45231</c:v>
                </c:pt>
                <c:pt idx="105">
                  <c:v>45232</c:v>
                </c:pt>
                <c:pt idx="106">
                  <c:v>45235</c:v>
                </c:pt>
                <c:pt idx="107">
                  <c:v>45236</c:v>
                </c:pt>
                <c:pt idx="108">
                  <c:v>45237</c:v>
                </c:pt>
                <c:pt idx="109">
                  <c:v>45238</c:v>
                </c:pt>
                <c:pt idx="110">
                  <c:v>45239</c:v>
                </c:pt>
                <c:pt idx="111">
                  <c:v>45242</c:v>
                </c:pt>
                <c:pt idx="112">
                  <c:v>45243</c:v>
                </c:pt>
                <c:pt idx="113">
                  <c:v>45244</c:v>
                </c:pt>
                <c:pt idx="114">
                  <c:v>45245</c:v>
                </c:pt>
                <c:pt idx="115">
                  <c:v>45246</c:v>
                </c:pt>
                <c:pt idx="116">
                  <c:v>45249</c:v>
                </c:pt>
                <c:pt idx="117">
                  <c:v>45250</c:v>
                </c:pt>
                <c:pt idx="118">
                  <c:v>45251</c:v>
                </c:pt>
                <c:pt idx="119">
                  <c:v>45252</c:v>
                </c:pt>
                <c:pt idx="120">
                  <c:v>45253</c:v>
                </c:pt>
                <c:pt idx="121">
                  <c:v>45256</c:v>
                </c:pt>
                <c:pt idx="122">
                  <c:v>45257</c:v>
                </c:pt>
                <c:pt idx="123">
                  <c:v>45258</c:v>
                </c:pt>
                <c:pt idx="124">
                  <c:v>45259</c:v>
                </c:pt>
                <c:pt idx="125">
                  <c:v>45260</c:v>
                </c:pt>
                <c:pt idx="126">
                  <c:v>45263</c:v>
                </c:pt>
                <c:pt idx="127">
                  <c:v>45264</c:v>
                </c:pt>
                <c:pt idx="128">
                  <c:v>45265</c:v>
                </c:pt>
                <c:pt idx="129">
                  <c:v>45266</c:v>
                </c:pt>
                <c:pt idx="130">
                  <c:v>45267</c:v>
                </c:pt>
                <c:pt idx="131">
                  <c:v>45270</c:v>
                </c:pt>
                <c:pt idx="132">
                  <c:v>45271</c:v>
                </c:pt>
                <c:pt idx="133">
                  <c:v>45272</c:v>
                </c:pt>
                <c:pt idx="134">
                  <c:v>45273</c:v>
                </c:pt>
                <c:pt idx="135">
                  <c:v>45274</c:v>
                </c:pt>
                <c:pt idx="136">
                  <c:v>45277</c:v>
                </c:pt>
                <c:pt idx="137">
                  <c:v>45278</c:v>
                </c:pt>
                <c:pt idx="138">
                  <c:v>45279</c:v>
                </c:pt>
                <c:pt idx="139">
                  <c:v>45280</c:v>
                </c:pt>
                <c:pt idx="140">
                  <c:v>45281</c:v>
                </c:pt>
                <c:pt idx="141">
                  <c:v>45284</c:v>
                </c:pt>
                <c:pt idx="142">
                  <c:v>45285</c:v>
                </c:pt>
                <c:pt idx="143">
                  <c:v>45286</c:v>
                </c:pt>
                <c:pt idx="144">
                  <c:v>45287</c:v>
                </c:pt>
                <c:pt idx="145">
                  <c:v>45288</c:v>
                </c:pt>
                <c:pt idx="146">
                  <c:v>45291</c:v>
                </c:pt>
                <c:pt idx="147">
                  <c:v>45292</c:v>
                </c:pt>
                <c:pt idx="148">
                  <c:v>45293</c:v>
                </c:pt>
                <c:pt idx="149">
                  <c:v>45294</c:v>
                </c:pt>
                <c:pt idx="150">
                  <c:v>45295</c:v>
                </c:pt>
                <c:pt idx="151">
                  <c:v>45298</c:v>
                </c:pt>
                <c:pt idx="152">
                  <c:v>45299</c:v>
                </c:pt>
                <c:pt idx="153">
                  <c:v>45300</c:v>
                </c:pt>
                <c:pt idx="154">
                  <c:v>45301</c:v>
                </c:pt>
                <c:pt idx="155">
                  <c:v>45302</c:v>
                </c:pt>
                <c:pt idx="156">
                  <c:v>45305</c:v>
                </c:pt>
                <c:pt idx="157">
                  <c:v>45306</c:v>
                </c:pt>
                <c:pt idx="158">
                  <c:v>45307</c:v>
                </c:pt>
                <c:pt idx="159">
                  <c:v>45308</c:v>
                </c:pt>
                <c:pt idx="160">
                  <c:v>45309</c:v>
                </c:pt>
                <c:pt idx="161">
                  <c:v>45312</c:v>
                </c:pt>
                <c:pt idx="162">
                  <c:v>45313</c:v>
                </c:pt>
                <c:pt idx="163">
                  <c:v>45314</c:v>
                </c:pt>
                <c:pt idx="164">
                  <c:v>45315</c:v>
                </c:pt>
                <c:pt idx="165">
                  <c:v>45316</c:v>
                </c:pt>
                <c:pt idx="166">
                  <c:v>45319</c:v>
                </c:pt>
                <c:pt idx="167">
                  <c:v>45320</c:v>
                </c:pt>
                <c:pt idx="168">
                  <c:v>45321</c:v>
                </c:pt>
                <c:pt idx="169">
                  <c:v>45322</c:v>
                </c:pt>
                <c:pt idx="170">
                  <c:v>45323</c:v>
                </c:pt>
                <c:pt idx="171">
                  <c:v>45326</c:v>
                </c:pt>
                <c:pt idx="172">
                  <c:v>45327</c:v>
                </c:pt>
                <c:pt idx="173">
                  <c:v>45328</c:v>
                </c:pt>
                <c:pt idx="174">
                  <c:v>45329</c:v>
                </c:pt>
                <c:pt idx="175">
                  <c:v>45330</c:v>
                </c:pt>
                <c:pt idx="176">
                  <c:v>45333</c:v>
                </c:pt>
                <c:pt idx="177">
                  <c:v>45334</c:v>
                </c:pt>
                <c:pt idx="178">
                  <c:v>45335</c:v>
                </c:pt>
                <c:pt idx="179">
                  <c:v>45336</c:v>
                </c:pt>
                <c:pt idx="180">
                  <c:v>45337</c:v>
                </c:pt>
                <c:pt idx="181">
                  <c:v>45340</c:v>
                </c:pt>
                <c:pt idx="182">
                  <c:v>45341</c:v>
                </c:pt>
                <c:pt idx="183">
                  <c:v>45342</c:v>
                </c:pt>
                <c:pt idx="184">
                  <c:v>45343</c:v>
                </c:pt>
                <c:pt idx="185">
                  <c:v>45344</c:v>
                </c:pt>
                <c:pt idx="186">
                  <c:v>45347</c:v>
                </c:pt>
                <c:pt idx="187">
                  <c:v>45348</c:v>
                </c:pt>
                <c:pt idx="188">
                  <c:v>45350</c:v>
                </c:pt>
                <c:pt idx="189">
                  <c:v>45351</c:v>
                </c:pt>
                <c:pt idx="190">
                  <c:v>45354</c:v>
                </c:pt>
                <c:pt idx="191">
                  <c:v>45355</c:v>
                </c:pt>
                <c:pt idx="192">
                  <c:v>45356</c:v>
                </c:pt>
                <c:pt idx="193">
                  <c:v>45357</c:v>
                </c:pt>
                <c:pt idx="194">
                  <c:v>45358</c:v>
                </c:pt>
                <c:pt idx="195">
                  <c:v>45361</c:v>
                </c:pt>
                <c:pt idx="196">
                  <c:v>45362</c:v>
                </c:pt>
                <c:pt idx="197">
                  <c:v>45363</c:v>
                </c:pt>
                <c:pt idx="198">
                  <c:v>45364</c:v>
                </c:pt>
                <c:pt idx="199">
                  <c:v>45365</c:v>
                </c:pt>
                <c:pt idx="200">
                  <c:v>45368</c:v>
                </c:pt>
                <c:pt idx="201">
                  <c:v>45369</c:v>
                </c:pt>
                <c:pt idx="202">
                  <c:v>45370</c:v>
                </c:pt>
                <c:pt idx="203">
                  <c:v>45371</c:v>
                </c:pt>
                <c:pt idx="204">
                  <c:v>45372</c:v>
                </c:pt>
                <c:pt idx="205">
                  <c:v>45376</c:v>
                </c:pt>
                <c:pt idx="206">
                  <c:v>45377</c:v>
                </c:pt>
                <c:pt idx="207">
                  <c:v>45378</c:v>
                </c:pt>
                <c:pt idx="208">
                  <c:v>45379</c:v>
                </c:pt>
                <c:pt idx="209">
                  <c:v>45382</c:v>
                </c:pt>
                <c:pt idx="210">
                  <c:v>45383</c:v>
                </c:pt>
                <c:pt idx="211">
                  <c:v>45384</c:v>
                </c:pt>
                <c:pt idx="212">
                  <c:v>45385</c:v>
                </c:pt>
                <c:pt idx="213">
                  <c:v>45386</c:v>
                </c:pt>
                <c:pt idx="214">
                  <c:v>45389</c:v>
                </c:pt>
                <c:pt idx="215">
                  <c:v>45390</c:v>
                </c:pt>
                <c:pt idx="216">
                  <c:v>45391</c:v>
                </c:pt>
                <c:pt idx="217">
                  <c:v>45392</c:v>
                </c:pt>
                <c:pt idx="218">
                  <c:v>45393</c:v>
                </c:pt>
                <c:pt idx="219">
                  <c:v>45396</c:v>
                </c:pt>
                <c:pt idx="220">
                  <c:v>45397</c:v>
                </c:pt>
                <c:pt idx="221">
                  <c:v>45398</c:v>
                </c:pt>
                <c:pt idx="222">
                  <c:v>45399</c:v>
                </c:pt>
                <c:pt idx="223">
                  <c:v>45400</c:v>
                </c:pt>
                <c:pt idx="224">
                  <c:v>45403</c:v>
                </c:pt>
                <c:pt idx="225">
                  <c:v>45406</c:v>
                </c:pt>
                <c:pt idx="226">
                  <c:v>45407</c:v>
                </c:pt>
                <c:pt idx="227">
                  <c:v>45412</c:v>
                </c:pt>
                <c:pt idx="228">
                  <c:v>45413</c:v>
                </c:pt>
                <c:pt idx="229">
                  <c:v>45414</c:v>
                </c:pt>
                <c:pt idx="230">
                  <c:v>45417</c:v>
                </c:pt>
                <c:pt idx="231">
                  <c:v>45418</c:v>
                </c:pt>
                <c:pt idx="232">
                  <c:v>45419</c:v>
                </c:pt>
                <c:pt idx="233">
                  <c:v>45420</c:v>
                </c:pt>
                <c:pt idx="234">
                  <c:v>45421</c:v>
                </c:pt>
                <c:pt idx="235">
                  <c:v>45424</c:v>
                </c:pt>
                <c:pt idx="236">
                  <c:v>45427</c:v>
                </c:pt>
                <c:pt idx="237">
                  <c:v>45428</c:v>
                </c:pt>
                <c:pt idx="238">
                  <c:v>45431</c:v>
                </c:pt>
                <c:pt idx="239">
                  <c:v>45432</c:v>
                </c:pt>
                <c:pt idx="240">
                  <c:v>45433</c:v>
                </c:pt>
                <c:pt idx="241">
                  <c:v>45434</c:v>
                </c:pt>
                <c:pt idx="242">
                  <c:v>45435</c:v>
                </c:pt>
                <c:pt idx="243">
                  <c:v>45438</c:v>
                </c:pt>
                <c:pt idx="244">
                  <c:v>45439</c:v>
                </c:pt>
                <c:pt idx="245">
                  <c:v>45440</c:v>
                </c:pt>
                <c:pt idx="246">
                  <c:v>45441</c:v>
                </c:pt>
                <c:pt idx="247">
                  <c:v>45442</c:v>
                </c:pt>
                <c:pt idx="248">
                  <c:v>45445</c:v>
                </c:pt>
                <c:pt idx="249">
                  <c:v>45446</c:v>
                </c:pt>
                <c:pt idx="250">
                  <c:v>45447</c:v>
                </c:pt>
                <c:pt idx="251">
                  <c:v>45448</c:v>
                </c:pt>
                <c:pt idx="252">
                  <c:v>45449</c:v>
                </c:pt>
                <c:pt idx="253">
                  <c:v>45452</c:v>
                </c:pt>
                <c:pt idx="254">
                  <c:v>45453</c:v>
                </c:pt>
                <c:pt idx="255">
                  <c:v>45456</c:v>
                </c:pt>
                <c:pt idx="256">
                  <c:v>45459</c:v>
                </c:pt>
                <c:pt idx="257">
                  <c:v>45460</c:v>
                </c:pt>
                <c:pt idx="258">
                  <c:v>45461</c:v>
                </c:pt>
                <c:pt idx="259">
                  <c:v>45462</c:v>
                </c:pt>
                <c:pt idx="260">
                  <c:v>45463</c:v>
                </c:pt>
                <c:pt idx="261">
                  <c:v>45466</c:v>
                </c:pt>
                <c:pt idx="262">
                  <c:v>45467</c:v>
                </c:pt>
                <c:pt idx="263">
                  <c:v>45468</c:v>
                </c:pt>
                <c:pt idx="264">
                  <c:v>45469</c:v>
                </c:pt>
                <c:pt idx="265">
                  <c:v>45470</c:v>
                </c:pt>
                <c:pt idx="266">
                  <c:v>45473</c:v>
                </c:pt>
                <c:pt idx="267">
                  <c:v>45474</c:v>
                </c:pt>
                <c:pt idx="268">
                  <c:v>45475</c:v>
                </c:pt>
                <c:pt idx="269">
                  <c:v>45476</c:v>
                </c:pt>
                <c:pt idx="270">
                  <c:v>45477</c:v>
                </c:pt>
                <c:pt idx="271">
                  <c:v>45480</c:v>
                </c:pt>
                <c:pt idx="272">
                  <c:v>45481</c:v>
                </c:pt>
                <c:pt idx="273">
                  <c:v>45482</c:v>
                </c:pt>
                <c:pt idx="274">
                  <c:v>45483</c:v>
                </c:pt>
                <c:pt idx="275">
                  <c:v>45484</c:v>
                </c:pt>
                <c:pt idx="276">
                  <c:v>45487</c:v>
                </c:pt>
                <c:pt idx="277">
                  <c:v>45488</c:v>
                </c:pt>
                <c:pt idx="278">
                  <c:v>45489</c:v>
                </c:pt>
                <c:pt idx="279">
                  <c:v>45490</c:v>
                </c:pt>
                <c:pt idx="280">
                  <c:v>45491</c:v>
                </c:pt>
                <c:pt idx="281">
                  <c:v>45494</c:v>
                </c:pt>
                <c:pt idx="282">
                  <c:v>45495</c:v>
                </c:pt>
                <c:pt idx="283">
                  <c:v>45496</c:v>
                </c:pt>
                <c:pt idx="284">
                  <c:v>45497</c:v>
                </c:pt>
                <c:pt idx="285">
                  <c:v>45498</c:v>
                </c:pt>
                <c:pt idx="286">
                  <c:v>45501</c:v>
                </c:pt>
                <c:pt idx="287">
                  <c:v>45502</c:v>
                </c:pt>
                <c:pt idx="288">
                  <c:v>45503</c:v>
                </c:pt>
                <c:pt idx="289">
                  <c:v>45504</c:v>
                </c:pt>
                <c:pt idx="290">
                  <c:v>45505</c:v>
                </c:pt>
                <c:pt idx="291">
                  <c:v>45508</c:v>
                </c:pt>
                <c:pt idx="292">
                  <c:v>45509</c:v>
                </c:pt>
                <c:pt idx="293">
                  <c:v>45510</c:v>
                </c:pt>
                <c:pt idx="294">
                  <c:v>45511</c:v>
                </c:pt>
                <c:pt idx="295">
                  <c:v>45512</c:v>
                </c:pt>
                <c:pt idx="296">
                  <c:v>45515</c:v>
                </c:pt>
                <c:pt idx="297">
                  <c:v>45516</c:v>
                </c:pt>
                <c:pt idx="298">
                  <c:v>45518</c:v>
                </c:pt>
                <c:pt idx="299">
                  <c:v>45519</c:v>
                </c:pt>
                <c:pt idx="300">
                  <c:v>45522</c:v>
                </c:pt>
                <c:pt idx="301">
                  <c:v>45523</c:v>
                </c:pt>
                <c:pt idx="302">
                  <c:v>45524</c:v>
                </c:pt>
                <c:pt idx="303">
                  <c:v>45525</c:v>
                </c:pt>
                <c:pt idx="304">
                  <c:v>45526</c:v>
                </c:pt>
                <c:pt idx="305">
                  <c:v>45529</c:v>
                </c:pt>
                <c:pt idx="306">
                  <c:v>45530</c:v>
                </c:pt>
                <c:pt idx="307">
                  <c:v>45531</c:v>
                </c:pt>
                <c:pt idx="308">
                  <c:v>45532</c:v>
                </c:pt>
                <c:pt idx="309">
                  <c:v>45533</c:v>
                </c:pt>
                <c:pt idx="310">
                  <c:v>45536</c:v>
                </c:pt>
                <c:pt idx="311">
                  <c:v>45537</c:v>
                </c:pt>
                <c:pt idx="312">
                  <c:v>45538</c:v>
                </c:pt>
                <c:pt idx="313">
                  <c:v>45539</c:v>
                </c:pt>
                <c:pt idx="314">
                  <c:v>45540</c:v>
                </c:pt>
                <c:pt idx="315">
                  <c:v>45543</c:v>
                </c:pt>
                <c:pt idx="316">
                  <c:v>45544</c:v>
                </c:pt>
                <c:pt idx="317">
                  <c:v>45545</c:v>
                </c:pt>
                <c:pt idx="318">
                  <c:v>45546</c:v>
                </c:pt>
                <c:pt idx="319">
                  <c:v>45547</c:v>
                </c:pt>
                <c:pt idx="320">
                  <c:v>45550</c:v>
                </c:pt>
                <c:pt idx="321">
                  <c:v>45551</c:v>
                </c:pt>
                <c:pt idx="322">
                  <c:v>45552</c:v>
                </c:pt>
                <c:pt idx="323">
                  <c:v>45553</c:v>
                </c:pt>
                <c:pt idx="324">
                  <c:v>45554</c:v>
                </c:pt>
                <c:pt idx="325">
                  <c:v>45557</c:v>
                </c:pt>
                <c:pt idx="326">
                  <c:v>45558</c:v>
                </c:pt>
                <c:pt idx="327">
                  <c:v>45559</c:v>
                </c:pt>
                <c:pt idx="328">
                  <c:v>45560</c:v>
                </c:pt>
                <c:pt idx="329">
                  <c:v>45561</c:v>
                </c:pt>
                <c:pt idx="330">
                  <c:v>45564</c:v>
                </c:pt>
                <c:pt idx="331">
                  <c:v>45565</c:v>
                </c:pt>
                <c:pt idx="332">
                  <c:v>45566</c:v>
                </c:pt>
                <c:pt idx="333">
                  <c:v>45571</c:v>
                </c:pt>
                <c:pt idx="334">
                  <c:v>45572</c:v>
                </c:pt>
                <c:pt idx="335">
                  <c:v>45573</c:v>
                </c:pt>
                <c:pt idx="336">
                  <c:v>45574</c:v>
                </c:pt>
                <c:pt idx="337">
                  <c:v>45575</c:v>
                </c:pt>
                <c:pt idx="338">
                  <c:v>45578</c:v>
                </c:pt>
                <c:pt idx="339">
                  <c:v>45579</c:v>
                </c:pt>
                <c:pt idx="340">
                  <c:v>45580</c:v>
                </c:pt>
                <c:pt idx="341">
                  <c:v>45585</c:v>
                </c:pt>
                <c:pt idx="342">
                  <c:v>45586</c:v>
                </c:pt>
                <c:pt idx="343">
                  <c:v>45587</c:v>
                </c:pt>
                <c:pt idx="344">
                  <c:v>45592</c:v>
                </c:pt>
                <c:pt idx="345">
                  <c:v>45593</c:v>
                </c:pt>
                <c:pt idx="346">
                  <c:v>45594</c:v>
                </c:pt>
                <c:pt idx="347">
                  <c:v>45595</c:v>
                </c:pt>
                <c:pt idx="348">
                  <c:v>45596</c:v>
                </c:pt>
                <c:pt idx="349">
                  <c:v>45599</c:v>
                </c:pt>
                <c:pt idx="350">
                  <c:v>45600</c:v>
                </c:pt>
                <c:pt idx="351">
                  <c:v>45601</c:v>
                </c:pt>
                <c:pt idx="352">
                  <c:v>45602</c:v>
                </c:pt>
                <c:pt idx="353">
                  <c:v>45603</c:v>
                </c:pt>
                <c:pt idx="354">
                  <c:v>45606</c:v>
                </c:pt>
                <c:pt idx="355">
                  <c:v>45607</c:v>
                </c:pt>
                <c:pt idx="356">
                  <c:v>45608</c:v>
                </c:pt>
                <c:pt idx="357">
                  <c:v>45609</c:v>
                </c:pt>
                <c:pt idx="358">
                  <c:v>45610</c:v>
                </c:pt>
                <c:pt idx="359">
                  <c:v>45613</c:v>
                </c:pt>
                <c:pt idx="360">
                  <c:v>45614</c:v>
                </c:pt>
                <c:pt idx="361">
                  <c:v>45615</c:v>
                </c:pt>
                <c:pt idx="362">
                  <c:v>45616</c:v>
                </c:pt>
                <c:pt idx="363">
                  <c:v>45617</c:v>
                </c:pt>
                <c:pt idx="364">
                  <c:v>45620</c:v>
                </c:pt>
                <c:pt idx="365">
                  <c:v>45621</c:v>
                </c:pt>
                <c:pt idx="366">
                  <c:v>45622</c:v>
                </c:pt>
                <c:pt idx="367">
                  <c:v>45623</c:v>
                </c:pt>
                <c:pt idx="368">
                  <c:v>45624</c:v>
                </c:pt>
                <c:pt idx="369">
                  <c:v>45627</c:v>
                </c:pt>
                <c:pt idx="370">
                  <c:v>45628</c:v>
                </c:pt>
                <c:pt idx="371">
                  <c:v>45629</c:v>
                </c:pt>
                <c:pt idx="372">
                  <c:v>45630</c:v>
                </c:pt>
                <c:pt idx="373">
                  <c:v>45631</c:v>
                </c:pt>
                <c:pt idx="374">
                  <c:v>45634</c:v>
                </c:pt>
                <c:pt idx="375">
                  <c:v>45635</c:v>
                </c:pt>
                <c:pt idx="376">
                  <c:v>45636</c:v>
                </c:pt>
                <c:pt idx="377">
                  <c:v>45637</c:v>
                </c:pt>
                <c:pt idx="378">
                  <c:v>45638</c:v>
                </c:pt>
                <c:pt idx="379">
                  <c:v>45641</c:v>
                </c:pt>
                <c:pt idx="380">
                  <c:v>45642</c:v>
                </c:pt>
                <c:pt idx="381">
                  <c:v>45643</c:v>
                </c:pt>
                <c:pt idx="382">
                  <c:v>45644</c:v>
                </c:pt>
                <c:pt idx="383">
                  <c:v>45645</c:v>
                </c:pt>
                <c:pt idx="384">
                  <c:v>45648</c:v>
                </c:pt>
                <c:pt idx="385">
                  <c:v>45649</c:v>
                </c:pt>
                <c:pt idx="386">
                  <c:v>45650</c:v>
                </c:pt>
                <c:pt idx="387">
                  <c:v>45651</c:v>
                </c:pt>
                <c:pt idx="388">
                  <c:v>45652</c:v>
                </c:pt>
                <c:pt idx="389">
                  <c:v>45655</c:v>
                </c:pt>
                <c:pt idx="390">
                  <c:v>45656</c:v>
                </c:pt>
                <c:pt idx="391">
                  <c:v>45657</c:v>
                </c:pt>
                <c:pt idx="392">
                  <c:v>45658</c:v>
                </c:pt>
                <c:pt idx="393">
                  <c:v>45659</c:v>
                </c:pt>
                <c:pt idx="394">
                  <c:v>45662</c:v>
                </c:pt>
                <c:pt idx="395">
                  <c:v>45663</c:v>
                </c:pt>
                <c:pt idx="396">
                  <c:v>45664</c:v>
                </c:pt>
                <c:pt idx="397">
                  <c:v>45665</c:v>
                </c:pt>
                <c:pt idx="398">
                  <c:v>45666</c:v>
                </c:pt>
                <c:pt idx="399">
                  <c:v>45669</c:v>
                </c:pt>
                <c:pt idx="400">
                  <c:v>45670</c:v>
                </c:pt>
                <c:pt idx="401">
                  <c:v>45671</c:v>
                </c:pt>
                <c:pt idx="402">
                  <c:v>45672</c:v>
                </c:pt>
                <c:pt idx="403">
                  <c:v>45673</c:v>
                </c:pt>
                <c:pt idx="404">
                  <c:v>45676</c:v>
                </c:pt>
                <c:pt idx="405">
                  <c:v>45677</c:v>
                </c:pt>
                <c:pt idx="406">
                  <c:v>45678</c:v>
                </c:pt>
                <c:pt idx="407">
                  <c:v>45679</c:v>
                </c:pt>
                <c:pt idx="408">
                  <c:v>45680</c:v>
                </c:pt>
                <c:pt idx="409">
                  <c:v>45683</c:v>
                </c:pt>
                <c:pt idx="410">
                  <c:v>45684</c:v>
                </c:pt>
                <c:pt idx="411">
                  <c:v>45685</c:v>
                </c:pt>
                <c:pt idx="412">
                  <c:v>45686</c:v>
                </c:pt>
                <c:pt idx="413">
                  <c:v>45687</c:v>
                </c:pt>
                <c:pt idx="414">
                  <c:v>45690</c:v>
                </c:pt>
                <c:pt idx="415">
                  <c:v>45691</c:v>
                </c:pt>
                <c:pt idx="416">
                  <c:v>45692</c:v>
                </c:pt>
                <c:pt idx="417">
                  <c:v>45693</c:v>
                </c:pt>
                <c:pt idx="418">
                  <c:v>45694</c:v>
                </c:pt>
                <c:pt idx="419">
                  <c:v>45697</c:v>
                </c:pt>
                <c:pt idx="420">
                  <c:v>45698</c:v>
                </c:pt>
                <c:pt idx="421">
                  <c:v>45699</c:v>
                </c:pt>
                <c:pt idx="422">
                  <c:v>45700</c:v>
                </c:pt>
                <c:pt idx="423">
                  <c:v>45701</c:v>
                </c:pt>
                <c:pt idx="424">
                  <c:v>45704</c:v>
                </c:pt>
                <c:pt idx="425">
                  <c:v>45705</c:v>
                </c:pt>
                <c:pt idx="426">
                  <c:v>45706</c:v>
                </c:pt>
                <c:pt idx="427">
                  <c:v>45707</c:v>
                </c:pt>
                <c:pt idx="428">
                  <c:v>45708</c:v>
                </c:pt>
                <c:pt idx="429">
                  <c:v>45711</c:v>
                </c:pt>
                <c:pt idx="430">
                  <c:v>45712</c:v>
                </c:pt>
                <c:pt idx="431">
                  <c:v>45713</c:v>
                </c:pt>
                <c:pt idx="432">
                  <c:v>45714</c:v>
                </c:pt>
                <c:pt idx="433">
                  <c:v>45715</c:v>
                </c:pt>
                <c:pt idx="434">
                  <c:v>45718</c:v>
                </c:pt>
                <c:pt idx="435">
                  <c:v>45719</c:v>
                </c:pt>
                <c:pt idx="436">
                  <c:v>45720</c:v>
                </c:pt>
                <c:pt idx="437">
                  <c:v>45721</c:v>
                </c:pt>
                <c:pt idx="438">
                  <c:v>45722</c:v>
                </c:pt>
                <c:pt idx="439">
                  <c:v>45725</c:v>
                </c:pt>
                <c:pt idx="440">
                  <c:v>45726</c:v>
                </c:pt>
                <c:pt idx="441">
                  <c:v>45727</c:v>
                </c:pt>
                <c:pt idx="442">
                  <c:v>45728</c:v>
                </c:pt>
                <c:pt idx="443">
                  <c:v>45729</c:v>
                </c:pt>
                <c:pt idx="444">
                  <c:v>45732</c:v>
                </c:pt>
                <c:pt idx="445">
                  <c:v>45733</c:v>
                </c:pt>
                <c:pt idx="446">
                  <c:v>45734</c:v>
                </c:pt>
                <c:pt idx="447">
                  <c:v>45735</c:v>
                </c:pt>
                <c:pt idx="448">
                  <c:v>45736</c:v>
                </c:pt>
                <c:pt idx="449">
                  <c:v>45739</c:v>
                </c:pt>
                <c:pt idx="450">
                  <c:v>45740</c:v>
                </c:pt>
                <c:pt idx="451">
                  <c:v>45741</c:v>
                </c:pt>
                <c:pt idx="452">
                  <c:v>45742</c:v>
                </c:pt>
                <c:pt idx="453">
                  <c:v>45743</c:v>
                </c:pt>
                <c:pt idx="454">
                  <c:v>45746</c:v>
                </c:pt>
                <c:pt idx="455">
                  <c:v>45747</c:v>
                </c:pt>
                <c:pt idx="456">
                  <c:v>45748</c:v>
                </c:pt>
                <c:pt idx="457">
                  <c:v>45749</c:v>
                </c:pt>
                <c:pt idx="458">
                  <c:v>45750</c:v>
                </c:pt>
                <c:pt idx="459">
                  <c:v>45753</c:v>
                </c:pt>
                <c:pt idx="460">
                  <c:v>45754</c:v>
                </c:pt>
                <c:pt idx="461">
                  <c:v>45755</c:v>
                </c:pt>
                <c:pt idx="462">
                  <c:v>45756</c:v>
                </c:pt>
                <c:pt idx="463">
                  <c:v>45757</c:v>
                </c:pt>
                <c:pt idx="464">
                  <c:v>45761</c:v>
                </c:pt>
                <c:pt idx="465">
                  <c:v>45762</c:v>
                </c:pt>
                <c:pt idx="466">
                  <c:v>45763</c:v>
                </c:pt>
                <c:pt idx="467">
                  <c:v>45764</c:v>
                </c:pt>
                <c:pt idx="468">
                  <c:v>45767</c:v>
                </c:pt>
                <c:pt idx="469">
                  <c:v>45768</c:v>
                </c:pt>
                <c:pt idx="470">
                  <c:v>45769</c:v>
                </c:pt>
                <c:pt idx="471">
                  <c:v>45770</c:v>
                </c:pt>
                <c:pt idx="472">
                  <c:v>45771</c:v>
                </c:pt>
                <c:pt idx="473">
                  <c:v>45774</c:v>
                </c:pt>
                <c:pt idx="474">
                  <c:v>45775</c:v>
                </c:pt>
                <c:pt idx="475">
                  <c:v>45776</c:v>
                </c:pt>
                <c:pt idx="476">
                  <c:v>45781</c:v>
                </c:pt>
                <c:pt idx="477">
                  <c:v>45782</c:v>
                </c:pt>
                <c:pt idx="478">
                  <c:v>45783</c:v>
                </c:pt>
                <c:pt idx="479">
                  <c:v>45784</c:v>
                </c:pt>
                <c:pt idx="480">
                  <c:v>45785</c:v>
                </c:pt>
                <c:pt idx="481">
                  <c:v>45788</c:v>
                </c:pt>
                <c:pt idx="482">
                  <c:v>45789</c:v>
                </c:pt>
                <c:pt idx="483">
                  <c:v>45790</c:v>
                </c:pt>
                <c:pt idx="484">
                  <c:v>45791</c:v>
                </c:pt>
                <c:pt idx="485">
                  <c:v>45792</c:v>
                </c:pt>
                <c:pt idx="486">
                  <c:v>45795</c:v>
                </c:pt>
                <c:pt idx="487">
                  <c:v>45796</c:v>
                </c:pt>
                <c:pt idx="488">
                  <c:v>45797</c:v>
                </c:pt>
                <c:pt idx="489">
                  <c:v>45798</c:v>
                </c:pt>
                <c:pt idx="490">
                  <c:v>45799</c:v>
                </c:pt>
                <c:pt idx="491">
                  <c:v>45802</c:v>
                </c:pt>
                <c:pt idx="492">
                  <c:v>45803</c:v>
                </c:pt>
                <c:pt idx="493">
                  <c:v>45804</c:v>
                </c:pt>
                <c:pt idx="494">
                  <c:v>45805</c:v>
                </c:pt>
                <c:pt idx="495">
                  <c:v>45806</c:v>
                </c:pt>
                <c:pt idx="496">
                  <c:v>45811</c:v>
                </c:pt>
                <c:pt idx="497">
                  <c:v>45812</c:v>
                </c:pt>
                <c:pt idx="498">
                  <c:v>45813</c:v>
                </c:pt>
                <c:pt idx="499">
                  <c:v>45816</c:v>
                </c:pt>
                <c:pt idx="500">
                  <c:v>45817</c:v>
                </c:pt>
                <c:pt idx="501">
                  <c:v>45818</c:v>
                </c:pt>
                <c:pt idx="502">
                  <c:v>45819</c:v>
                </c:pt>
                <c:pt idx="503">
                  <c:v>45820</c:v>
                </c:pt>
                <c:pt idx="504">
                  <c:v>45823</c:v>
                </c:pt>
                <c:pt idx="505">
                  <c:v>45824</c:v>
                </c:pt>
                <c:pt idx="506">
                  <c:v>45825</c:v>
                </c:pt>
                <c:pt idx="507">
                  <c:v>45826</c:v>
                </c:pt>
                <c:pt idx="508">
                  <c:v>45827</c:v>
                </c:pt>
                <c:pt idx="509">
                  <c:v>45830</c:v>
                </c:pt>
                <c:pt idx="510">
                  <c:v>45831</c:v>
                </c:pt>
                <c:pt idx="511">
                  <c:v>45832</c:v>
                </c:pt>
                <c:pt idx="512">
                  <c:v>45833</c:v>
                </c:pt>
                <c:pt idx="513">
                  <c:v>45834</c:v>
                </c:pt>
                <c:pt idx="514">
                  <c:v>45837</c:v>
                </c:pt>
                <c:pt idx="515">
                  <c:v>45838</c:v>
                </c:pt>
                <c:pt idx="516">
                  <c:v>45839</c:v>
                </c:pt>
                <c:pt idx="517">
                  <c:v>45840</c:v>
                </c:pt>
                <c:pt idx="518">
                  <c:v>45841</c:v>
                </c:pt>
                <c:pt idx="519">
                  <c:v>45844</c:v>
                </c:pt>
                <c:pt idx="520">
                  <c:v>45845</c:v>
                </c:pt>
                <c:pt idx="521">
                  <c:v>45846</c:v>
                </c:pt>
                <c:pt idx="522">
                  <c:v>45847</c:v>
                </c:pt>
                <c:pt idx="523">
                  <c:v>45848</c:v>
                </c:pt>
                <c:pt idx="524">
                  <c:v>45851</c:v>
                </c:pt>
                <c:pt idx="525">
                  <c:v>45852</c:v>
                </c:pt>
                <c:pt idx="526">
                  <c:v>45853</c:v>
                </c:pt>
                <c:pt idx="527">
                  <c:v>45854</c:v>
                </c:pt>
                <c:pt idx="528">
                  <c:v>45855</c:v>
                </c:pt>
                <c:pt idx="529">
                  <c:v>45858</c:v>
                </c:pt>
                <c:pt idx="530">
                  <c:v>45859</c:v>
                </c:pt>
                <c:pt idx="531">
                  <c:v>45860</c:v>
                </c:pt>
                <c:pt idx="532">
                  <c:v>45861</c:v>
                </c:pt>
                <c:pt idx="533">
                  <c:v>45862</c:v>
                </c:pt>
                <c:pt idx="534">
                  <c:v>45865</c:v>
                </c:pt>
                <c:pt idx="535">
                  <c:v>45866</c:v>
                </c:pt>
                <c:pt idx="536">
                  <c:v>45867</c:v>
                </c:pt>
                <c:pt idx="537">
                  <c:v>45868</c:v>
                </c:pt>
                <c:pt idx="538">
                  <c:v>45869</c:v>
                </c:pt>
                <c:pt idx="539">
                  <c:v>45873</c:v>
                </c:pt>
                <c:pt idx="540">
                  <c:v>45874</c:v>
                </c:pt>
                <c:pt idx="541">
                  <c:v>45875</c:v>
                </c:pt>
                <c:pt idx="542">
                  <c:v>45876</c:v>
                </c:pt>
                <c:pt idx="543">
                  <c:v>45879</c:v>
                </c:pt>
                <c:pt idx="544">
                  <c:v>45880</c:v>
                </c:pt>
                <c:pt idx="545">
                  <c:v>45881</c:v>
                </c:pt>
                <c:pt idx="546">
                  <c:v>45882</c:v>
                </c:pt>
                <c:pt idx="547">
                  <c:v>45883</c:v>
                </c:pt>
                <c:pt idx="548">
                  <c:v>45886</c:v>
                </c:pt>
                <c:pt idx="549">
                  <c:v>45887</c:v>
                </c:pt>
                <c:pt idx="550">
                  <c:v>45888</c:v>
                </c:pt>
                <c:pt idx="551">
                  <c:v>45889</c:v>
                </c:pt>
                <c:pt idx="552">
                  <c:v>45890</c:v>
                </c:pt>
                <c:pt idx="553">
                  <c:v>45893</c:v>
                </c:pt>
                <c:pt idx="554">
                  <c:v>45894</c:v>
                </c:pt>
                <c:pt idx="555">
                  <c:v>45895</c:v>
                </c:pt>
                <c:pt idx="556">
                  <c:v>45896</c:v>
                </c:pt>
                <c:pt idx="557">
                  <c:v>45897</c:v>
                </c:pt>
                <c:pt idx="558">
                  <c:v>45900</c:v>
                </c:pt>
                <c:pt idx="559">
                  <c:v>45901</c:v>
                </c:pt>
                <c:pt idx="560">
                  <c:v>45902</c:v>
                </c:pt>
                <c:pt idx="561">
                  <c:v>45903</c:v>
                </c:pt>
                <c:pt idx="562">
                  <c:v>45904</c:v>
                </c:pt>
                <c:pt idx="563">
                  <c:v>45907</c:v>
                </c:pt>
                <c:pt idx="564">
                  <c:v>45908</c:v>
                </c:pt>
                <c:pt idx="565">
                  <c:v>45909</c:v>
                </c:pt>
                <c:pt idx="566">
                  <c:v>45910</c:v>
                </c:pt>
                <c:pt idx="567">
                  <c:v>45911</c:v>
                </c:pt>
                <c:pt idx="568">
                  <c:v>45914</c:v>
                </c:pt>
                <c:pt idx="569">
                  <c:v>45915</c:v>
                </c:pt>
                <c:pt idx="570">
                  <c:v>45916</c:v>
                </c:pt>
                <c:pt idx="571">
                  <c:v>45917</c:v>
                </c:pt>
                <c:pt idx="572">
                  <c:v>45918</c:v>
                </c:pt>
                <c:pt idx="573">
                  <c:v>45921</c:v>
                </c:pt>
                <c:pt idx="574">
                  <c:v>45925</c:v>
                </c:pt>
                <c:pt idx="575">
                  <c:v>45928</c:v>
                </c:pt>
                <c:pt idx="576">
                  <c:v>45929</c:v>
                </c:pt>
                <c:pt idx="577">
                  <c:v>45930</c:v>
                </c:pt>
                <c:pt idx="578">
                  <c:v>45935</c:v>
                </c:pt>
                <c:pt idx="579">
                  <c:v>45938</c:v>
                </c:pt>
                <c:pt idx="580">
                  <c:v>45939</c:v>
                </c:pt>
                <c:pt idx="581">
                  <c:v>45942</c:v>
                </c:pt>
                <c:pt idx="582">
                  <c:v>45945</c:v>
                </c:pt>
                <c:pt idx="583">
                  <c:v>45946</c:v>
                </c:pt>
                <c:pt idx="584">
                  <c:v>45949</c:v>
                </c:pt>
                <c:pt idx="585">
                  <c:v>45950</c:v>
                </c:pt>
                <c:pt idx="586">
                  <c:v>45951</c:v>
                </c:pt>
                <c:pt idx="587">
                  <c:v>45952</c:v>
                </c:pt>
                <c:pt idx="588">
                  <c:v>45953</c:v>
                </c:pt>
                <c:pt idx="589">
                  <c:v>45956</c:v>
                </c:pt>
                <c:pt idx="590">
                  <c:v>45957</c:v>
                </c:pt>
                <c:pt idx="591">
                  <c:v>45958</c:v>
                </c:pt>
                <c:pt idx="592">
                  <c:v>45959</c:v>
                </c:pt>
                <c:pt idx="593">
                  <c:v>45960</c:v>
                </c:pt>
                <c:pt idx="594">
                  <c:v>45963</c:v>
                </c:pt>
                <c:pt idx="595">
                  <c:v>45964</c:v>
                </c:pt>
                <c:pt idx="596">
                  <c:v>45965</c:v>
                </c:pt>
                <c:pt idx="597">
                  <c:v>45966</c:v>
                </c:pt>
                <c:pt idx="598">
                  <c:v>45967</c:v>
                </c:pt>
                <c:pt idx="599">
                  <c:v>45970</c:v>
                </c:pt>
                <c:pt idx="600">
                  <c:v>45971</c:v>
                </c:pt>
                <c:pt idx="601">
                  <c:v>45972</c:v>
                </c:pt>
                <c:pt idx="602">
                  <c:v>45973</c:v>
                </c:pt>
                <c:pt idx="603">
                  <c:v>45974</c:v>
                </c:pt>
                <c:pt idx="604">
                  <c:v>45977</c:v>
                </c:pt>
                <c:pt idx="605">
                  <c:v>45978</c:v>
                </c:pt>
                <c:pt idx="606">
                  <c:v>45979</c:v>
                </c:pt>
                <c:pt idx="607">
                  <c:v>45980</c:v>
                </c:pt>
                <c:pt idx="608">
                  <c:v>45981</c:v>
                </c:pt>
                <c:pt idx="609">
                  <c:v>45984</c:v>
                </c:pt>
                <c:pt idx="610">
                  <c:v>45985</c:v>
                </c:pt>
                <c:pt idx="611">
                  <c:v>45986</c:v>
                </c:pt>
                <c:pt idx="612">
                  <c:v>45987</c:v>
                </c:pt>
                <c:pt idx="613">
                  <c:v>45988</c:v>
                </c:pt>
                <c:pt idx="614">
                  <c:v>45991</c:v>
                </c:pt>
                <c:pt idx="615">
                  <c:v>45992</c:v>
                </c:pt>
                <c:pt idx="616">
                  <c:v>45993</c:v>
                </c:pt>
                <c:pt idx="617">
                  <c:v>45994</c:v>
                </c:pt>
                <c:pt idx="618">
                  <c:v>45995</c:v>
                </c:pt>
                <c:pt idx="619">
                  <c:v>45998</c:v>
                </c:pt>
                <c:pt idx="620">
                  <c:v>45999</c:v>
                </c:pt>
                <c:pt idx="621">
                  <c:v>46000</c:v>
                </c:pt>
                <c:pt idx="622">
                  <c:v>46001</c:v>
                </c:pt>
                <c:pt idx="623">
                  <c:v>46002</c:v>
                </c:pt>
                <c:pt idx="624">
                  <c:v>46005</c:v>
                </c:pt>
                <c:pt idx="625">
                  <c:v>46006</c:v>
                </c:pt>
                <c:pt idx="626">
                  <c:v>46007</c:v>
                </c:pt>
                <c:pt idx="627">
                  <c:v>46008</c:v>
                </c:pt>
                <c:pt idx="628">
                  <c:v>46009</c:v>
                </c:pt>
                <c:pt idx="629">
                  <c:v>46012</c:v>
                </c:pt>
                <c:pt idx="630">
                  <c:v>46013</c:v>
                </c:pt>
                <c:pt idx="631">
                  <c:v>46014</c:v>
                </c:pt>
                <c:pt idx="632">
                  <c:v>46015</c:v>
                </c:pt>
                <c:pt idx="633">
                  <c:v>46016</c:v>
                </c:pt>
                <c:pt idx="634">
                  <c:v>46019</c:v>
                </c:pt>
                <c:pt idx="635">
                  <c:v>46020</c:v>
                </c:pt>
                <c:pt idx="636">
                  <c:v>46021</c:v>
                </c:pt>
                <c:pt idx="637">
                  <c:v>46022</c:v>
                </c:pt>
                <c:pt idx="638">
                  <c:v>46023</c:v>
                </c:pt>
                <c:pt idx="639">
                  <c:v>46027</c:v>
                </c:pt>
                <c:pt idx="640">
                  <c:v>46028</c:v>
                </c:pt>
                <c:pt idx="641">
                  <c:v>46029</c:v>
                </c:pt>
                <c:pt idx="642">
                  <c:v>46030</c:v>
                </c:pt>
                <c:pt idx="643">
                  <c:v>46031</c:v>
                </c:pt>
                <c:pt idx="644">
                  <c:v>46034</c:v>
                </c:pt>
                <c:pt idx="645">
                  <c:v>46035</c:v>
                </c:pt>
                <c:pt idx="646">
                  <c:v>46036</c:v>
                </c:pt>
                <c:pt idx="647">
                  <c:v>46037</c:v>
                </c:pt>
                <c:pt idx="648">
                  <c:v>46038</c:v>
                </c:pt>
                <c:pt idx="649">
                  <c:v>46041</c:v>
                </c:pt>
                <c:pt idx="650">
                  <c:v>46042</c:v>
                </c:pt>
                <c:pt idx="651">
                  <c:v>46043</c:v>
                </c:pt>
                <c:pt idx="652">
                  <c:v>46044</c:v>
                </c:pt>
                <c:pt idx="653">
                  <c:v>46045</c:v>
                </c:pt>
                <c:pt idx="654">
                  <c:v>46048</c:v>
                </c:pt>
                <c:pt idx="655">
                  <c:v>46049</c:v>
                </c:pt>
                <c:pt idx="656">
                  <c:v>46050</c:v>
                </c:pt>
                <c:pt idx="657">
                  <c:v>46051</c:v>
                </c:pt>
                <c:pt idx="658">
                  <c:v>46052</c:v>
                </c:pt>
                <c:pt idx="659">
                  <c:v>46055</c:v>
                </c:pt>
                <c:pt idx="660">
                  <c:v>46056</c:v>
                </c:pt>
                <c:pt idx="661">
                  <c:v>46057</c:v>
                </c:pt>
                <c:pt idx="662">
                  <c:v>46058</c:v>
                </c:pt>
                <c:pt idx="663">
                  <c:v>46059</c:v>
                </c:pt>
                <c:pt idx="664">
                  <c:v>46062</c:v>
                </c:pt>
                <c:pt idx="665">
                  <c:v>46063</c:v>
                </c:pt>
                <c:pt idx="666">
                  <c:v>46064</c:v>
                </c:pt>
                <c:pt idx="667">
                  <c:v>46065</c:v>
                </c:pt>
                <c:pt idx="668">
                  <c:v>46066</c:v>
                </c:pt>
                <c:pt idx="669">
                  <c:v>46069</c:v>
                </c:pt>
                <c:pt idx="670">
                  <c:v>46070</c:v>
                </c:pt>
                <c:pt idx="671">
                  <c:v>46071</c:v>
                </c:pt>
                <c:pt idx="672">
                  <c:v>46072</c:v>
                </c:pt>
                <c:pt idx="673">
                  <c:v>46073</c:v>
                </c:pt>
                <c:pt idx="674">
                  <c:v>46076</c:v>
                </c:pt>
                <c:pt idx="675">
                  <c:v>46077</c:v>
                </c:pt>
                <c:pt idx="676">
                  <c:v>46078</c:v>
                </c:pt>
                <c:pt idx="677">
                  <c:v>46079</c:v>
                </c:pt>
                <c:pt idx="678">
                  <c:v>46080</c:v>
                </c:pt>
                <c:pt idx="679">
                  <c:v>46083</c:v>
                </c:pt>
                <c:pt idx="680">
                  <c:v>46085</c:v>
                </c:pt>
                <c:pt idx="681">
                  <c:v>46086</c:v>
                </c:pt>
                <c:pt idx="682">
                  <c:v>46087</c:v>
                </c:pt>
                <c:pt idx="683">
                  <c:v>46090</c:v>
                </c:pt>
                <c:pt idx="684">
                  <c:v>46091</c:v>
                </c:pt>
                <c:pt idx="685">
                  <c:v>46092</c:v>
                </c:pt>
                <c:pt idx="686">
                  <c:v>46093</c:v>
                </c:pt>
                <c:pt idx="687">
                  <c:v>46094</c:v>
                </c:pt>
                <c:pt idx="688">
                  <c:v>46097</c:v>
                </c:pt>
                <c:pt idx="689">
                  <c:v>46098</c:v>
                </c:pt>
                <c:pt idx="690">
                  <c:v>46099</c:v>
                </c:pt>
                <c:pt idx="691">
                  <c:v>46100</c:v>
                </c:pt>
                <c:pt idx="692">
                  <c:v>46101</c:v>
                </c:pt>
                <c:pt idx="693">
                  <c:v>46104</c:v>
                </c:pt>
                <c:pt idx="694">
                  <c:v>46105</c:v>
                </c:pt>
                <c:pt idx="695">
                  <c:v>46106</c:v>
                </c:pt>
                <c:pt idx="696">
                  <c:v>46107</c:v>
                </c:pt>
                <c:pt idx="697">
                  <c:v>46108</c:v>
                </c:pt>
                <c:pt idx="698">
                  <c:v>46111</c:v>
                </c:pt>
                <c:pt idx="699">
                  <c:v>46112</c:v>
                </c:pt>
                <c:pt idx="700">
                  <c:v>46115</c:v>
                </c:pt>
                <c:pt idx="701">
                  <c:v>46118</c:v>
                </c:pt>
                <c:pt idx="702">
                  <c:v>46121</c:v>
                </c:pt>
                <c:pt idx="703">
                  <c:v>46122</c:v>
                </c:pt>
                <c:pt idx="704">
                  <c:v>46125</c:v>
                </c:pt>
                <c:pt idx="705">
                  <c:v>46126</c:v>
                </c:pt>
                <c:pt idx="706">
                  <c:v>46127</c:v>
                </c:pt>
                <c:pt idx="707">
                  <c:v>46128</c:v>
                </c:pt>
                <c:pt idx="708">
                  <c:v>46129</c:v>
                </c:pt>
                <c:pt idx="709">
                  <c:v>46132</c:v>
                </c:pt>
                <c:pt idx="710">
                  <c:v>46135</c:v>
                </c:pt>
                <c:pt idx="711">
                  <c:v>46136</c:v>
                </c:pt>
                <c:pt idx="712">
                  <c:v>46139</c:v>
                </c:pt>
                <c:pt idx="713">
                  <c:v>46140</c:v>
                </c:pt>
                <c:pt idx="714">
                  <c:v>46141</c:v>
                </c:pt>
                <c:pt idx="715">
                  <c:v>46142</c:v>
                </c:pt>
              </c:numCache>
            </c:numRef>
          </c:cat>
          <c:val>
            <c:numRef>
              <c:f>Charts!$B$5:$B$720</c:f>
              <c:numCache>
                <c:formatCode>0.0%</c:formatCode>
                <c:ptCount val="716"/>
                <c:pt idx="0">
                  <c:v>1.9384172195773708E-2</c:v>
                </c:pt>
                <c:pt idx="1">
                  <c:v>2.220126913977305E-2</c:v>
                </c:pt>
                <c:pt idx="2">
                  <c:v>1.5572125201737785E-2</c:v>
                </c:pt>
                <c:pt idx="3">
                  <c:v>3.5737217494923978E-2</c:v>
                </c:pt>
                <c:pt idx="4">
                  <c:v>4.1816825068113683E-2</c:v>
                </c:pt>
                <c:pt idx="5">
                  <c:v>4.2053993393994515E-2</c:v>
                </c:pt>
                <c:pt idx="6">
                  <c:v>5.2402630833039421E-2</c:v>
                </c:pt>
                <c:pt idx="7">
                  <c:v>5.9043343957703165E-2</c:v>
                </c:pt>
                <c:pt idx="8">
                  <c:v>5.574612576862803E-2</c:v>
                </c:pt>
                <c:pt idx="9">
                  <c:v>6.530227392363197E-2</c:v>
                </c:pt>
                <c:pt idx="10">
                  <c:v>5.7591411035847306E-2</c:v>
                </c:pt>
                <c:pt idx="11">
                  <c:v>6.1056382431033507E-2</c:v>
                </c:pt>
                <c:pt idx="12">
                  <c:v>5.9679649222261766E-2</c:v>
                </c:pt>
                <c:pt idx="13">
                  <c:v>4.7156004697090026E-2</c:v>
                </c:pt>
                <c:pt idx="14">
                  <c:v>4.5686717995291559E-2</c:v>
                </c:pt>
                <c:pt idx="15">
                  <c:v>2.8714721211525296E-2</c:v>
                </c:pt>
                <c:pt idx="16">
                  <c:v>3.4591868018719163E-2</c:v>
                </c:pt>
                <c:pt idx="17">
                  <c:v>2.4075477373563414E-2</c:v>
                </c:pt>
                <c:pt idx="18">
                  <c:v>2.6267838239632857E-2</c:v>
                </c:pt>
                <c:pt idx="19">
                  <c:v>2.7141311830072068E-2</c:v>
                </c:pt>
                <c:pt idx="20">
                  <c:v>3.713130448363855E-2</c:v>
                </c:pt>
                <c:pt idx="21">
                  <c:v>3.4505099119006788E-2</c:v>
                </c:pt>
                <c:pt idx="22">
                  <c:v>3.9543479895646216E-2</c:v>
                </c:pt>
                <c:pt idx="23">
                  <c:v>4.7960063167759248E-2</c:v>
                </c:pt>
                <c:pt idx="24">
                  <c:v>3.6361953572854322E-2</c:v>
                </c:pt>
                <c:pt idx="25">
                  <c:v>2.2363237752570209E-2</c:v>
                </c:pt>
                <c:pt idx="26">
                  <c:v>3.1445049255812485E-2</c:v>
                </c:pt>
                <c:pt idx="27">
                  <c:v>4.1782117508229133E-2</c:v>
                </c:pt>
                <c:pt idx="28">
                  <c:v>6.0715091425497913E-2</c:v>
                </c:pt>
                <c:pt idx="29">
                  <c:v>6.3561111336068121E-2</c:v>
                </c:pt>
                <c:pt idx="30">
                  <c:v>5.6978244144546109E-2</c:v>
                </c:pt>
                <c:pt idx="31">
                  <c:v>6.2161239754039643E-2</c:v>
                </c:pt>
                <c:pt idx="32">
                  <c:v>8.4975675785114557E-2</c:v>
                </c:pt>
                <c:pt idx="33">
                  <c:v>0.11116831431166307</c:v>
                </c:pt>
                <c:pt idx="34">
                  <c:v>0.10105106060518487</c:v>
                </c:pt>
                <c:pt idx="35">
                  <c:v>0.11046259392733471</c:v>
                </c:pt>
                <c:pt idx="36">
                  <c:v>8.4738507459233725E-2</c:v>
                </c:pt>
                <c:pt idx="37">
                  <c:v>5.1592787769056514E-2</c:v>
                </c:pt>
                <c:pt idx="38">
                  <c:v>7.7004506198192102E-2</c:v>
                </c:pt>
                <c:pt idx="39">
                  <c:v>8.8955475985261101E-2</c:v>
                </c:pt>
                <c:pt idx="40">
                  <c:v>9.2698107859527257E-2</c:v>
                </c:pt>
                <c:pt idx="41">
                  <c:v>8.6982929665130104E-2</c:v>
                </c:pt>
                <c:pt idx="42">
                  <c:v>8.5779734255783335E-2</c:v>
                </c:pt>
                <c:pt idx="43">
                  <c:v>8.0330647353837881E-2</c:v>
                </c:pt>
                <c:pt idx="44">
                  <c:v>8.8324955314016851E-2</c:v>
                </c:pt>
                <c:pt idx="45">
                  <c:v>9.487889953896822E-2</c:v>
                </c:pt>
                <c:pt idx="46">
                  <c:v>8.8573692826526162E-2</c:v>
                </c:pt>
                <c:pt idx="47">
                  <c:v>0.10418631018146307</c:v>
                </c:pt>
                <c:pt idx="48">
                  <c:v>0.10642494779404577</c:v>
                </c:pt>
                <c:pt idx="49">
                  <c:v>9.1749434556003928E-2</c:v>
                </c:pt>
                <c:pt idx="50">
                  <c:v>8.3714634442626057E-2</c:v>
                </c:pt>
                <c:pt idx="51">
                  <c:v>8.2453593100137557E-2</c:v>
                </c:pt>
                <c:pt idx="52">
                  <c:v>7.8381239406963843E-2</c:v>
                </c:pt>
                <c:pt idx="53">
                  <c:v>6.9889456421766472E-2</c:v>
                </c:pt>
                <c:pt idx="54">
                  <c:v>7.2689199585823427E-2</c:v>
                </c:pt>
                <c:pt idx="55">
                  <c:v>7.8109363521197794E-2</c:v>
                </c:pt>
                <c:pt idx="56">
                  <c:v>8.4842630138888264E-2</c:v>
                </c:pt>
                <c:pt idx="57">
                  <c:v>8.5351674350534701E-2</c:v>
                </c:pt>
                <c:pt idx="58">
                  <c:v>8.2852730038814659E-2</c:v>
                </c:pt>
                <c:pt idx="59">
                  <c:v>8.2366824200424515E-2</c:v>
                </c:pt>
                <c:pt idx="60">
                  <c:v>8.4958322005171283E-2</c:v>
                </c:pt>
                <c:pt idx="61">
                  <c:v>7.5170790117600861E-2</c:v>
                </c:pt>
                <c:pt idx="62">
                  <c:v>8.1435504676843795E-2</c:v>
                </c:pt>
                <c:pt idx="63">
                  <c:v>8.3893956835364714E-2</c:v>
                </c:pt>
                <c:pt idx="64">
                  <c:v>8.1047936924794506E-2</c:v>
                </c:pt>
                <c:pt idx="65">
                  <c:v>7.2313201020402396E-2</c:v>
                </c:pt>
                <c:pt idx="66">
                  <c:v>7.9237359217460446E-2</c:v>
                </c:pt>
                <c:pt idx="67">
                  <c:v>7.9543942663111267E-2</c:v>
                </c:pt>
                <c:pt idx="68">
                  <c:v>7.2076032694521563E-2</c:v>
                </c:pt>
                <c:pt idx="69">
                  <c:v>7.2446246666628467E-2</c:v>
                </c:pt>
                <c:pt idx="70">
                  <c:v>8.085704534542737E-2</c:v>
                </c:pt>
                <c:pt idx="71">
                  <c:v>8.3014698651611818E-2</c:v>
                </c:pt>
                <c:pt idx="72">
                  <c:v>7.3909748775112805E-2</c:v>
                </c:pt>
                <c:pt idx="73">
                  <c:v>7.9254712997403054E-2</c:v>
                </c:pt>
                <c:pt idx="74">
                  <c:v>7.9225790030832188E-2</c:v>
                </c:pt>
                <c:pt idx="75">
                  <c:v>7.6969798638306886E-2</c:v>
                </c:pt>
                <c:pt idx="76">
                  <c:v>8.9175290531199325E-2</c:v>
                </c:pt>
                <c:pt idx="77">
                  <c:v>8.900753732508826E-2</c:v>
                </c:pt>
                <c:pt idx="78">
                  <c:v>7.6911952705164932E-2</c:v>
                </c:pt>
                <c:pt idx="79">
                  <c:v>8.1904056735291109E-2</c:v>
                </c:pt>
                <c:pt idx="80">
                  <c:v>8.428730918072791E-2</c:v>
                </c:pt>
                <c:pt idx="81">
                  <c:v>9.8100918014958571E-2</c:v>
                </c:pt>
                <c:pt idx="82">
                  <c:v>0.10101056845198464</c:v>
                </c:pt>
                <c:pt idx="83">
                  <c:v>9.1298236277498113E-2</c:v>
                </c:pt>
                <c:pt idx="84">
                  <c:v>7.8710961225870513E-2</c:v>
                </c:pt>
                <c:pt idx="85">
                  <c:v>7.5344327917025389E-2</c:v>
                </c:pt>
                <c:pt idx="86">
                  <c:v>3.3666333088449019E-3</c:v>
                </c:pt>
                <c:pt idx="87">
                  <c:v>1.0516390645155527E-2</c:v>
                </c:pt>
                <c:pt idx="88">
                  <c:v>2.4931597184059795E-2</c:v>
                </c:pt>
                <c:pt idx="89">
                  <c:v>1.0175099639619711E-2</c:v>
                </c:pt>
                <c:pt idx="90">
                  <c:v>5.6284092946845554E-3</c:v>
                </c:pt>
                <c:pt idx="91">
                  <c:v>-3.3203565623318831E-2</c:v>
                </c:pt>
                <c:pt idx="92">
                  <c:v>-1.0389129592243918E-2</c:v>
                </c:pt>
                <c:pt idx="93">
                  <c:v>-1.4287945485992437E-2</c:v>
                </c:pt>
                <c:pt idx="94">
                  <c:v>-8.8793507372461056E-3</c:v>
                </c:pt>
                <c:pt idx="95">
                  <c:v>-2.6609129245168117E-2</c:v>
                </c:pt>
                <c:pt idx="96">
                  <c:v>-5.1158943270493085E-2</c:v>
                </c:pt>
                <c:pt idx="97">
                  <c:v>-6.094647515806384E-2</c:v>
                </c:pt>
                <c:pt idx="98">
                  <c:v>-5.5537880409317508E-2</c:v>
                </c:pt>
                <c:pt idx="99">
                  <c:v>-5.8412823286458471E-2</c:v>
                </c:pt>
                <c:pt idx="100">
                  <c:v>-6.9594442162743353E-2</c:v>
                </c:pt>
                <c:pt idx="101">
                  <c:v>-5.8262423860290125E-2</c:v>
                </c:pt>
                <c:pt idx="102">
                  <c:v>-4.1516026215776436E-2</c:v>
                </c:pt>
                <c:pt idx="103">
                  <c:v>-4.092599769773142E-2</c:v>
                </c:pt>
                <c:pt idx="104">
                  <c:v>-3.4186946486726821E-2</c:v>
                </c:pt>
                <c:pt idx="105">
                  <c:v>-1.5658894101449827E-2</c:v>
                </c:pt>
                <c:pt idx="106">
                  <c:v>7.4679099685899253E-3</c:v>
                </c:pt>
                <c:pt idx="107">
                  <c:v>-3.6558629745532256E-3</c:v>
                </c:pt>
                <c:pt idx="108">
                  <c:v>9.8569470073408549E-3</c:v>
                </c:pt>
                <c:pt idx="109">
                  <c:v>2.9270042169686761E-3</c:v>
                </c:pt>
                <c:pt idx="110">
                  <c:v>-3.3666333088450129E-3</c:v>
                </c:pt>
                <c:pt idx="111">
                  <c:v>-2.0072538800159467E-2</c:v>
                </c:pt>
                <c:pt idx="112">
                  <c:v>-2.5666240534959028E-2</c:v>
                </c:pt>
                <c:pt idx="113">
                  <c:v>-5.5416403949717363E-3</c:v>
                </c:pt>
                <c:pt idx="114">
                  <c:v>-2.8228815373133598E-3</c:v>
                </c:pt>
                <c:pt idx="115">
                  <c:v>8.43393705205564E-3</c:v>
                </c:pt>
                <c:pt idx="116">
                  <c:v>3.8351853672928815E-3</c:v>
                </c:pt>
                <c:pt idx="117">
                  <c:v>1.5832431900875354E-2</c:v>
                </c:pt>
                <c:pt idx="118">
                  <c:v>2.2311176412742606E-2</c:v>
                </c:pt>
                <c:pt idx="119">
                  <c:v>4.5669364215349395E-2</c:v>
                </c:pt>
                <c:pt idx="120">
                  <c:v>4.7855940488104487E-2</c:v>
                </c:pt>
                <c:pt idx="121">
                  <c:v>5.1297773510033728E-2</c:v>
                </c:pt>
                <c:pt idx="122">
                  <c:v>4.1354057602980498E-2</c:v>
                </c:pt>
                <c:pt idx="123">
                  <c:v>4.6282531106650815E-2</c:v>
                </c:pt>
                <c:pt idx="124">
                  <c:v>5.5705633615428907E-2</c:v>
                </c:pt>
                <c:pt idx="125">
                  <c:v>3.6969335870841835E-2</c:v>
                </c:pt>
                <c:pt idx="126">
                  <c:v>4.6068501154026498E-2</c:v>
                </c:pt>
                <c:pt idx="127">
                  <c:v>4.7543572449139315E-2</c:v>
                </c:pt>
                <c:pt idx="128">
                  <c:v>6.0258108553678635E-2</c:v>
                </c:pt>
                <c:pt idx="129">
                  <c:v>6.1600134202565382E-2</c:v>
                </c:pt>
                <c:pt idx="130">
                  <c:v>5.960444950917787E-2</c:v>
                </c:pt>
                <c:pt idx="131">
                  <c:v>5.9280512283584663E-2</c:v>
                </c:pt>
                <c:pt idx="132">
                  <c:v>4.803526288084381E-2</c:v>
                </c:pt>
                <c:pt idx="133">
                  <c:v>4.1978793680910842E-2</c:v>
                </c:pt>
                <c:pt idx="134">
                  <c:v>4.2516760859128588E-2</c:v>
                </c:pt>
                <c:pt idx="135">
                  <c:v>6.7957402254835486E-2</c:v>
                </c:pt>
                <c:pt idx="136">
                  <c:v>6.6580669046063745E-2</c:v>
                </c:pt>
                <c:pt idx="137">
                  <c:v>7.2342123986974149E-2</c:v>
                </c:pt>
                <c:pt idx="138">
                  <c:v>8.1036367738167137E-2</c:v>
                </c:pt>
                <c:pt idx="139">
                  <c:v>9.648701648030733E-2</c:v>
                </c:pt>
                <c:pt idx="140">
                  <c:v>8.7711788422715875E-2</c:v>
                </c:pt>
                <c:pt idx="141">
                  <c:v>8.3361774250462206E-2</c:v>
                </c:pt>
                <c:pt idx="142">
                  <c:v>9.4497116380233726E-2</c:v>
                </c:pt>
                <c:pt idx="143">
                  <c:v>7.9295205150602843E-2</c:v>
                </c:pt>
                <c:pt idx="144">
                  <c:v>8.9354612923939314E-2</c:v>
                </c:pt>
                <c:pt idx="145">
                  <c:v>8.5050875498199119E-2</c:v>
                </c:pt>
                <c:pt idx="146">
                  <c:v>9.1599035129836359E-2</c:v>
                </c:pt>
                <c:pt idx="147">
                  <c:v>0.11431513307457042</c:v>
                </c:pt>
                <c:pt idx="148">
                  <c:v>0.11079810033955684</c:v>
                </c:pt>
                <c:pt idx="149">
                  <c:v>0.10039740156068455</c:v>
                </c:pt>
                <c:pt idx="150">
                  <c:v>0.10608944138182497</c:v>
                </c:pt>
                <c:pt idx="151">
                  <c:v>9.72043060512644E-2</c:v>
                </c:pt>
                <c:pt idx="152">
                  <c:v>9.6677908059675133E-2</c:v>
                </c:pt>
                <c:pt idx="153">
                  <c:v>9.1957679915315005E-2</c:v>
                </c:pt>
                <c:pt idx="154">
                  <c:v>8.7509327656720481E-2</c:v>
                </c:pt>
                <c:pt idx="155">
                  <c:v>9.015867139460898E-2</c:v>
                </c:pt>
                <c:pt idx="156">
                  <c:v>8.6167302007833735E-2</c:v>
                </c:pt>
                <c:pt idx="157">
                  <c:v>8.1458643050101642E-2</c:v>
                </c:pt>
                <c:pt idx="158">
                  <c:v>6.6586453639378096E-2</c:v>
                </c:pt>
                <c:pt idx="159">
                  <c:v>5.88177448184517E-2</c:v>
                </c:pt>
                <c:pt idx="160">
                  <c:v>7.9538158069798026E-2</c:v>
                </c:pt>
                <c:pt idx="161">
                  <c:v>7.8051517588057173E-2</c:v>
                </c:pt>
                <c:pt idx="162">
                  <c:v>7.8658899886044686E-2</c:v>
                </c:pt>
                <c:pt idx="163">
                  <c:v>7.1879356521840965E-2</c:v>
                </c:pt>
                <c:pt idx="164">
                  <c:v>8.0498400559950056E-2</c:v>
                </c:pt>
                <c:pt idx="165">
                  <c:v>7.6842537585396498E-2</c:v>
                </c:pt>
                <c:pt idx="166">
                  <c:v>8.2864299225444471E-2</c:v>
                </c:pt>
                <c:pt idx="167">
                  <c:v>9.3079891018263528E-2</c:v>
                </c:pt>
                <c:pt idx="168">
                  <c:v>8.2152794247801975E-2</c:v>
                </c:pt>
                <c:pt idx="169">
                  <c:v>7.7044998351392557E-2</c:v>
                </c:pt>
                <c:pt idx="170">
                  <c:v>6.9623365129316106E-2</c:v>
                </c:pt>
                <c:pt idx="171">
                  <c:v>7.3267658917241407E-2</c:v>
                </c:pt>
                <c:pt idx="172">
                  <c:v>6.8871367998474486E-2</c:v>
                </c:pt>
                <c:pt idx="173">
                  <c:v>8.4524477506610518E-2</c:v>
                </c:pt>
                <c:pt idx="174">
                  <c:v>8.5542565929903835E-2</c:v>
                </c:pt>
                <c:pt idx="175">
                  <c:v>7.9167944097691789E-2</c:v>
                </c:pt>
                <c:pt idx="176">
                  <c:v>7.1225697477340422E-2</c:v>
                </c:pt>
                <c:pt idx="177">
                  <c:v>8.4935183631916322E-2</c:v>
                </c:pt>
                <c:pt idx="178">
                  <c:v>9.1662665656292663E-2</c:v>
                </c:pt>
                <c:pt idx="179">
                  <c:v>9.1234605751044251E-2</c:v>
                </c:pt>
                <c:pt idx="180">
                  <c:v>9.785218050245148E-2</c:v>
                </c:pt>
                <c:pt idx="181">
                  <c:v>0.10654642425364447</c:v>
                </c:pt>
                <c:pt idx="182">
                  <c:v>0.11866514724682431</c:v>
                </c:pt>
                <c:pt idx="183">
                  <c:v>0.11864779346688192</c:v>
                </c:pt>
                <c:pt idx="184">
                  <c:v>0.11650170934732618</c:v>
                </c:pt>
                <c:pt idx="185">
                  <c:v>0.12538684467788674</c:v>
                </c:pt>
                <c:pt idx="186">
                  <c:v>0.13943762183799868</c:v>
                </c:pt>
                <c:pt idx="187">
                  <c:v>0.14295465457301226</c:v>
                </c:pt>
                <c:pt idx="188">
                  <c:v>0.13620403417537941</c:v>
                </c:pt>
                <c:pt idx="189">
                  <c:v>0.14600313524957853</c:v>
                </c:pt>
                <c:pt idx="190">
                  <c:v>0.15554192962463986</c:v>
                </c:pt>
                <c:pt idx="191">
                  <c:v>0.15486513220688236</c:v>
                </c:pt>
                <c:pt idx="192">
                  <c:v>0.14721211525223943</c:v>
                </c:pt>
                <c:pt idx="193">
                  <c:v>0.14975733631047272</c:v>
                </c:pt>
                <c:pt idx="194">
                  <c:v>0.14001029657610142</c:v>
                </c:pt>
                <c:pt idx="195">
                  <c:v>0.12681563922648631</c:v>
                </c:pt>
                <c:pt idx="196">
                  <c:v>0.12489515424618292</c:v>
                </c:pt>
                <c:pt idx="197">
                  <c:v>0.11857837834711238</c:v>
                </c:pt>
                <c:pt idx="198">
                  <c:v>0.11901222284567492</c:v>
                </c:pt>
                <c:pt idx="199">
                  <c:v>0.11126086780469113</c:v>
                </c:pt>
                <c:pt idx="200">
                  <c:v>0.12591324266947623</c:v>
                </c:pt>
                <c:pt idx="201">
                  <c:v>0.13951860614439715</c:v>
                </c:pt>
                <c:pt idx="202">
                  <c:v>0.14606676577603417</c:v>
                </c:pt>
                <c:pt idx="203">
                  <c:v>0.16181821337051105</c:v>
                </c:pt>
                <c:pt idx="204">
                  <c:v>0.17095208621358093</c:v>
                </c:pt>
                <c:pt idx="205">
                  <c:v>0.17923562383946812</c:v>
                </c:pt>
                <c:pt idx="206">
                  <c:v>0.18053137274184161</c:v>
                </c:pt>
                <c:pt idx="207">
                  <c:v>0.17680031005420371</c:v>
                </c:pt>
                <c:pt idx="208">
                  <c:v>0.17621606612947294</c:v>
                </c:pt>
                <c:pt idx="209">
                  <c:v>0.18211056671660919</c:v>
                </c:pt>
                <c:pt idx="210">
                  <c:v>0.1791083627865564</c:v>
                </c:pt>
                <c:pt idx="211">
                  <c:v>0.16105464705304118</c:v>
                </c:pt>
                <c:pt idx="212">
                  <c:v>0.16122240025915202</c:v>
                </c:pt>
                <c:pt idx="213">
                  <c:v>0.14281582433347229</c:v>
                </c:pt>
                <c:pt idx="214">
                  <c:v>0.15669884828747316</c:v>
                </c:pt>
                <c:pt idx="215">
                  <c:v>0.17180242143076341</c:v>
                </c:pt>
                <c:pt idx="216">
                  <c:v>0.15964320628438422</c:v>
                </c:pt>
                <c:pt idx="217">
                  <c:v>0.14857149468106834</c:v>
                </c:pt>
                <c:pt idx="218">
                  <c:v>0.12970793588356955</c:v>
                </c:pt>
                <c:pt idx="219">
                  <c:v>0.13322496861858313</c:v>
                </c:pt>
                <c:pt idx="220">
                  <c:v>0.12144175203762497</c:v>
                </c:pt>
                <c:pt idx="221">
                  <c:v>0.11774539690987207</c:v>
                </c:pt>
                <c:pt idx="222">
                  <c:v>0.10639602482747623</c:v>
                </c:pt>
                <c:pt idx="223">
                  <c:v>0.11872877777328017</c:v>
                </c:pt>
                <c:pt idx="224">
                  <c:v>0.13225315694180284</c:v>
                </c:pt>
                <c:pt idx="225">
                  <c:v>0.13507025388580218</c:v>
                </c:pt>
                <c:pt idx="226">
                  <c:v>0.12704702295905235</c:v>
                </c:pt>
                <c:pt idx="227">
                  <c:v>0.13998715820284402</c:v>
                </c:pt>
                <c:pt idx="228">
                  <c:v>0.13111937665222584</c:v>
                </c:pt>
                <c:pt idx="229">
                  <c:v>0.13502397713928849</c:v>
                </c:pt>
                <c:pt idx="230">
                  <c:v>0.14079700126682737</c:v>
                </c:pt>
                <c:pt idx="231">
                  <c:v>0.13773116681031872</c:v>
                </c:pt>
                <c:pt idx="232">
                  <c:v>0.15509073134613405</c:v>
                </c:pt>
                <c:pt idx="233">
                  <c:v>0.16087532466030119</c:v>
                </c:pt>
                <c:pt idx="234">
                  <c:v>0.17071491788769944</c:v>
                </c:pt>
                <c:pt idx="235">
                  <c:v>0.17493767100704138</c:v>
                </c:pt>
                <c:pt idx="236">
                  <c:v>0.1762218507227864</c:v>
                </c:pt>
                <c:pt idx="237">
                  <c:v>0.155183284839161</c:v>
                </c:pt>
                <c:pt idx="238">
                  <c:v>0.13924094566531653</c:v>
                </c:pt>
                <c:pt idx="239">
                  <c:v>0.15026059592880459</c:v>
                </c:pt>
                <c:pt idx="240">
                  <c:v>0.14296043916632573</c:v>
                </c:pt>
                <c:pt idx="241">
                  <c:v>0.13861042499407206</c:v>
                </c:pt>
                <c:pt idx="242">
                  <c:v>0.13654532518091433</c:v>
                </c:pt>
                <c:pt idx="243">
                  <c:v>0.13812451915568191</c:v>
                </c:pt>
                <c:pt idx="244">
                  <c:v>0.13699073886610513</c:v>
                </c:pt>
                <c:pt idx="245">
                  <c:v>0.1483458955418151</c:v>
                </c:pt>
                <c:pt idx="246">
                  <c:v>0.15105308521284533</c:v>
                </c:pt>
                <c:pt idx="247">
                  <c:v>0.15311818502600305</c:v>
                </c:pt>
                <c:pt idx="248">
                  <c:v>0.14886650894009024</c:v>
                </c:pt>
                <c:pt idx="249">
                  <c:v>0.15939446877187424</c:v>
                </c:pt>
                <c:pt idx="250">
                  <c:v>0.1535693833045082</c:v>
                </c:pt>
                <c:pt idx="251">
                  <c:v>0.1357701896768162</c:v>
                </c:pt>
                <c:pt idx="252">
                  <c:v>0.12449023271419057</c:v>
                </c:pt>
                <c:pt idx="253">
                  <c:v>0.12863778612044818</c:v>
                </c:pt>
                <c:pt idx="254">
                  <c:v>0.1333001683316668</c:v>
                </c:pt>
                <c:pt idx="255">
                  <c:v>0.13740144499141116</c:v>
                </c:pt>
                <c:pt idx="256">
                  <c:v>0.12746351367767206</c:v>
                </c:pt>
                <c:pt idx="257">
                  <c:v>0.14427932644195596</c:v>
                </c:pt>
                <c:pt idx="258">
                  <c:v>0.14182665887674917</c:v>
                </c:pt>
                <c:pt idx="259">
                  <c:v>0.14164733648400984</c:v>
                </c:pt>
                <c:pt idx="260">
                  <c:v>0.12110046103208849</c:v>
                </c:pt>
                <c:pt idx="261">
                  <c:v>0.11522909881820897</c:v>
                </c:pt>
                <c:pt idx="262">
                  <c:v>0.11362098187687053</c:v>
                </c:pt>
                <c:pt idx="263">
                  <c:v>0.12291103873942277</c:v>
                </c:pt>
                <c:pt idx="264">
                  <c:v>0.13527849924511193</c:v>
                </c:pt>
                <c:pt idx="265">
                  <c:v>0.12653797874740547</c:v>
                </c:pt>
                <c:pt idx="266">
                  <c:v>0.13024590306178663</c:v>
                </c:pt>
                <c:pt idx="267">
                  <c:v>0.12232679481469177</c:v>
                </c:pt>
                <c:pt idx="268">
                  <c:v>0.12750400583087118</c:v>
                </c:pt>
                <c:pt idx="269">
                  <c:v>0.13461327101398246</c:v>
                </c:pt>
                <c:pt idx="270">
                  <c:v>0.15258600244109966</c:v>
                </c:pt>
                <c:pt idx="271">
                  <c:v>0.18401948251028344</c:v>
                </c:pt>
                <c:pt idx="272">
                  <c:v>0.17253128018834785</c:v>
                </c:pt>
                <c:pt idx="273">
                  <c:v>0.17917199331301159</c:v>
                </c:pt>
                <c:pt idx="274">
                  <c:v>0.17202802057001509</c:v>
                </c:pt>
                <c:pt idx="275">
                  <c:v>0.19002967496370293</c:v>
                </c:pt>
                <c:pt idx="276">
                  <c:v>0.19063127266837654</c:v>
                </c:pt>
                <c:pt idx="277">
                  <c:v>0.19339630827254828</c:v>
                </c:pt>
                <c:pt idx="278">
                  <c:v>0.19440282750921334</c:v>
                </c:pt>
                <c:pt idx="279">
                  <c:v>0.1879414367772887</c:v>
                </c:pt>
                <c:pt idx="280">
                  <c:v>0.18314022432652988</c:v>
                </c:pt>
                <c:pt idx="281">
                  <c:v>0.17263540286800261</c:v>
                </c:pt>
                <c:pt idx="282">
                  <c:v>0.17995869800373798</c:v>
                </c:pt>
                <c:pt idx="283">
                  <c:v>0.19709844799361509</c:v>
                </c:pt>
                <c:pt idx="284">
                  <c:v>0.1940615365036773</c:v>
                </c:pt>
                <c:pt idx="285">
                  <c:v>0.18801663649037281</c:v>
                </c:pt>
                <c:pt idx="286">
                  <c:v>0.159533299011414</c:v>
                </c:pt>
                <c:pt idx="287">
                  <c:v>0.16347839165167577</c:v>
                </c:pt>
                <c:pt idx="288">
                  <c:v>0.15364458301759187</c:v>
                </c:pt>
                <c:pt idx="289">
                  <c:v>0.15577331335720546</c:v>
                </c:pt>
                <c:pt idx="290">
                  <c:v>0.13798568891614171</c:v>
                </c:pt>
                <c:pt idx="291">
                  <c:v>0.11215747976838575</c:v>
                </c:pt>
                <c:pt idx="292">
                  <c:v>0.10269966969972266</c:v>
                </c:pt>
                <c:pt idx="293">
                  <c:v>0.11978157375645782</c:v>
                </c:pt>
                <c:pt idx="294">
                  <c:v>0.13971528231707731</c:v>
                </c:pt>
                <c:pt idx="295">
                  <c:v>0.15461061010105759</c:v>
                </c:pt>
                <c:pt idx="296">
                  <c:v>0.15794832044333207</c:v>
                </c:pt>
                <c:pt idx="297">
                  <c:v>0.141149861458991</c:v>
                </c:pt>
                <c:pt idx="298">
                  <c:v>0.16148270695828826</c:v>
                </c:pt>
                <c:pt idx="299">
                  <c:v>0.17959426862494543</c:v>
                </c:pt>
                <c:pt idx="300">
                  <c:v>0.18654734978857412</c:v>
                </c:pt>
                <c:pt idx="301">
                  <c:v>0.18091894049388957</c:v>
                </c:pt>
                <c:pt idx="302">
                  <c:v>0.18216841264974959</c:v>
                </c:pt>
                <c:pt idx="303">
                  <c:v>0.17371133722443721</c:v>
                </c:pt>
                <c:pt idx="304">
                  <c:v>0.17584006756405079</c:v>
                </c:pt>
                <c:pt idx="305">
                  <c:v>0.20013535948355243</c:v>
                </c:pt>
                <c:pt idx="306">
                  <c:v>0.19552503861216119</c:v>
                </c:pt>
                <c:pt idx="307">
                  <c:v>0.19404996731704882</c:v>
                </c:pt>
                <c:pt idx="308">
                  <c:v>0.20329953202640172</c:v>
                </c:pt>
                <c:pt idx="309">
                  <c:v>0.2041672210235268</c:v>
                </c:pt>
                <c:pt idx="310">
                  <c:v>0.19513747086011235</c:v>
                </c:pt>
                <c:pt idx="311">
                  <c:v>0.2054282623660153</c:v>
                </c:pt>
                <c:pt idx="312">
                  <c:v>0.18993712147067576</c:v>
                </c:pt>
                <c:pt idx="313">
                  <c:v>0.18329640834601202</c:v>
                </c:pt>
                <c:pt idx="314">
                  <c:v>0.19897844082071914</c:v>
                </c:pt>
                <c:pt idx="315">
                  <c:v>0.18048509599532703</c:v>
                </c:pt>
                <c:pt idx="316">
                  <c:v>0.17657471091495003</c:v>
                </c:pt>
                <c:pt idx="317">
                  <c:v>0.17489139426052724</c:v>
                </c:pt>
                <c:pt idx="318">
                  <c:v>0.17616978938295813</c:v>
                </c:pt>
                <c:pt idx="319">
                  <c:v>0.18788359084414652</c:v>
                </c:pt>
                <c:pt idx="320">
                  <c:v>0.18554083055190862</c:v>
                </c:pt>
                <c:pt idx="321">
                  <c:v>0.16649794936167073</c:v>
                </c:pt>
                <c:pt idx="322">
                  <c:v>0.15205960444950972</c:v>
                </c:pt>
                <c:pt idx="323">
                  <c:v>0.15529897670544335</c:v>
                </c:pt>
                <c:pt idx="324">
                  <c:v>0.15187449746345627</c:v>
                </c:pt>
                <c:pt idx="325">
                  <c:v>0.16017538886928606</c:v>
                </c:pt>
                <c:pt idx="326">
                  <c:v>0.16712847003291476</c:v>
                </c:pt>
                <c:pt idx="327">
                  <c:v>0.18138170795902231</c:v>
                </c:pt>
                <c:pt idx="328">
                  <c:v>0.19182289889109394</c:v>
                </c:pt>
                <c:pt idx="329">
                  <c:v>0.20971464601181267</c:v>
                </c:pt>
                <c:pt idx="330">
                  <c:v>0.22227878269018331</c:v>
                </c:pt>
                <c:pt idx="331">
                  <c:v>0.22543717063971846</c:v>
                </c:pt>
                <c:pt idx="332">
                  <c:v>0.21038565883625582</c:v>
                </c:pt>
                <c:pt idx="333">
                  <c:v>0.20613976734365735</c:v>
                </c:pt>
                <c:pt idx="334">
                  <c:v>0.20915354046033841</c:v>
                </c:pt>
                <c:pt idx="335">
                  <c:v>0.21036252046299908</c:v>
                </c:pt>
                <c:pt idx="336">
                  <c:v>0.21890636478802361</c:v>
                </c:pt>
                <c:pt idx="337">
                  <c:v>0.20718677873352132</c:v>
                </c:pt>
                <c:pt idx="338">
                  <c:v>0.21781307665164618</c:v>
                </c:pt>
                <c:pt idx="339">
                  <c:v>0.22543138604640411</c:v>
                </c:pt>
                <c:pt idx="340">
                  <c:v>0.23341990941326873</c:v>
                </c:pt>
                <c:pt idx="341">
                  <c:v>0.25945636392033466</c:v>
                </c:pt>
                <c:pt idx="342">
                  <c:v>0.25658142104319359</c:v>
                </c:pt>
                <c:pt idx="343">
                  <c:v>0.24540558676022273</c:v>
                </c:pt>
                <c:pt idx="344">
                  <c:v>0.25657563644987946</c:v>
                </c:pt>
                <c:pt idx="345">
                  <c:v>0.25699791176181352</c:v>
                </c:pt>
                <c:pt idx="346">
                  <c:v>0.26718458058806149</c:v>
                </c:pt>
                <c:pt idx="347">
                  <c:v>0.2866150295303489</c:v>
                </c:pt>
                <c:pt idx="348">
                  <c:v>0.2805007143972742</c:v>
                </c:pt>
                <c:pt idx="349">
                  <c:v>0.28028089985133597</c:v>
                </c:pt>
                <c:pt idx="350">
                  <c:v>0.27981234779288822</c:v>
                </c:pt>
                <c:pt idx="351">
                  <c:v>0.28564900244688274</c:v>
                </c:pt>
                <c:pt idx="352">
                  <c:v>0.28966929480022885</c:v>
                </c:pt>
                <c:pt idx="353">
                  <c:v>0.29092455154940322</c:v>
                </c:pt>
                <c:pt idx="354">
                  <c:v>0.32266461506423805</c:v>
                </c:pt>
                <c:pt idx="355">
                  <c:v>0.31670648395064593</c:v>
                </c:pt>
                <c:pt idx="356">
                  <c:v>0.32807899440629829</c:v>
                </c:pt>
                <c:pt idx="357">
                  <c:v>0.33345866618847375</c:v>
                </c:pt>
                <c:pt idx="358">
                  <c:v>0.31943102740161855</c:v>
                </c:pt>
                <c:pt idx="359">
                  <c:v>0.32263569209766696</c:v>
                </c:pt>
                <c:pt idx="360">
                  <c:v>0.31861539974432107</c:v>
                </c:pt>
                <c:pt idx="361">
                  <c:v>0.32160024989443126</c:v>
                </c:pt>
                <c:pt idx="362">
                  <c:v>0.31937896606179095</c:v>
                </c:pt>
                <c:pt idx="363">
                  <c:v>0.32024665505891603</c:v>
                </c:pt>
                <c:pt idx="364">
                  <c:v>0.33340660484864615</c:v>
                </c:pt>
                <c:pt idx="365">
                  <c:v>0.33571465758099883</c:v>
                </c:pt>
                <c:pt idx="366">
                  <c:v>0.34713922937647856</c:v>
                </c:pt>
                <c:pt idx="367">
                  <c:v>0.33422801709925753</c:v>
                </c:pt>
                <c:pt idx="368">
                  <c:v>0.32746004292168229</c:v>
                </c:pt>
                <c:pt idx="369">
                  <c:v>0.35025134057950025</c:v>
                </c:pt>
                <c:pt idx="370">
                  <c:v>0.34996211091379181</c:v>
                </c:pt>
                <c:pt idx="371">
                  <c:v>0.36393768836081963</c:v>
                </c:pt>
                <c:pt idx="372">
                  <c:v>0.36783071966125402</c:v>
                </c:pt>
                <c:pt idx="373">
                  <c:v>0.36733324463623562</c:v>
                </c:pt>
                <c:pt idx="374">
                  <c:v>0.38134931423646257</c:v>
                </c:pt>
                <c:pt idx="375">
                  <c:v>0.39309203866422182</c:v>
                </c:pt>
                <c:pt idx="376">
                  <c:v>0.38870153233876881</c:v>
                </c:pt>
                <c:pt idx="377">
                  <c:v>0.38121048399692237</c:v>
                </c:pt>
                <c:pt idx="378">
                  <c:v>0.37771080504185139</c:v>
                </c:pt>
                <c:pt idx="379">
                  <c:v>0.3651408837701664</c:v>
                </c:pt>
                <c:pt idx="380">
                  <c:v>0.38284173931151733</c:v>
                </c:pt>
                <c:pt idx="381">
                  <c:v>0.39421424976716946</c:v>
                </c:pt>
                <c:pt idx="382">
                  <c:v>0.40180363619535697</c:v>
                </c:pt>
                <c:pt idx="383">
                  <c:v>0.38811150382072346</c:v>
                </c:pt>
                <c:pt idx="384">
                  <c:v>0.40262504844596858</c:v>
                </c:pt>
                <c:pt idx="385">
                  <c:v>0.4014392068165642</c:v>
                </c:pt>
                <c:pt idx="386">
                  <c:v>0.40797579726157318</c:v>
                </c:pt>
                <c:pt idx="387">
                  <c:v>0.40177471322878611</c:v>
                </c:pt>
                <c:pt idx="388">
                  <c:v>0.39221278048046804</c:v>
                </c:pt>
                <c:pt idx="389">
                  <c:v>0.38840073348643189</c:v>
                </c:pt>
                <c:pt idx="390">
                  <c:v>0.38602326563430922</c:v>
                </c:pt>
                <c:pt idx="391">
                  <c:v>0.40386295141520057</c:v>
                </c:pt>
                <c:pt idx="392">
                  <c:v>0.41098957037825401</c:v>
                </c:pt>
                <c:pt idx="393">
                  <c:v>0.42018128915446584</c:v>
                </c:pt>
                <c:pt idx="394">
                  <c:v>0.4334569308104792</c:v>
                </c:pt>
                <c:pt idx="395">
                  <c:v>0.44670943409323605</c:v>
                </c:pt>
                <c:pt idx="396">
                  <c:v>0.44657060385369607</c:v>
                </c:pt>
                <c:pt idx="397">
                  <c:v>0.43493778669890593</c:v>
                </c:pt>
                <c:pt idx="398">
                  <c:v>0.43941506192407132</c:v>
                </c:pt>
                <c:pt idx="399">
                  <c:v>0.44178674518287986</c:v>
                </c:pt>
                <c:pt idx="400">
                  <c:v>0.44263708040006233</c:v>
                </c:pt>
                <c:pt idx="401">
                  <c:v>0.46157005431733089</c:v>
                </c:pt>
                <c:pt idx="402">
                  <c:v>0.48003447617615214</c:v>
                </c:pt>
                <c:pt idx="403">
                  <c:v>0.48494559589988007</c:v>
                </c:pt>
                <c:pt idx="404">
                  <c:v>0.50134491794554359</c:v>
                </c:pt>
                <c:pt idx="405">
                  <c:v>0.50045409057516177</c:v>
                </c:pt>
                <c:pt idx="406">
                  <c:v>0.49985827746380251</c:v>
                </c:pt>
                <c:pt idx="407">
                  <c:v>0.48938237897184589</c:v>
                </c:pt>
                <c:pt idx="408">
                  <c:v>0.47964112383078872</c:v>
                </c:pt>
                <c:pt idx="409">
                  <c:v>0.48001712239620975</c:v>
                </c:pt>
                <c:pt idx="410">
                  <c:v>0.44787792194269738</c:v>
                </c:pt>
                <c:pt idx="411">
                  <c:v>0.449763699363116</c:v>
                </c:pt>
                <c:pt idx="412">
                  <c:v>0.45740514713113067</c:v>
                </c:pt>
                <c:pt idx="413">
                  <c:v>0.44649540414061173</c:v>
                </c:pt>
                <c:pt idx="414">
                  <c:v>0.45216430558849563</c:v>
                </c:pt>
                <c:pt idx="415">
                  <c:v>0.44722426289819706</c:v>
                </c:pt>
                <c:pt idx="416">
                  <c:v>0.46811821394896858</c:v>
                </c:pt>
                <c:pt idx="417">
                  <c:v>0.49144169419169037</c:v>
                </c:pt>
                <c:pt idx="418">
                  <c:v>0.48864195102763341</c:v>
                </c:pt>
                <c:pt idx="419">
                  <c:v>0.48319286412568796</c:v>
                </c:pt>
                <c:pt idx="420">
                  <c:v>0.49725521047242793</c:v>
                </c:pt>
                <c:pt idx="421">
                  <c:v>0.48574386977723538</c:v>
                </c:pt>
                <c:pt idx="422">
                  <c:v>0.4636756462836884</c:v>
                </c:pt>
                <c:pt idx="423">
                  <c:v>0.48901216499973987</c:v>
                </c:pt>
                <c:pt idx="424">
                  <c:v>0.49359356290456025</c:v>
                </c:pt>
                <c:pt idx="425">
                  <c:v>0.48734041753194579</c:v>
                </c:pt>
                <c:pt idx="426">
                  <c:v>0.50959953260486079</c:v>
                </c:pt>
                <c:pt idx="427">
                  <c:v>0.50551560972505882</c:v>
                </c:pt>
                <c:pt idx="428">
                  <c:v>0.49728413343899902</c:v>
                </c:pt>
                <c:pt idx="429">
                  <c:v>0.47781897693682684</c:v>
                </c:pt>
                <c:pt idx="430">
                  <c:v>0.46825704418850855</c:v>
                </c:pt>
                <c:pt idx="431">
                  <c:v>0.46463010418052586</c:v>
                </c:pt>
                <c:pt idx="432">
                  <c:v>0.47073285012697208</c:v>
                </c:pt>
                <c:pt idx="433">
                  <c:v>0.47074441931360034</c:v>
                </c:pt>
                <c:pt idx="434">
                  <c:v>0.46552671614422181</c:v>
                </c:pt>
                <c:pt idx="435">
                  <c:v>0.48372504671059136</c:v>
                </c:pt>
                <c:pt idx="436">
                  <c:v>0.45259236549374426</c:v>
                </c:pt>
                <c:pt idx="437">
                  <c:v>0.46671255777362641</c:v>
                </c:pt>
                <c:pt idx="438">
                  <c:v>0.45749191603084416</c:v>
                </c:pt>
                <c:pt idx="439">
                  <c:v>0.474654804393978</c:v>
                </c:pt>
                <c:pt idx="440">
                  <c:v>0.46189977613623956</c:v>
                </c:pt>
                <c:pt idx="441">
                  <c:v>0.45583173774967811</c:v>
                </c:pt>
                <c:pt idx="442">
                  <c:v>0.4778363307167699</c:v>
                </c:pt>
                <c:pt idx="443">
                  <c:v>0.48581906949032017</c:v>
                </c:pt>
                <c:pt idx="444">
                  <c:v>0.50288361976711315</c:v>
                </c:pt>
                <c:pt idx="445">
                  <c:v>0.49914098789284722</c:v>
                </c:pt>
                <c:pt idx="446">
                  <c:v>0.48344738623151184</c:v>
                </c:pt>
                <c:pt idx="447">
                  <c:v>0.46961063902402422</c:v>
                </c:pt>
                <c:pt idx="448">
                  <c:v>0.46429459776830462</c:v>
                </c:pt>
                <c:pt idx="449">
                  <c:v>0.41092015525848535</c:v>
                </c:pt>
                <c:pt idx="450">
                  <c:v>0.43813666680164154</c:v>
                </c:pt>
                <c:pt idx="451">
                  <c:v>0.44353369236375939</c:v>
                </c:pt>
                <c:pt idx="452">
                  <c:v>0.4249882861985399</c:v>
                </c:pt>
                <c:pt idx="453">
                  <c:v>0.44046207331393683</c:v>
                </c:pt>
                <c:pt idx="454">
                  <c:v>0.42230423490076641</c:v>
                </c:pt>
                <c:pt idx="455">
                  <c:v>0.41517761593771252</c:v>
                </c:pt>
                <c:pt idx="456">
                  <c:v>0.42442139605375151</c:v>
                </c:pt>
                <c:pt idx="457">
                  <c:v>0.44769859954995961</c:v>
                </c:pt>
                <c:pt idx="458">
                  <c:v>0.43534849282421306</c:v>
                </c:pt>
                <c:pt idx="459">
                  <c:v>0.38062045547887857</c:v>
                </c:pt>
                <c:pt idx="460">
                  <c:v>0.39181364354179204</c:v>
                </c:pt>
                <c:pt idx="461">
                  <c:v>0.4141190353612203</c:v>
                </c:pt>
                <c:pt idx="462">
                  <c:v>0.39061044813244505</c:v>
                </c:pt>
                <c:pt idx="463">
                  <c:v>0.4201870737477813</c:v>
                </c:pt>
                <c:pt idx="464">
                  <c:v>0.45276011869985577</c:v>
                </c:pt>
                <c:pt idx="465">
                  <c:v>0.46087011852631798</c:v>
                </c:pt>
                <c:pt idx="466">
                  <c:v>0.46658529672071514</c:v>
                </c:pt>
                <c:pt idx="467">
                  <c:v>0.46678197289339707</c:v>
                </c:pt>
                <c:pt idx="468">
                  <c:v>0.46827439796845205</c:v>
                </c:pt>
                <c:pt idx="469">
                  <c:v>0.44598635992896618</c:v>
                </c:pt>
                <c:pt idx="470">
                  <c:v>0.45154535410388075</c:v>
                </c:pt>
                <c:pt idx="471">
                  <c:v>0.47637861320160013</c:v>
                </c:pt>
                <c:pt idx="472">
                  <c:v>0.47696864171964526</c:v>
                </c:pt>
                <c:pt idx="473">
                  <c:v>0.47936924794502422</c:v>
                </c:pt>
                <c:pt idx="474">
                  <c:v>0.47440606688146891</c:v>
                </c:pt>
                <c:pt idx="475">
                  <c:v>0.47924198689211273</c:v>
                </c:pt>
                <c:pt idx="476">
                  <c:v>0.48127237914538545</c:v>
                </c:pt>
                <c:pt idx="477">
                  <c:v>0.49665361276775566</c:v>
                </c:pt>
                <c:pt idx="478">
                  <c:v>0.50463635154130637</c:v>
                </c:pt>
                <c:pt idx="479">
                  <c:v>0.52812758499013857</c:v>
                </c:pt>
                <c:pt idx="480">
                  <c:v>0.54422032359015127</c:v>
                </c:pt>
                <c:pt idx="481">
                  <c:v>0.5441914006235804</c:v>
                </c:pt>
                <c:pt idx="482">
                  <c:v>0.54119498128684196</c:v>
                </c:pt>
                <c:pt idx="483">
                  <c:v>0.5414495033926654</c:v>
                </c:pt>
                <c:pt idx="484">
                  <c:v>0.55242866150295433</c:v>
                </c:pt>
                <c:pt idx="485">
                  <c:v>0.54917193546707832</c:v>
                </c:pt>
                <c:pt idx="486">
                  <c:v>0.56522418191389212</c:v>
                </c:pt>
                <c:pt idx="487">
                  <c:v>0.55878592955522399</c:v>
                </c:pt>
                <c:pt idx="488">
                  <c:v>0.55270053738872038</c:v>
                </c:pt>
                <c:pt idx="489">
                  <c:v>0.53932655764636617</c:v>
                </c:pt>
                <c:pt idx="490">
                  <c:v>0.51883752812758632</c:v>
                </c:pt>
                <c:pt idx="491">
                  <c:v>0.52483036680106321</c:v>
                </c:pt>
                <c:pt idx="492">
                  <c:v>0.55316330485385357</c:v>
                </c:pt>
                <c:pt idx="493">
                  <c:v>0.55898839032121983</c:v>
                </c:pt>
                <c:pt idx="494">
                  <c:v>0.56786195646515192</c:v>
                </c:pt>
                <c:pt idx="495">
                  <c:v>0.57613970949772475</c:v>
                </c:pt>
                <c:pt idx="496">
                  <c:v>0.57867336136933001</c:v>
                </c:pt>
                <c:pt idx="497">
                  <c:v>0.57531829724711336</c:v>
                </c:pt>
                <c:pt idx="498">
                  <c:v>0.5927183539361276</c:v>
                </c:pt>
                <c:pt idx="499">
                  <c:v>0.59182752656574578</c:v>
                </c:pt>
                <c:pt idx="500">
                  <c:v>0.58872119995603778</c:v>
                </c:pt>
                <c:pt idx="501">
                  <c:v>0.58640736263037097</c:v>
                </c:pt>
                <c:pt idx="502">
                  <c:v>0.5933083824541725</c:v>
                </c:pt>
                <c:pt idx="503">
                  <c:v>0.56524153569383406</c:v>
                </c:pt>
                <c:pt idx="504">
                  <c:v>0.57077739149549189</c:v>
                </c:pt>
                <c:pt idx="505">
                  <c:v>0.61225871015138389</c:v>
                </c:pt>
                <c:pt idx="506">
                  <c:v>0.62108599954880295</c:v>
                </c:pt>
                <c:pt idx="507">
                  <c:v>0.64306166954932342</c:v>
                </c:pt>
                <c:pt idx="508">
                  <c:v>0.65948991456155781</c:v>
                </c:pt>
                <c:pt idx="509">
                  <c:v>0.68888143319084039</c:v>
                </c:pt>
                <c:pt idx="510">
                  <c:v>0.66654711840484171</c:v>
                </c:pt>
                <c:pt idx="511">
                  <c:v>0.69104487109033896</c:v>
                </c:pt>
                <c:pt idx="512">
                  <c:v>0.72003725278094399</c:v>
                </c:pt>
                <c:pt idx="513">
                  <c:v>0.70784911466799394</c:v>
                </c:pt>
                <c:pt idx="514">
                  <c:v>0.74257402833293895</c:v>
                </c:pt>
                <c:pt idx="515">
                  <c:v>0.74839332920699086</c:v>
                </c:pt>
                <c:pt idx="516">
                  <c:v>0.7498568313154752</c:v>
                </c:pt>
                <c:pt idx="517">
                  <c:v>0.78090852822592405</c:v>
                </c:pt>
                <c:pt idx="518">
                  <c:v>0.79715745084541934</c:v>
                </c:pt>
                <c:pt idx="519">
                  <c:v>0.80112568185893784</c:v>
                </c:pt>
                <c:pt idx="520">
                  <c:v>0.79194553226935471</c:v>
                </c:pt>
                <c:pt idx="521">
                  <c:v>0.7809548049724373</c:v>
                </c:pt>
                <c:pt idx="522">
                  <c:v>0.81106361317267672</c:v>
                </c:pt>
                <c:pt idx="523">
                  <c:v>0.80723421239869797</c:v>
                </c:pt>
                <c:pt idx="524">
                  <c:v>0.76511080388493369</c:v>
                </c:pt>
                <c:pt idx="525">
                  <c:v>0.76648175250039108</c:v>
                </c:pt>
                <c:pt idx="526">
                  <c:v>0.77796417022901276</c:v>
                </c:pt>
                <c:pt idx="527">
                  <c:v>0.77238782227415581</c:v>
                </c:pt>
                <c:pt idx="528">
                  <c:v>0.78618986192175866</c:v>
                </c:pt>
                <c:pt idx="529">
                  <c:v>0.78666998316683423</c:v>
                </c:pt>
                <c:pt idx="530">
                  <c:v>0.80326598138517946</c:v>
                </c:pt>
                <c:pt idx="531">
                  <c:v>0.80253712262759436</c:v>
                </c:pt>
                <c:pt idx="532">
                  <c:v>0.82356990391790585</c:v>
                </c:pt>
                <c:pt idx="533">
                  <c:v>0.80191238654966446</c:v>
                </c:pt>
                <c:pt idx="534">
                  <c:v>0.78476106737315909</c:v>
                </c:pt>
                <c:pt idx="535">
                  <c:v>0.79600631677589995</c:v>
                </c:pt>
                <c:pt idx="536">
                  <c:v>0.79612200864218363</c:v>
                </c:pt>
                <c:pt idx="537">
                  <c:v>0.78555355665720006</c:v>
                </c:pt>
                <c:pt idx="538">
                  <c:v>0.78182249396956238</c:v>
                </c:pt>
                <c:pt idx="539">
                  <c:v>0.76479265125265461</c:v>
                </c:pt>
                <c:pt idx="540">
                  <c:v>0.73142133242322482</c:v>
                </c:pt>
                <c:pt idx="541">
                  <c:v>0.72173213862199503</c:v>
                </c:pt>
                <c:pt idx="542">
                  <c:v>0.72309151805082439</c:v>
                </c:pt>
                <c:pt idx="543">
                  <c:v>0.74735210241044081</c:v>
                </c:pt>
                <c:pt idx="544">
                  <c:v>0.73173948505550412</c:v>
                </c:pt>
                <c:pt idx="545">
                  <c:v>0.70128360125641453</c:v>
                </c:pt>
                <c:pt idx="546">
                  <c:v>0.73915533368426645</c:v>
                </c:pt>
                <c:pt idx="547">
                  <c:v>0.75405644606156064</c:v>
                </c:pt>
                <c:pt idx="548">
                  <c:v>0.76782377814927805</c:v>
                </c:pt>
                <c:pt idx="549">
                  <c:v>0.76434145297414946</c:v>
                </c:pt>
                <c:pt idx="550">
                  <c:v>0.7758354398893994</c:v>
                </c:pt>
                <c:pt idx="551">
                  <c:v>0.7603674373673166</c:v>
                </c:pt>
                <c:pt idx="552">
                  <c:v>0.77247459117386841</c:v>
                </c:pt>
                <c:pt idx="553">
                  <c:v>0.80319078167209512</c:v>
                </c:pt>
                <c:pt idx="554">
                  <c:v>0.80209170894240334</c:v>
                </c:pt>
                <c:pt idx="555">
                  <c:v>0.8097505104903604</c:v>
                </c:pt>
                <c:pt idx="556">
                  <c:v>0.81265437633407234</c:v>
                </c:pt>
                <c:pt idx="557">
                  <c:v>0.81035789278834791</c:v>
                </c:pt>
                <c:pt idx="558">
                  <c:v>0.80195287870286336</c:v>
                </c:pt>
                <c:pt idx="559">
                  <c:v>0.79225790030831922</c:v>
                </c:pt>
                <c:pt idx="560">
                  <c:v>0.76474058991282656</c:v>
                </c:pt>
                <c:pt idx="561">
                  <c:v>0.77955493339040838</c:v>
                </c:pt>
                <c:pt idx="562">
                  <c:v>0.79886390587309797</c:v>
                </c:pt>
                <c:pt idx="563">
                  <c:v>0.82568706507089051</c:v>
                </c:pt>
                <c:pt idx="564">
                  <c:v>0.82252289252804123</c:v>
                </c:pt>
                <c:pt idx="565">
                  <c:v>0.85347046675883487</c:v>
                </c:pt>
                <c:pt idx="566">
                  <c:v>0.84919565229966554</c:v>
                </c:pt>
                <c:pt idx="567">
                  <c:v>0.82941234316521406</c:v>
                </c:pt>
                <c:pt idx="568">
                  <c:v>0.81186188705003115</c:v>
                </c:pt>
                <c:pt idx="569">
                  <c:v>0.80185454061652228</c:v>
                </c:pt>
                <c:pt idx="570">
                  <c:v>0.7948725364863225</c:v>
                </c:pt>
                <c:pt idx="571">
                  <c:v>0.75919894951785438</c:v>
                </c:pt>
                <c:pt idx="572">
                  <c:v>0.78246458382743422</c:v>
                </c:pt>
                <c:pt idx="573">
                  <c:v>0.7533507256772316</c:v>
                </c:pt>
                <c:pt idx="574">
                  <c:v>0.77544787213734945</c:v>
                </c:pt>
                <c:pt idx="575">
                  <c:v>0.82870083818757112</c:v>
                </c:pt>
                <c:pt idx="576">
                  <c:v>0.82433347023537507</c:v>
                </c:pt>
                <c:pt idx="577">
                  <c:v>0.88001018088423288</c:v>
                </c:pt>
                <c:pt idx="578">
                  <c:v>0.89168927478553606</c:v>
                </c:pt>
                <c:pt idx="579">
                  <c:v>0.88848461008948743</c:v>
                </c:pt>
                <c:pt idx="580">
                  <c:v>0.94254163461037854</c:v>
                </c:pt>
                <c:pt idx="581">
                  <c:v>0.92405985897161469</c:v>
                </c:pt>
                <c:pt idx="582">
                  <c:v>0.92353924557333977</c:v>
                </c:pt>
                <c:pt idx="583">
                  <c:v>0.90806545845794284</c:v>
                </c:pt>
                <c:pt idx="584">
                  <c:v>0.88321484558028107</c:v>
                </c:pt>
                <c:pt idx="585">
                  <c:v>0.89830684953694284</c:v>
                </c:pt>
                <c:pt idx="586">
                  <c:v>0.8797672279650377</c:v>
                </c:pt>
                <c:pt idx="587">
                  <c:v>0.88265374002880703</c:v>
                </c:pt>
                <c:pt idx="588">
                  <c:v>0.89562279823916957</c:v>
                </c:pt>
                <c:pt idx="589">
                  <c:v>0.9151862928276826</c:v>
                </c:pt>
                <c:pt idx="590">
                  <c:v>0.91485657100877482</c:v>
                </c:pt>
                <c:pt idx="591">
                  <c:v>0.89691276254822849</c:v>
                </c:pt>
                <c:pt idx="592">
                  <c:v>0.92620015849785631</c:v>
                </c:pt>
                <c:pt idx="593">
                  <c:v>0.93134266195415094</c:v>
                </c:pt>
                <c:pt idx="594">
                  <c:v>0.94557854610031589</c:v>
                </c:pt>
                <c:pt idx="595">
                  <c:v>0.9603408282380701</c:v>
                </c:pt>
                <c:pt idx="596">
                  <c:v>0.95647671990420635</c:v>
                </c:pt>
                <c:pt idx="597">
                  <c:v>0.97259259687747601</c:v>
                </c:pt>
                <c:pt idx="598">
                  <c:v>0.96059535034389376</c:v>
                </c:pt>
                <c:pt idx="599">
                  <c:v>0.96205885245237788</c:v>
                </c:pt>
                <c:pt idx="600">
                  <c:v>0.98342714015491106</c:v>
                </c:pt>
                <c:pt idx="601">
                  <c:v>0.98965136256095465</c:v>
                </c:pt>
                <c:pt idx="602">
                  <c:v>1.016474521758747</c:v>
                </c:pt>
                <c:pt idx="603">
                  <c:v>1.0195634945885121</c:v>
                </c:pt>
                <c:pt idx="604">
                  <c:v>1.0279222319274832</c:v>
                </c:pt>
                <c:pt idx="605">
                  <c:v>1.0233697569892337</c:v>
                </c:pt>
                <c:pt idx="606">
                  <c:v>0.98495427278985015</c:v>
                </c:pt>
                <c:pt idx="607">
                  <c:v>0.98892828839668323</c:v>
                </c:pt>
                <c:pt idx="608">
                  <c:v>0.96693526461622015</c:v>
                </c:pt>
                <c:pt idx="609">
                  <c:v>0.94331677011447579</c:v>
                </c:pt>
                <c:pt idx="610">
                  <c:v>0.97311321027575048</c:v>
                </c:pt>
                <c:pt idx="611">
                  <c:v>0.96060691953052135</c:v>
                </c:pt>
                <c:pt idx="612">
                  <c:v>0.97801276081284994</c:v>
                </c:pt>
                <c:pt idx="613">
                  <c:v>0.98908447241616604</c:v>
                </c:pt>
                <c:pt idx="614">
                  <c:v>1.0128533663440784</c:v>
                </c:pt>
                <c:pt idx="615">
                  <c:v>1.0114708485419923</c:v>
                </c:pt>
                <c:pt idx="616">
                  <c:v>1.046681668045327</c:v>
                </c:pt>
                <c:pt idx="617">
                  <c:v>1.0310864044703325</c:v>
                </c:pt>
                <c:pt idx="618">
                  <c:v>1.0452586580900416</c:v>
                </c:pt>
                <c:pt idx="619">
                  <c:v>1.0635726805226948</c:v>
                </c:pt>
                <c:pt idx="620">
                  <c:v>1.0667657760321152</c:v>
                </c:pt>
                <c:pt idx="621">
                  <c:v>1.0753038357638256</c:v>
                </c:pt>
                <c:pt idx="622">
                  <c:v>1.0883249553140155</c:v>
                </c:pt>
                <c:pt idx="623">
                  <c:v>1.1102774869412793</c:v>
                </c:pt>
                <c:pt idx="624">
                  <c:v>1.1010684143851255</c:v>
                </c:pt>
                <c:pt idx="625">
                  <c:v>1.0864796700467965</c:v>
                </c:pt>
                <c:pt idx="626">
                  <c:v>1.098621531413233</c:v>
                </c:pt>
                <c:pt idx="627">
                  <c:v>1.1149745767123833</c:v>
                </c:pt>
                <c:pt idx="628">
                  <c:v>1.1311309458388519</c:v>
                </c:pt>
                <c:pt idx="629">
                  <c:v>1.1428331781134116</c:v>
                </c:pt>
                <c:pt idx="630">
                  <c:v>1.1537429211039303</c:v>
                </c:pt>
                <c:pt idx="631">
                  <c:v>1.1564211878083897</c:v>
                </c:pt>
                <c:pt idx="632">
                  <c:v>1.1639642974900637</c:v>
                </c:pt>
                <c:pt idx="633">
                  <c:v>1.0980025799286168</c:v>
                </c:pt>
                <c:pt idx="634">
                  <c:v>1.1097857965095752</c:v>
                </c:pt>
                <c:pt idx="635">
                  <c:v>1.113487936230642</c:v>
                </c:pt>
                <c:pt idx="636">
                  <c:v>1.1349719157994587</c:v>
                </c:pt>
                <c:pt idx="637">
                  <c:v>1.1192088990183535</c:v>
                </c:pt>
                <c:pt idx="638">
                  <c:v>1.1594349609250711</c:v>
                </c:pt>
                <c:pt idx="639">
                  <c:v>1.194767256888003</c:v>
                </c:pt>
                <c:pt idx="640">
                  <c:v>1.2506695666761134</c:v>
                </c:pt>
                <c:pt idx="641">
                  <c:v>1.2524454368235625</c:v>
                </c:pt>
                <c:pt idx="642">
                  <c:v>1.2437569776656838</c:v>
                </c:pt>
                <c:pt idx="643">
                  <c:v>1.2601910072712328</c:v>
                </c:pt>
                <c:pt idx="644">
                  <c:v>1.2712511496879197</c:v>
                </c:pt>
                <c:pt idx="645">
                  <c:v>1.2637369629728168</c:v>
                </c:pt>
                <c:pt idx="646">
                  <c:v>1.2930070051425022</c:v>
                </c:pt>
                <c:pt idx="647">
                  <c:v>1.3073875041215213</c:v>
                </c:pt>
                <c:pt idx="648">
                  <c:v>1.3149884597363366</c:v>
                </c:pt>
                <c:pt idx="649">
                  <c:v>1.3068090447901044</c:v>
                </c:pt>
                <c:pt idx="650">
                  <c:v>1.2909187669560875</c:v>
                </c:pt>
                <c:pt idx="651">
                  <c:v>1.2798817629126567</c:v>
                </c:pt>
                <c:pt idx="652">
                  <c:v>1.3070867052691844</c:v>
                </c:pt>
                <c:pt idx="653">
                  <c:v>1.3192285666356214</c:v>
                </c:pt>
                <c:pt idx="654">
                  <c:v>1.3303060628322512</c:v>
                </c:pt>
                <c:pt idx="655">
                  <c:v>1.3290045293365638</c:v>
                </c:pt>
                <c:pt idx="656">
                  <c:v>1.3088452216366915</c:v>
                </c:pt>
                <c:pt idx="657">
                  <c:v>1.303945671099592</c:v>
                </c:pt>
                <c:pt idx="658">
                  <c:v>1.3113152429818409</c:v>
                </c:pt>
                <c:pt idx="659">
                  <c:v>1.3370508986365701</c:v>
                </c:pt>
                <c:pt idx="660">
                  <c:v>1.3757151203484628</c:v>
                </c:pt>
                <c:pt idx="661">
                  <c:v>1.3722385797666483</c:v>
                </c:pt>
                <c:pt idx="662">
                  <c:v>1.3295829886679806</c:v>
                </c:pt>
                <c:pt idx="663">
                  <c:v>1.3305316619715044</c:v>
                </c:pt>
                <c:pt idx="664">
                  <c:v>1.3674894286557175</c:v>
                </c:pt>
                <c:pt idx="665">
                  <c:v>1.40747253764324</c:v>
                </c:pt>
                <c:pt idx="666">
                  <c:v>1.3925135793328045</c:v>
                </c:pt>
                <c:pt idx="667">
                  <c:v>1.4105730796596339</c:v>
                </c:pt>
                <c:pt idx="668">
                  <c:v>1.3977717746553826</c:v>
                </c:pt>
                <c:pt idx="669">
                  <c:v>1.4090112394648089</c:v>
                </c:pt>
                <c:pt idx="670">
                  <c:v>1.4110879084645949</c:v>
                </c:pt>
                <c:pt idx="671">
                  <c:v>1.4309811248720155</c:v>
                </c:pt>
                <c:pt idx="672">
                  <c:v>1.4139107900019083</c:v>
                </c:pt>
                <c:pt idx="673">
                  <c:v>1.4310736783650424</c:v>
                </c:pt>
                <c:pt idx="674">
                  <c:v>1.4322074586546192</c:v>
                </c:pt>
                <c:pt idx="675">
                  <c:v>1.3811410688771524</c:v>
                </c:pt>
                <c:pt idx="676">
                  <c:v>1.3734591289559384</c:v>
                </c:pt>
                <c:pt idx="677">
                  <c:v>1.3452129598028608</c:v>
                </c:pt>
                <c:pt idx="678">
                  <c:v>1.357129222030045</c:v>
                </c:pt>
                <c:pt idx="679">
                  <c:v>1.4691131639990047</c:v>
                </c:pt>
                <c:pt idx="680">
                  <c:v>1.4687255962469554</c:v>
                </c:pt>
                <c:pt idx="681">
                  <c:v>1.505799054797452</c:v>
                </c:pt>
                <c:pt idx="682">
                  <c:v>1.504462813741879</c:v>
                </c:pt>
                <c:pt idx="683">
                  <c:v>1.4322826583677029</c:v>
                </c:pt>
                <c:pt idx="684">
                  <c:v>1.4038282438553149</c:v>
                </c:pt>
                <c:pt idx="685">
                  <c:v>1.4087798557322424</c:v>
                </c:pt>
                <c:pt idx="686">
                  <c:v>1.3690339150706006</c:v>
                </c:pt>
                <c:pt idx="687">
                  <c:v>1.382147588113817</c:v>
                </c:pt>
                <c:pt idx="688">
                  <c:v>1.3805105482059079</c:v>
                </c:pt>
                <c:pt idx="689">
                  <c:v>1.4175840067564045</c:v>
                </c:pt>
                <c:pt idx="690">
                  <c:v>1.4464259890208409</c:v>
                </c:pt>
                <c:pt idx="691">
                  <c:v>1.4476002614636165</c:v>
                </c:pt>
                <c:pt idx="692">
                  <c:v>1.4544202969810196</c:v>
                </c:pt>
                <c:pt idx="693">
                  <c:v>1.4423825582942382</c:v>
                </c:pt>
                <c:pt idx="694">
                  <c:v>1.412424149520167</c:v>
                </c:pt>
                <c:pt idx="695">
                  <c:v>1.4327801333927206</c:v>
                </c:pt>
                <c:pt idx="696">
                  <c:v>1.4113887073169309</c:v>
                </c:pt>
                <c:pt idx="697">
                  <c:v>1.3261816477992503</c:v>
                </c:pt>
                <c:pt idx="698">
                  <c:v>1.2801594233917371</c:v>
                </c:pt>
                <c:pt idx="699">
                  <c:v>1.3235496578413035</c:v>
                </c:pt>
                <c:pt idx="700">
                  <c:v>1.3762646567133077</c:v>
                </c:pt>
                <c:pt idx="701">
                  <c:v>1.404452979933243</c:v>
                </c:pt>
                <c:pt idx="702">
                  <c:v>1.4618245764231519</c:v>
                </c:pt>
                <c:pt idx="703">
                  <c:v>1.5080376924100327</c:v>
                </c:pt>
                <c:pt idx="704">
                  <c:v>1.4717798615168336</c:v>
                </c:pt>
                <c:pt idx="705">
                  <c:v>1.5076674784379258</c:v>
                </c:pt>
                <c:pt idx="706">
                  <c:v>1.493645624244385</c:v>
                </c:pt>
                <c:pt idx="707">
                  <c:v>1.466475389447742</c:v>
                </c:pt>
                <c:pt idx="708">
                  <c:v>1.4925986128545206</c:v>
                </c:pt>
                <c:pt idx="709">
                  <c:v>1.503496786658411</c:v>
                </c:pt>
                <c:pt idx="710">
                  <c:v>1.5036009093380662</c:v>
                </c:pt>
                <c:pt idx="711">
                  <c:v>1.4726533351072728</c:v>
                </c:pt>
                <c:pt idx="712">
                  <c:v>1.4706692196005133</c:v>
                </c:pt>
                <c:pt idx="713">
                  <c:v>1.4629757104926711</c:v>
                </c:pt>
                <c:pt idx="714">
                  <c:v>1.4945480208013948</c:v>
                </c:pt>
                <c:pt idx="715">
                  <c:v>1.4954041406118916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899-4846-A56F-A020DFEE0716}"/>
            </c:ext>
          </c:extLst>
        </c:ser>
        <c:ser>
          <c:idx val="1"/>
          <c:order val="1"/>
          <c:tx>
            <c:strRef>
              <c:f>Charts!$C$4</c:f>
              <c:strCache>
                <c:ptCount val="1"/>
                <c:pt idx="0">
                  <c:v>Fattal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Charts!$C$5:$C$720</c:f>
              <c:numCache>
                <c:formatCode>0.0%</c:formatCode>
                <c:ptCount val="716"/>
                <c:pt idx="0">
                  <c:v>2.7442702050663348E-2</c:v>
                </c:pt>
                <c:pt idx="1">
                  <c:v>3.4378769601929982E-2</c:v>
                </c:pt>
                <c:pt idx="2">
                  <c:v>3.1664656212303965E-2</c:v>
                </c:pt>
                <c:pt idx="3">
                  <c:v>7.3884197828709475E-2</c:v>
                </c:pt>
                <c:pt idx="4">
                  <c:v>6.8154402895054478E-2</c:v>
                </c:pt>
                <c:pt idx="5">
                  <c:v>6.7249698431845806E-2</c:v>
                </c:pt>
                <c:pt idx="6">
                  <c:v>0.13691194209891444</c:v>
                </c:pt>
                <c:pt idx="7">
                  <c:v>0.14535585042219545</c:v>
                </c:pt>
                <c:pt idx="8">
                  <c:v>0.12032569360675516</c:v>
                </c:pt>
                <c:pt idx="9">
                  <c:v>0.13902291917973475</c:v>
                </c:pt>
                <c:pt idx="10">
                  <c:v>0.1550060313630881</c:v>
                </c:pt>
                <c:pt idx="11">
                  <c:v>0.14414957780458382</c:v>
                </c:pt>
                <c:pt idx="12">
                  <c:v>0.1471652593486128</c:v>
                </c:pt>
                <c:pt idx="13">
                  <c:v>0.13661037394451148</c:v>
                </c:pt>
                <c:pt idx="14">
                  <c:v>0.13811821471652586</c:v>
                </c:pt>
                <c:pt idx="15">
                  <c:v>0.12575392038600719</c:v>
                </c:pt>
                <c:pt idx="16">
                  <c:v>0.12183353437876954</c:v>
                </c:pt>
                <c:pt idx="17">
                  <c:v>9.0168878166465571E-2</c:v>
                </c:pt>
                <c:pt idx="18">
                  <c:v>8.8661037394451192E-2</c:v>
                </c:pt>
                <c:pt idx="19">
                  <c:v>8.4137515078407832E-2</c:v>
                </c:pt>
                <c:pt idx="20">
                  <c:v>7.2979493365500803E-2</c:v>
                </c:pt>
                <c:pt idx="21">
                  <c:v>0.10886610373944539</c:v>
                </c:pt>
                <c:pt idx="22">
                  <c:v>9.8009650180941099E-2</c:v>
                </c:pt>
                <c:pt idx="23">
                  <c:v>0.12394451145959007</c:v>
                </c:pt>
                <c:pt idx="24">
                  <c:v>0.11580217129071202</c:v>
                </c:pt>
                <c:pt idx="25">
                  <c:v>8.1423401688782038E-2</c:v>
                </c:pt>
                <c:pt idx="26">
                  <c:v>9.650180940892672E-2</c:v>
                </c:pt>
                <c:pt idx="27">
                  <c:v>0.10977080820265406</c:v>
                </c:pt>
                <c:pt idx="28">
                  <c:v>0.11640530759951795</c:v>
                </c:pt>
                <c:pt idx="29">
                  <c:v>0.11610373944511498</c:v>
                </c:pt>
                <c:pt idx="30">
                  <c:v>0.11429433051869764</c:v>
                </c:pt>
                <c:pt idx="31">
                  <c:v>0.11550060313630905</c:v>
                </c:pt>
                <c:pt idx="32">
                  <c:v>0.13118214716525967</c:v>
                </c:pt>
                <c:pt idx="33">
                  <c:v>0.15199034981905934</c:v>
                </c:pt>
                <c:pt idx="34">
                  <c:v>0.17430639324487363</c:v>
                </c:pt>
                <c:pt idx="35">
                  <c:v>0.19813027744270229</c:v>
                </c:pt>
                <c:pt idx="36">
                  <c:v>0.17611580217129097</c:v>
                </c:pt>
                <c:pt idx="37">
                  <c:v>0.13540410132690006</c:v>
                </c:pt>
                <c:pt idx="38">
                  <c:v>0.15048250904704474</c:v>
                </c:pt>
                <c:pt idx="39">
                  <c:v>0.17008443908323301</c:v>
                </c:pt>
                <c:pt idx="40">
                  <c:v>0.17098914354644168</c:v>
                </c:pt>
                <c:pt idx="41">
                  <c:v>0.16616405307599535</c:v>
                </c:pt>
                <c:pt idx="42">
                  <c:v>0.1308805790108567</c:v>
                </c:pt>
                <c:pt idx="43">
                  <c:v>0.12062726176115834</c:v>
                </c:pt>
                <c:pt idx="44">
                  <c:v>0.13872135102533223</c:v>
                </c:pt>
                <c:pt idx="45">
                  <c:v>0.13872135102533223</c:v>
                </c:pt>
                <c:pt idx="46">
                  <c:v>0.14897466827503059</c:v>
                </c:pt>
                <c:pt idx="47">
                  <c:v>0.16284680337756385</c:v>
                </c:pt>
                <c:pt idx="48">
                  <c:v>0.16676718938480151</c:v>
                </c:pt>
                <c:pt idx="49">
                  <c:v>0.14173703256936121</c:v>
                </c:pt>
                <c:pt idx="50">
                  <c:v>0.15832328106152049</c:v>
                </c:pt>
                <c:pt idx="51">
                  <c:v>0.13992762364294387</c:v>
                </c:pt>
                <c:pt idx="52">
                  <c:v>0.13057901085645418</c:v>
                </c:pt>
                <c:pt idx="53">
                  <c:v>0.1218335343787702</c:v>
                </c:pt>
                <c:pt idx="54">
                  <c:v>0.11700844390832388</c:v>
                </c:pt>
                <c:pt idx="55">
                  <c:v>0.11067551266586295</c:v>
                </c:pt>
                <c:pt idx="56">
                  <c:v>0.10765983112183397</c:v>
                </c:pt>
                <c:pt idx="57">
                  <c:v>0.11580217129071202</c:v>
                </c:pt>
                <c:pt idx="58">
                  <c:v>0.1203256936067556</c:v>
                </c:pt>
                <c:pt idx="59">
                  <c:v>0.15772014475271456</c:v>
                </c:pt>
                <c:pt idx="60">
                  <c:v>0.14234016887816692</c:v>
                </c:pt>
                <c:pt idx="61">
                  <c:v>0.11761158021712959</c:v>
                </c:pt>
                <c:pt idx="62">
                  <c:v>0.10916767189384857</c:v>
                </c:pt>
                <c:pt idx="63">
                  <c:v>0.12484921592279918</c:v>
                </c:pt>
                <c:pt idx="64">
                  <c:v>0.10072376357056756</c:v>
                </c:pt>
                <c:pt idx="65">
                  <c:v>0.10193003618817897</c:v>
                </c:pt>
                <c:pt idx="66">
                  <c:v>0.10705669481302826</c:v>
                </c:pt>
                <c:pt idx="67">
                  <c:v>9.9819059107358887E-2</c:v>
                </c:pt>
                <c:pt idx="68">
                  <c:v>6.8757539203860629E-2</c:v>
                </c:pt>
                <c:pt idx="69">
                  <c:v>5.8504221954162272E-2</c:v>
                </c:pt>
                <c:pt idx="70">
                  <c:v>6.81544028950547E-2</c:v>
                </c:pt>
                <c:pt idx="71">
                  <c:v>9.3184559710494996E-2</c:v>
                </c:pt>
                <c:pt idx="72">
                  <c:v>8.2931242460796417E-2</c:v>
                </c:pt>
                <c:pt idx="73">
                  <c:v>8.5645355850422433E-2</c:v>
                </c:pt>
                <c:pt idx="74">
                  <c:v>8.0217129071170401E-2</c:v>
                </c:pt>
                <c:pt idx="75">
                  <c:v>7.7503015681544385E-2</c:v>
                </c:pt>
                <c:pt idx="76">
                  <c:v>0.10373944511459632</c:v>
                </c:pt>
                <c:pt idx="77">
                  <c:v>0.10675512665862508</c:v>
                </c:pt>
                <c:pt idx="78">
                  <c:v>0.10102533172497008</c:v>
                </c:pt>
                <c:pt idx="79">
                  <c:v>0.1381182147165263</c:v>
                </c:pt>
                <c:pt idx="80">
                  <c:v>0.15802171290711731</c:v>
                </c:pt>
                <c:pt idx="81">
                  <c:v>0.1679734620024127</c:v>
                </c:pt>
                <c:pt idx="82">
                  <c:v>0.1544028950542824</c:v>
                </c:pt>
                <c:pt idx="83">
                  <c:v>0.15199034981905912</c:v>
                </c:pt>
                <c:pt idx="84">
                  <c:v>0.13238841978287086</c:v>
                </c:pt>
                <c:pt idx="85">
                  <c:v>0.12273823884197821</c:v>
                </c:pt>
                <c:pt idx="86">
                  <c:v>2.7141133896260383E-2</c:v>
                </c:pt>
                <c:pt idx="87">
                  <c:v>1.8395657418576405E-2</c:v>
                </c:pt>
                <c:pt idx="88">
                  <c:v>4.5235223160434046E-2</c:v>
                </c:pt>
                <c:pt idx="89">
                  <c:v>-6.3329312424610373E-3</c:v>
                </c:pt>
                <c:pt idx="90">
                  <c:v>-2.1712907117008684E-2</c:v>
                </c:pt>
                <c:pt idx="91">
                  <c:v>-5.9107358262967646E-2</c:v>
                </c:pt>
                <c:pt idx="92">
                  <c:v>-2.0506634499397047E-2</c:v>
                </c:pt>
                <c:pt idx="93">
                  <c:v>-3.3474065138721532E-2</c:v>
                </c:pt>
                <c:pt idx="94">
                  <c:v>-2.8045838359469499E-2</c:v>
                </c:pt>
                <c:pt idx="95">
                  <c:v>-3.3775633293124496E-2</c:v>
                </c:pt>
                <c:pt idx="96">
                  <c:v>-4.7044632086851945E-2</c:v>
                </c:pt>
                <c:pt idx="97">
                  <c:v>-4.5536791314837455E-2</c:v>
                </c:pt>
                <c:pt idx="98">
                  <c:v>-3.4981905910736244E-2</c:v>
                </c:pt>
                <c:pt idx="99">
                  <c:v>-9.0470446320872755E-3</c:v>
                </c:pt>
                <c:pt idx="100">
                  <c:v>-2.8950542822678282E-2</c:v>
                </c:pt>
                <c:pt idx="101">
                  <c:v>-2.5331724969843483E-2</c:v>
                </c:pt>
                <c:pt idx="102">
                  <c:v>4.2219541616401735E-3</c:v>
                </c:pt>
                <c:pt idx="103">
                  <c:v>8.1423401688778263E-3</c:v>
                </c:pt>
                <c:pt idx="104">
                  <c:v>5.7599517490952712E-2</c:v>
                </c:pt>
                <c:pt idx="105">
                  <c:v>0.10886610373944472</c:v>
                </c:pt>
                <c:pt idx="106">
                  <c:v>9.469240048250871E-2</c:v>
                </c:pt>
                <c:pt idx="107">
                  <c:v>0.10072376357056667</c:v>
                </c:pt>
                <c:pt idx="108">
                  <c:v>0.11942098914354626</c:v>
                </c:pt>
                <c:pt idx="109">
                  <c:v>8.866103739445097E-2</c:v>
                </c:pt>
                <c:pt idx="110">
                  <c:v>8.5645355850421989E-2</c:v>
                </c:pt>
                <c:pt idx="111">
                  <c:v>6.9059107358262928E-2</c:v>
                </c:pt>
                <c:pt idx="112">
                  <c:v>6.1218335343787622E-2</c:v>
                </c:pt>
                <c:pt idx="113">
                  <c:v>0.12846803377563321</c:v>
                </c:pt>
                <c:pt idx="114">
                  <c:v>0.11278648974668259</c:v>
                </c:pt>
                <c:pt idx="115">
                  <c:v>0.10404101326899862</c:v>
                </c:pt>
                <c:pt idx="116">
                  <c:v>0.10102533172496964</c:v>
                </c:pt>
                <c:pt idx="117">
                  <c:v>0.11610373944511432</c:v>
                </c:pt>
                <c:pt idx="118">
                  <c:v>0.12907117008443891</c:v>
                </c:pt>
                <c:pt idx="119">
                  <c:v>0.13540410132689984</c:v>
                </c:pt>
                <c:pt idx="120">
                  <c:v>0.14022919179734616</c:v>
                </c:pt>
                <c:pt idx="121">
                  <c:v>0.16917973462002411</c:v>
                </c:pt>
                <c:pt idx="122">
                  <c:v>0.14505428226779249</c:v>
                </c:pt>
                <c:pt idx="123">
                  <c:v>0.15802171290711686</c:v>
                </c:pt>
                <c:pt idx="124">
                  <c:v>0.17581423401688778</c:v>
                </c:pt>
                <c:pt idx="125">
                  <c:v>0.15500603136308788</c:v>
                </c:pt>
                <c:pt idx="126">
                  <c:v>0.14656212303980687</c:v>
                </c:pt>
                <c:pt idx="127">
                  <c:v>0.14053075995174891</c:v>
                </c:pt>
                <c:pt idx="128">
                  <c:v>0.18214716525934849</c:v>
                </c:pt>
                <c:pt idx="129">
                  <c:v>0.22738238841978275</c:v>
                </c:pt>
                <c:pt idx="130">
                  <c:v>0.20627261761158011</c:v>
                </c:pt>
                <c:pt idx="131">
                  <c:v>0.19270205066344981</c:v>
                </c:pt>
                <c:pt idx="132">
                  <c:v>0.17702050663449942</c:v>
                </c:pt>
                <c:pt idx="133">
                  <c:v>0.19149577804583839</c:v>
                </c:pt>
                <c:pt idx="134">
                  <c:v>0.1857659831121834</c:v>
                </c:pt>
                <c:pt idx="135">
                  <c:v>0.24065138721351031</c:v>
                </c:pt>
                <c:pt idx="136">
                  <c:v>0.21924004825090471</c:v>
                </c:pt>
                <c:pt idx="137">
                  <c:v>0.22738238841978298</c:v>
                </c:pt>
                <c:pt idx="138">
                  <c:v>0.23733413751507837</c:v>
                </c:pt>
                <c:pt idx="139">
                  <c:v>0.26688781664656225</c:v>
                </c:pt>
                <c:pt idx="140">
                  <c:v>0.25271411338962624</c:v>
                </c:pt>
                <c:pt idx="141">
                  <c:v>0.22135102533172524</c:v>
                </c:pt>
                <c:pt idx="142">
                  <c:v>0.21833534378769626</c:v>
                </c:pt>
                <c:pt idx="143">
                  <c:v>0.19420989143546463</c:v>
                </c:pt>
                <c:pt idx="144">
                  <c:v>0.20627261761158056</c:v>
                </c:pt>
                <c:pt idx="145">
                  <c:v>0.20325693606755157</c:v>
                </c:pt>
                <c:pt idx="146">
                  <c:v>0.20325693606755157</c:v>
                </c:pt>
                <c:pt idx="147">
                  <c:v>0.27442702050663481</c:v>
                </c:pt>
                <c:pt idx="148">
                  <c:v>0.2530156815440292</c:v>
                </c:pt>
                <c:pt idx="149">
                  <c:v>0.25603136308805818</c:v>
                </c:pt>
                <c:pt idx="150">
                  <c:v>0.29071170084439113</c:v>
                </c:pt>
                <c:pt idx="151">
                  <c:v>0.27623642943305216</c:v>
                </c:pt>
                <c:pt idx="152">
                  <c:v>0.26145958986731022</c:v>
                </c:pt>
                <c:pt idx="153">
                  <c:v>0.29764776839565754</c:v>
                </c:pt>
                <c:pt idx="154">
                  <c:v>0.28528347406513888</c:v>
                </c:pt>
                <c:pt idx="155">
                  <c:v>0.30277442702050683</c:v>
                </c:pt>
                <c:pt idx="156">
                  <c:v>0.28468033775633317</c:v>
                </c:pt>
                <c:pt idx="157">
                  <c:v>0.26537997587454787</c:v>
                </c:pt>
                <c:pt idx="158">
                  <c:v>0.24155609167671921</c:v>
                </c:pt>
                <c:pt idx="159">
                  <c:v>0.22828709288299187</c:v>
                </c:pt>
                <c:pt idx="160">
                  <c:v>0.25452352231604358</c:v>
                </c:pt>
                <c:pt idx="161">
                  <c:v>0.22858866103739461</c:v>
                </c:pt>
                <c:pt idx="162">
                  <c:v>0.23823884197828726</c:v>
                </c:pt>
                <c:pt idx="163">
                  <c:v>0.21411338962605564</c:v>
                </c:pt>
                <c:pt idx="164">
                  <c:v>0.23642943305186992</c:v>
                </c:pt>
                <c:pt idx="165">
                  <c:v>0.2530156815440292</c:v>
                </c:pt>
                <c:pt idx="166">
                  <c:v>0.23823884197828726</c:v>
                </c:pt>
                <c:pt idx="167">
                  <c:v>0.26658624849215951</c:v>
                </c:pt>
                <c:pt idx="168">
                  <c:v>0.26568154402895083</c:v>
                </c:pt>
                <c:pt idx="169">
                  <c:v>0.2530156815440292</c:v>
                </c:pt>
                <c:pt idx="170">
                  <c:v>0.28136308805790144</c:v>
                </c:pt>
                <c:pt idx="171">
                  <c:v>0.29372738238842011</c:v>
                </c:pt>
                <c:pt idx="172">
                  <c:v>0.30579010856453581</c:v>
                </c:pt>
                <c:pt idx="173">
                  <c:v>0.31182147165259355</c:v>
                </c:pt>
                <c:pt idx="174">
                  <c:v>0.32629674306393253</c:v>
                </c:pt>
                <c:pt idx="175">
                  <c:v>0.32629674306393253</c:v>
                </c:pt>
                <c:pt idx="176">
                  <c:v>0.3021712907117009</c:v>
                </c:pt>
                <c:pt idx="177">
                  <c:v>0.34620024125452376</c:v>
                </c:pt>
                <c:pt idx="178">
                  <c:v>0.41405307599517505</c:v>
                </c:pt>
                <c:pt idx="179">
                  <c:v>0.40410132689987965</c:v>
                </c:pt>
                <c:pt idx="180">
                  <c:v>0.39324487334137537</c:v>
                </c:pt>
                <c:pt idx="181">
                  <c:v>0.40108564535585067</c:v>
                </c:pt>
                <c:pt idx="182">
                  <c:v>0.4267189384800969</c:v>
                </c:pt>
                <c:pt idx="183">
                  <c:v>0.43576598311218384</c:v>
                </c:pt>
                <c:pt idx="184">
                  <c:v>0.43033775633293159</c:v>
                </c:pt>
                <c:pt idx="185">
                  <c:v>0.42792521109770854</c:v>
                </c:pt>
                <c:pt idx="186">
                  <c:v>0.44662243667068813</c:v>
                </c:pt>
                <c:pt idx="187">
                  <c:v>0.47496984318456015</c:v>
                </c:pt>
                <c:pt idx="188">
                  <c:v>0.4716525934861282</c:v>
                </c:pt>
                <c:pt idx="189">
                  <c:v>0.4716525934861282</c:v>
                </c:pt>
                <c:pt idx="190">
                  <c:v>0.45928829915560954</c:v>
                </c:pt>
                <c:pt idx="191">
                  <c:v>0.46682750301568188</c:v>
                </c:pt>
                <c:pt idx="192">
                  <c:v>0.47285886610373962</c:v>
                </c:pt>
                <c:pt idx="193">
                  <c:v>0.45506634499396892</c:v>
                </c:pt>
                <c:pt idx="194">
                  <c:v>0.43244873341375167</c:v>
                </c:pt>
                <c:pt idx="195">
                  <c:v>0.42279855247285902</c:v>
                </c:pt>
                <c:pt idx="196">
                  <c:v>0.44571773220747879</c:v>
                </c:pt>
                <c:pt idx="197">
                  <c:v>0.43546441495778043</c:v>
                </c:pt>
                <c:pt idx="198">
                  <c:v>0.45868516284680316</c:v>
                </c:pt>
                <c:pt idx="199">
                  <c:v>0.46109770808202644</c:v>
                </c:pt>
                <c:pt idx="200">
                  <c:v>0.47014475271411338</c:v>
                </c:pt>
                <c:pt idx="201">
                  <c:v>0.47316043425814236</c:v>
                </c:pt>
                <c:pt idx="202">
                  <c:v>0.45838359469240042</c:v>
                </c:pt>
                <c:pt idx="203">
                  <c:v>0.46622436670687573</c:v>
                </c:pt>
                <c:pt idx="204">
                  <c:v>0.46501809408926409</c:v>
                </c:pt>
                <c:pt idx="205">
                  <c:v>0.45928829915560909</c:v>
                </c:pt>
                <c:pt idx="206">
                  <c:v>0.43154402895054278</c:v>
                </c:pt>
                <c:pt idx="207">
                  <c:v>0.43154402895054278</c:v>
                </c:pt>
                <c:pt idx="208">
                  <c:v>0.42340168878166473</c:v>
                </c:pt>
                <c:pt idx="209">
                  <c:v>0.4535585042219541</c:v>
                </c:pt>
                <c:pt idx="210">
                  <c:v>0.4535585042219541</c:v>
                </c:pt>
                <c:pt idx="211">
                  <c:v>0.42340168878166451</c:v>
                </c:pt>
                <c:pt idx="212">
                  <c:v>0.39475271411338952</c:v>
                </c:pt>
                <c:pt idx="213">
                  <c:v>0.3721351025331725</c:v>
                </c:pt>
                <c:pt idx="214">
                  <c:v>0.37605548854041015</c:v>
                </c:pt>
                <c:pt idx="215">
                  <c:v>0.39987937273823904</c:v>
                </c:pt>
                <c:pt idx="216">
                  <c:v>0.39053075995174935</c:v>
                </c:pt>
                <c:pt idx="217">
                  <c:v>0.37424607961399303</c:v>
                </c:pt>
                <c:pt idx="218">
                  <c:v>0.36369119420989171</c:v>
                </c:pt>
                <c:pt idx="219">
                  <c:v>0.36399276236429468</c:v>
                </c:pt>
                <c:pt idx="220">
                  <c:v>0.35102533172497008</c:v>
                </c:pt>
                <c:pt idx="221">
                  <c:v>0.33323281061519938</c:v>
                </c:pt>
                <c:pt idx="222">
                  <c:v>0.31212303980699674</c:v>
                </c:pt>
                <c:pt idx="223">
                  <c:v>0.30126658624849245</c:v>
                </c:pt>
                <c:pt idx="224">
                  <c:v>0.36007237635705702</c:v>
                </c:pt>
                <c:pt idx="225">
                  <c:v>0.39626055488540435</c:v>
                </c:pt>
                <c:pt idx="226">
                  <c:v>0.3751507840772017</c:v>
                </c:pt>
                <c:pt idx="227">
                  <c:v>0.37153196622436702</c:v>
                </c:pt>
                <c:pt idx="228">
                  <c:v>0.37424607961399325</c:v>
                </c:pt>
                <c:pt idx="229">
                  <c:v>0.37424607961399325</c:v>
                </c:pt>
                <c:pt idx="230">
                  <c:v>0.35856453558504264</c:v>
                </c:pt>
                <c:pt idx="231">
                  <c:v>0.3311218335343793</c:v>
                </c:pt>
                <c:pt idx="232">
                  <c:v>0.3510253317249703</c:v>
                </c:pt>
                <c:pt idx="233">
                  <c:v>0.34951749095295592</c:v>
                </c:pt>
                <c:pt idx="234">
                  <c:v>0.3582629674306399</c:v>
                </c:pt>
                <c:pt idx="235">
                  <c:v>0.36097708082026592</c:v>
                </c:pt>
                <c:pt idx="236">
                  <c:v>0.37062726176115857</c:v>
                </c:pt>
                <c:pt idx="237">
                  <c:v>0.32448733413751563</c:v>
                </c:pt>
                <c:pt idx="238">
                  <c:v>0.30247285886610431</c:v>
                </c:pt>
                <c:pt idx="239">
                  <c:v>0.29885404101326962</c:v>
                </c:pt>
                <c:pt idx="240">
                  <c:v>0.28166465621230463</c:v>
                </c:pt>
                <c:pt idx="241">
                  <c:v>0.26809408926417433</c:v>
                </c:pt>
                <c:pt idx="242">
                  <c:v>0.25301568154402965</c:v>
                </c:pt>
                <c:pt idx="243">
                  <c:v>0.31393244873341453</c:v>
                </c:pt>
                <c:pt idx="244">
                  <c:v>0.30186972255729883</c:v>
                </c:pt>
                <c:pt idx="245">
                  <c:v>0.30880579010856546</c:v>
                </c:pt>
                <c:pt idx="246">
                  <c:v>0.30880579010856546</c:v>
                </c:pt>
                <c:pt idx="247">
                  <c:v>0.28739445114595985</c:v>
                </c:pt>
                <c:pt idx="248">
                  <c:v>0.27442702050663526</c:v>
                </c:pt>
                <c:pt idx="249">
                  <c:v>0.25603136308805863</c:v>
                </c:pt>
                <c:pt idx="250">
                  <c:v>0.26930036188178597</c:v>
                </c:pt>
                <c:pt idx="251">
                  <c:v>0.24457177322074863</c:v>
                </c:pt>
                <c:pt idx="252">
                  <c:v>0.21109770808202732</c:v>
                </c:pt>
                <c:pt idx="253">
                  <c:v>0.18938480096501897</c:v>
                </c:pt>
                <c:pt idx="254">
                  <c:v>0.20174909529553786</c:v>
                </c:pt>
                <c:pt idx="255">
                  <c:v>0.18275030156815553</c:v>
                </c:pt>
                <c:pt idx="256">
                  <c:v>0.18546441495778154</c:v>
                </c:pt>
                <c:pt idx="257">
                  <c:v>0.23130277442702152</c:v>
                </c:pt>
                <c:pt idx="258">
                  <c:v>0.21712907117008529</c:v>
                </c:pt>
                <c:pt idx="259">
                  <c:v>0.19360675512665937</c:v>
                </c:pt>
                <c:pt idx="260">
                  <c:v>0.16344993968636978</c:v>
                </c:pt>
                <c:pt idx="261">
                  <c:v>0.1405307599517498</c:v>
                </c:pt>
                <c:pt idx="262">
                  <c:v>0.13389626055488613</c:v>
                </c:pt>
                <c:pt idx="263">
                  <c:v>0.13841978287092949</c:v>
                </c:pt>
                <c:pt idx="264">
                  <c:v>0.17460796139927681</c:v>
                </c:pt>
                <c:pt idx="265">
                  <c:v>0.16917973462002456</c:v>
                </c:pt>
                <c:pt idx="266">
                  <c:v>0.16857659831121863</c:v>
                </c:pt>
                <c:pt idx="267">
                  <c:v>0.13389626055488568</c:v>
                </c:pt>
                <c:pt idx="268">
                  <c:v>0.14897466827503059</c:v>
                </c:pt>
                <c:pt idx="269">
                  <c:v>0.18033775633293181</c:v>
                </c:pt>
                <c:pt idx="270">
                  <c:v>0.21411338962605608</c:v>
                </c:pt>
                <c:pt idx="271">
                  <c:v>0.29312424607961463</c:v>
                </c:pt>
                <c:pt idx="272">
                  <c:v>0.25090470446320934</c:v>
                </c:pt>
                <c:pt idx="273">
                  <c:v>0.25814234016887894</c:v>
                </c:pt>
                <c:pt idx="274">
                  <c:v>0.23069963811821537</c:v>
                </c:pt>
                <c:pt idx="275">
                  <c:v>0.26537997587454831</c:v>
                </c:pt>
                <c:pt idx="276">
                  <c:v>0.26296743063932504</c:v>
                </c:pt>
                <c:pt idx="277">
                  <c:v>0.2762364294330526</c:v>
                </c:pt>
                <c:pt idx="278">
                  <c:v>0.27141133896260627</c:v>
                </c:pt>
                <c:pt idx="279">
                  <c:v>0.30006031363088126</c:v>
                </c:pt>
                <c:pt idx="280">
                  <c:v>0.29010856453558564</c:v>
                </c:pt>
                <c:pt idx="281">
                  <c:v>0.28226779252111034</c:v>
                </c:pt>
                <c:pt idx="282">
                  <c:v>0.26960193003618871</c:v>
                </c:pt>
                <c:pt idx="283">
                  <c:v>0.27714113389626105</c:v>
                </c:pt>
                <c:pt idx="284">
                  <c:v>0.27714113389626105</c:v>
                </c:pt>
                <c:pt idx="285">
                  <c:v>0.26568154402895106</c:v>
                </c:pt>
                <c:pt idx="286">
                  <c:v>0.2246682750301574</c:v>
                </c:pt>
                <c:pt idx="287">
                  <c:v>0.2104945717732214</c:v>
                </c:pt>
                <c:pt idx="288">
                  <c:v>0.20687575392038671</c:v>
                </c:pt>
                <c:pt idx="289">
                  <c:v>0.20687575392038671</c:v>
                </c:pt>
                <c:pt idx="290">
                  <c:v>0.17611580217129141</c:v>
                </c:pt>
                <c:pt idx="291">
                  <c:v>0.19813027744270273</c:v>
                </c:pt>
                <c:pt idx="292">
                  <c:v>0.19813027744270273</c:v>
                </c:pt>
                <c:pt idx="293">
                  <c:v>0.20024125452352304</c:v>
                </c:pt>
                <c:pt idx="294">
                  <c:v>0.21803377563329396</c:v>
                </c:pt>
                <c:pt idx="295">
                  <c:v>0.25422195416164128</c:v>
                </c:pt>
                <c:pt idx="296">
                  <c:v>0.24155609167671965</c:v>
                </c:pt>
                <c:pt idx="297">
                  <c:v>0.21531966224366772</c:v>
                </c:pt>
                <c:pt idx="298">
                  <c:v>0.22135102533172568</c:v>
                </c:pt>
                <c:pt idx="299">
                  <c:v>0.2611580217129077</c:v>
                </c:pt>
                <c:pt idx="300">
                  <c:v>0.29644149577804657</c:v>
                </c:pt>
                <c:pt idx="301">
                  <c:v>0.28106151990349892</c:v>
                </c:pt>
                <c:pt idx="302">
                  <c:v>0.25241254523522372</c:v>
                </c:pt>
                <c:pt idx="303">
                  <c:v>0.22738238841978342</c:v>
                </c:pt>
                <c:pt idx="304">
                  <c:v>0.23160434258142404</c:v>
                </c:pt>
                <c:pt idx="305">
                  <c:v>0.28166465621230485</c:v>
                </c:pt>
                <c:pt idx="306">
                  <c:v>0.28015681544029025</c:v>
                </c:pt>
                <c:pt idx="307">
                  <c:v>0.27171290711700924</c:v>
                </c:pt>
                <c:pt idx="308">
                  <c:v>0.27985524728588751</c:v>
                </c:pt>
                <c:pt idx="309">
                  <c:v>0.29975874547647874</c:v>
                </c:pt>
                <c:pt idx="310">
                  <c:v>0.26869722557298048</c:v>
                </c:pt>
                <c:pt idx="311">
                  <c:v>0.27472858866103844</c:v>
                </c:pt>
                <c:pt idx="312">
                  <c:v>0.26598311218335446</c:v>
                </c:pt>
                <c:pt idx="313">
                  <c:v>0.26206272617611681</c:v>
                </c:pt>
                <c:pt idx="314">
                  <c:v>0.29794933655006139</c:v>
                </c:pt>
                <c:pt idx="315">
                  <c:v>0.27683956574185875</c:v>
                </c:pt>
                <c:pt idx="316">
                  <c:v>0.24849215922798651</c:v>
                </c:pt>
                <c:pt idx="317">
                  <c:v>0.26779252110977181</c:v>
                </c:pt>
                <c:pt idx="318">
                  <c:v>0.26960193003618915</c:v>
                </c:pt>
                <c:pt idx="319">
                  <c:v>0.25331724969843283</c:v>
                </c:pt>
                <c:pt idx="320">
                  <c:v>0.22346200241254621</c:v>
                </c:pt>
                <c:pt idx="321">
                  <c:v>0.18968636911942194</c:v>
                </c:pt>
                <c:pt idx="322">
                  <c:v>0.16465621230398164</c:v>
                </c:pt>
                <c:pt idx="323">
                  <c:v>0.16706875753920469</c:v>
                </c:pt>
                <c:pt idx="324">
                  <c:v>0.17822677925211172</c:v>
                </c:pt>
                <c:pt idx="325">
                  <c:v>0.18094089264173774</c:v>
                </c:pt>
                <c:pt idx="326">
                  <c:v>0.20838359469240131</c:v>
                </c:pt>
                <c:pt idx="327">
                  <c:v>0.212002412545236</c:v>
                </c:pt>
                <c:pt idx="328">
                  <c:v>0.21652593486127936</c:v>
                </c:pt>
                <c:pt idx="329">
                  <c:v>0.2303980699638124</c:v>
                </c:pt>
                <c:pt idx="330">
                  <c:v>0.27231604342581495</c:v>
                </c:pt>
                <c:pt idx="331">
                  <c:v>0.28558504221954228</c:v>
                </c:pt>
                <c:pt idx="332">
                  <c:v>0.25241254523522372</c:v>
                </c:pt>
                <c:pt idx="333">
                  <c:v>0.2303980699638124</c:v>
                </c:pt>
                <c:pt idx="334">
                  <c:v>0.22768395657418639</c:v>
                </c:pt>
                <c:pt idx="335">
                  <c:v>0.2126055488540417</c:v>
                </c:pt>
                <c:pt idx="336">
                  <c:v>0.22979493365500669</c:v>
                </c:pt>
                <c:pt idx="337">
                  <c:v>0.21863691194209944</c:v>
                </c:pt>
                <c:pt idx="338">
                  <c:v>0.21622436670687639</c:v>
                </c:pt>
                <c:pt idx="339">
                  <c:v>0.2168275030156821</c:v>
                </c:pt>
                <c:pt idx="340">
                  <c:v>0.23733413751507881</c:v>
                </c:pt>
                <c:pt idx="341">
                  <c:v>0.31785283474065196</c:v>
                </c:pt>
                <c:pt idx="342">
                  <c:v>0.29674306393244931</c:v>
                </c:pt>
                <c:pt idx="343">
                  <c:v>0.25753920386007301</c:v>
                </c:pt>
                <c:pt idx="344">
                  <c:v>0.2825693606755133</c:v>
                </c:pt>
                <c:pt idx="345">
                  <c:v>0.31483715319662298</c:v>
                </c:pt>
                <c:pt idx="346">
                  <c:v>0.36067551266586317</c:v>
                </c:pt>
                <c:pt idx="347">
                  <c:v>0.43516284680337836</c:v>
                </c:pt>
                <c:pt idx="348">
                  <c:v>0.42370325693606836</c:v>
                </c:pt>
                <c:pt idx="349">
                  <c:v>0.42732207478890305</c:v>
                </c:pt>
                <c:pt idx="350">
                  <c:v>0.41284680337756408</c:v>
                </c:pt>
                <c:pt idx="351">
                  <c:v>0.41797346200241337</c:v>
                </c:pt>
                <c:pt idx="352">
                  <c:v>0.47466827503015763</c:v>
                </c:pt>
                <c:pt idx="353">
                  <c:v>0.43606755126658703</c:v>
                </c:pt>
                <c:pt idx="354">
                  <c:v>0.48552472858866191</c:v>
                </c:pt>
                <c:pt idx="355">
                  <c:v>0.49577804583836049</c:v>
                </c:pt>
                <c:pt idx="356">
                  <c:v>0.48914354644149682</c:v>
                </c:pt>
                <c:pt idx="357">
                  <c:v>0.50301568154402987</c:v>
                </c:pt>
                <c:pt idx="358">
                  <c:v>0.52593486127865008</c:v>
                </c:pt>
                <c:pt idx="359">
                  <c:v>0.51115802171290814</c:v>
                </c:pt>
                <c:pt idx="360">
                  <c:v>0.55518697225573099</c:v>
                </c:pt>
                <c:pt idx="361">
                  <c:v>0.51749095295536907</c:v>
                </c:pt>
                <c:pt idx="362">
                  <c:v>0.51960193003618937</c:v>
                </c:pt>
                <c:pt idx="363">
                  <c:v>0.51387213510253438</c:v>
                </c:pt>
                <c:pt idx="364">
                  <c:v>0.51477683956574305</c:v>
                </c:pt>
                <c:pt idx="365">
                  <c:v>0.53196622436670804</c:v>
                </c:pt>
                <c:pt idx="366">
                  <c:v>0.57901085645355965</c:v>
                </c:pt>
                <c:pt idx="367">
                  <c:v>0.59831121833534495</c:v>
                </c:pt>
                <c:pt idx="368">
                  <c:v>0.58986731001206394</c:v>
                </c:pt>
                <c:pt idx="369">
                  <c:v>0.56634499396863802</c:v>
                </c:pt>
                <c:pt idx="370">
                  <c:v>0.58323281061520005</c:v>
                </c:pt>
                <c:pt idx="371">
                  <c:v>0.63932448733413838</c:v>
                </c:pt>
                <c:pt idx="372">
                  <c:v>0.61791314837153277</c:v>
                </c:pt>
                <c:pt idx="373">
                  <c:v>0.64505428226779316</c:v>
                </c:pt>
                <c:pt idx="374">
                  <c:v>0.61791314837153255</c:v>
                </c:pt>
                <c:pt idx="375">
                  <c:v>0.66194209891435518</c:v>
                </c:pt>
                <c:pt idx="376">
                  <c:v>0.65772014475271456</c:v>
                </c:pt>
                <c:pt idx="377">
                  <c:v>0.65138721351025386</c:v>
                </c:pt>
                <c:pt idx="378">
                  <c:v>0.67038600723763619</c:v>
                </c:pt>
                <c:pt idx="379">
                  <c:v>0.65289505428226824</c:v>
                </c:pt>
                <c:pt idx="380">
                  <c:v>0.68636911942098955</c:v>
                </c:pt>
                <c:pt idx="381">
                  <c:v>0.6887816646562126</c:v>
                </c:pt>
                <c:pt idx="382">
                  <c:v>0.66043425814234036</c:v>
                </c:pt>
                <c:pt idx="383">
                  <c:v>0.62786489746682772</c:v>
                </c:pt>
                <c:pt idx="384">
                  <c:v>0.63540410132689984</c:v>
                </c:pt>
                <c:pt idx="385">
                  <c:v>0.6357056694813028</c:v>
                </c:pt>
                <c:pt idx="386">
                  <c:v>0.64867310012062718</c:v>
                </c:pt>
                <c:pt idx="387">
                  <c:v>0.61037394451145954</c:v>
                </c:pt>
                <c:pt idx="388">
                  <c:v>0.60434258142340158</c:v>
                </c:pt>
                <c:pt idx="389">
                  <c:v>0.5877563329312423</c:v>
                </c:pt>
                <c:pt idx="390">
                  <c:v>0.5983112183353434</c:v>
                </c:pt>
                <c:pt idx="391">
                  <c:v>0.57720144752714075</c:v>
                </c:pt>
                <c:pt idx="392">
                  <c:v>0.5669481302774424</c:v>
                </c:pt>
                <c:pt idx="393">
                  <c:v>0.53950542822677883</c:v>
                </c:pt>
                <c:pt idx="394">
                  <c:v>0.52322074788902251</c:v>
                </c:pt>
                <c:pt idx="395">
                  <c:v>0.54252110977080781</c:v>
                </c:pt>
                <c:pt idx="396">
                  <c:v>0.5168878166465618</c:v>
                </c:pt>
                <c:pt idx="397">
                  <c:v>0.4969843184559708</c:v>
                </c:pt>
                <c:pt idx="398">
                  <c:v>0.5033172496984315</c:v>
                </c:pt>
                <c:pt idx="399">
                  <c:v>0.49276236429433018</c:v>
                </c:pt>
                <c:pt idx="400">
                  <c:v>0.50542822677925181</c:v>
                </c:pt>
                <c:pt idx="401">
                  <c:v>0.52171290711700813</c:v>
                </c:pt>
                <c:pt idx="402">
                  <c:v>0.54101326899879321</c:v>
                </c:pt>
                <c:pt idx="403">
                  <c:v>0.50331724969843128</c:v>
                </c:pt>
                <c:pt idx="404">
                  <c:v>0.53196622436670626</c:v>
                </c:pt>
                <c:pt idx="405">
                  <c:v>0.54674306393244798</c:v>
                </c:pt>
                <c:pt idx="406">
                  <c:v>0.51688781664656136</c:v>
                </c:pt>
                <c:pt idx="407">
                  <c:v>0.50180940892641668</c:v>
                </c:pt>
                <c:pt idx="408">
                  <c:v>0.49095295536791239</c:v>
                </c:pt>
                <c:pt idx="409">
                  <c:v>0.49034981905910668</c:v>
                </c:pt>
                <c:pt idx="410">
                  <c:v>0.48401688781664576</c:v>
                </c:pt>
                <c:pt idx="411">
                  <c:v>0.50482509047044544</c:v>
                </c:pt>
                <c:pt idx="412">
                  <c:v>0.53980699638118113</c:v>
                </c:pt>
                <c:pt idx="413">
                  <c:v>0.5093486127864888</c:v>
                </c:pt>
                <c:pt idx="414">
                  <c:v>0.48793727382388319</c:v>
                </c:pt>
                <c:pt idx="415">
                  <c:v>0.48220747889022819</c:v>
                </c:pt>
                <c:pt idx="416">
                  <c:v>0.52291917973461888</c:v>
                </c:pt>
                <c:pt idx="417">
                  <c:v>0.53437876960192887</c:v>
                </c:pt>
                <c:pt idx="418">
                  <c:v>0.49276236429432929</c:v>
                </c:pt>
                <c:pt idx="419">
                  <c:v>0.46682750301568032</c:v>
                </c:pt>
                <c:pt idx="420">
                  <c:v>0.48160434258142204</c:v>
                </c:pt>
                <c:pt idx="421">
                  <c:v>0.45627261761157878</c:v>
                </c:pt>
                <c:pt idx="422">
                  <c:v>0.42611580217128942</c:v>
                </c:pt>
                <c:pt idx="423">
                  <c:v>0.45597104945717604</c:v>
                </c:pt>
                <c:pt idx="424">
                  <c:v>0.45747889022919064</c:v>
                </c:pt>
                <c:pt idx="425">
                  <c:v>0.44692400482508932</c:v>
                </c:pt>
                <c:pt idx="426">
                  <c:v>0.45989143546441391</c:v>
                </c:pt>
                <c:pt idx="427">
                  <c:v>0.47798552472858757</c:v>
                </c:pt>
                <c:pt idx="428">
                  <c:v>0.46592279855247187</c:v>
                </c:pt>
                <c:pt idx="429">
                  <c:v>0.44119420989143454</c:v>
                </c:pt>
                <c:pt idx="430">
                  <c:v>0.44028950542822587</c:v>
                </c:pt>
                <c:pt idx="431">
                  <c:v>0.44782870928829821</c:v>
                </c:pt>
                <c:pt idx="432">
                  <c:v>0.4499396863691183</c:v>
                </c:pt>
                <c:pt idx="433">
                  <c:v>0.45325693606755024</c:v>
                </c:pt>
                <c:pt idx="434">
                  <c:v>0.44481302774426923</c:v>
                </c:pt>
                <c:pt idx="435">
                  <c:v>0.41737032569360588</c:v>
                </c:pt>
                <c:pt idx="436">
                  <c:v>0.40470446320868425</c:v>
                </c:pt>
                <c:pt idx="437">
                  <c:v>0.43546441495777954</c:v>
                </c:pt>
                <c:pt idx="438">
                  <c:v>0.41133896260554792</c:v>
                </c:pt>
                <c:pt idx="439">
                  <c:v>0.4384800965018083</c:v>
                </c:pt>
                <c:pt idx="440">
                  <c:v>0.40379975874547536</c:v>
                </c:pt>
                <c:pt idx="441">
                  <c:v>0.42792521109770698</c:v>
                </c:pt>
                <c:pt idx="442">
                  <c:v>0.47165259348612665</c:v>
                </c:pt>
                <c:pt idx="443">
                  <c:v>0.46441495778045705</c:v>
                </c:pt>
                <c:pt idx="444">
                  <c:v>0.49607961399276101</c:v>
                </c:pt>
                <c:pt idx="445">
                  <c:v>0.47165259348612665</c:v>
                </c:pt>
                <c:pt idx="446">
                  <c:v>0.42943305186972136</c:v>
                </c:pt>
                <c:pt idx="447">
                  <c:v>0.4176718938480084</c:v>
                </c:pt>
                <c:pt idx="448">
                  <c:v>0.38118214716525811</c:v>
                </c:pt>
                <c:pt idx="449">
                  <c:v>0.33594692400482384</c:v>
                </c:pt>
                <c:pt idx="450">
                  <c:v>0.37153196622436546</c:v>
                </c:pt>
                <c:pt idx="451">
                  <c:v>0.37635705669481179</c:v>
                </c:pt>
                <c:pt idx="452">
                  <c:v>0.34800965018093977</c:v>
                </c:pt>
                <c:pt idx="453">
                  <c:v>0.48703256936067429</c:v>
                </c:pt>
                <c:pt idx="454">
                  <c:v>0.47768395657418461</c:v>
                </c:pt>
                <c:pt idx="455">
                  <c:v>0.45989143546441369</c:v>
                </c:pt>
                <c:pt idx="456">
                  <c:v>0.45958986731001095</c:v>
                </c:pt>
                <c:pt idx="457">
                  <c:v>0.51085645355850318</c:v>
                </c:pt>
                <c:pt idx="458">
                  <c:v>0.52744270205066224</c:v>
                </c:pt>
                <c:pt idx="459">
                  <c:v>0.50452352231604225</c:v>
                </c:pt>
                <c:pt idx="460">
                  <c:v>0.49246079613992655</c:v>
                </c:pt>
                <c:pt idx="461">
                  <c:v>0.48462002412545124</c:v>
                </c:pt>
                <c:pt idx="462">
                  <c:v>0.4399879372738229</c:v>
                </c:pt>
                <c:pt idx="463">
                  <c:v>0.45838359469239953</c:v>
                </c:pt>
                <c:pt idx="464">
                  <c:v>0.46833534378769492</c:v>
                </c:pt>
                <c:pt idx="465">
                  <c:v>0.45868516284680227</c:v>
                </c:pt>
                <c:pt idx="466">
                  <c:v>0.44752714113389525</c:v>
                </c:pt>
                <c:pt idx="467">
                  <c:v>0.45747889022919064</c:v>
                </c:pt>
                <c:pt idx="468">
                  <c:v>0.44963811821471533</c:v>
                </c:pt>
                <c:pt idx="469">
                  <c:v>0.47135102533172368</c:v>
                </c:pt>
                <c:pt idx="470">
                  <c:v>0.45174909529553564</c:v>
                </c:pt>
                <c:pt idx="471">
                  <c:v>0.46743063932448603</c:v>
                </c:pt>
                <c:pt idx="472">
                  <c:v>0.44571773220747768</c:v>
                </c:pt>
                <c:pt idx="473">
                  <c:v>0.42943305186972136</c:v>
                </c:pt>
                <c:pt idx="474">
                  <c:v>0.43214716525934738</c:v>
                </c:pt>
                <c:pt idx="475">
                  <c:v>0.43244873341375034</c:v>
                </c:pt>
                <c:pt idx="476">
                  <c:v>0.44903498190590962</c:v>
                </c:pt>
                <c:pt idx="477">
                  <c:v>0.45536791314837055</c:v>
                </c:pt>
                <c:pt idx="478">
                  <c:v>0.47738238841978187</c:v>
                </c:pt>
                <c:pt idx="479">
                  <c:v>0.5078407720144742</c:v>
                </c:pt>
                <c:pt idx="480">
                  <c:v>0.52955367913148255</c:v>
                </c:pt>
                <c:pt idx="481">
                  <c:v>0.55247285886610231</c:v>
                </c:pt>
                <c:pt idx="482">
                  <c:v>0.54885404101326762</c:v>
                </c:pt>
                <c:pt idx="483">
                  <c:v>0.5575995174909516</c:v>
                </c:pt>
                <c:pt idx="484">
                  <c:v>0.58474065138721198</c:v>
                </c:pt>
                <c:pt idx="485">
                  <c:v>0.57117008443908168</c:v>
                </c:pt>
                <c:pt idx="486">
                  <c:v>0.62515078407719993</c:v>
                </c:pt>
                <c:pt idx="487">
                  <c:v>0.60223160434257994</c:v>
                </c:pt>
                <c:pt idx="488">
                  <c:v>0.56845597104945589</c:v>
                </c:pt>
                <c:pt idx="489">
                  <c:v>0.53558504221954051</c:v>
                </c:pt>
                <c:pt idx="490">
                  <c:v>0.53558504221954051</c:v>
                </c:pt>
                <c:pt idx="491">
                  <c:v>0.5479493365500594</c:v>
                </c:pt>
                <c:pt idx="492">
                  <c:v>0.58323281061519805</c:v>
                </c:pt>
                <c:pt idx="493">
                  <c:v>0.58474065138721265</c:v>
                </c:pt>
                <c:pt idx="494">
                  <c:v>0.61338962605548786</c:v>
                </c:pt>
                <c:pt idx="495">
                  <c:v>0.60585042219541552</c:v>
                </c:pt>
                <c:pt idx="496">
                  <c:v>0.56182147165259289</c:v>
                </c:pt>
                <c:pt idx="497">
                  <c:v>0.53799758745476423</c:v>
                </c:pt>
                <c:pt idx="498">
                  <c:v>0.56393244873341319</c:v>
                </c:pt>
                <c:pt idx="499">
                  <c:v>0.57961399276236358</c:v>
                </c:pt>
                <c:pt idx="500">
                  <c:v>0.55036188178528289</c:v>
                </c:pt>
                <c:pt idx="501">
                  <c:v>0.55186972255729749</c:v>
                </c:pt>
                <c:pt idx="502">
                  <c:v>0.56936067551266545</c:v>
                </c:pt>
                <c:pt idx="503">
                  <c:v>0.51990349819059078</c:v>
                </c:pt>
                <c:pt idx="504">
                  <c:v>0.52864897466827476</c:v>
                </c:pt>
                <c:pt idx="505">
                  <c:v>0.59469240048250871</c:v>
                </c:pt>
                <c:pt idx="506">
                  <c:v>0.57569360675512637</c:v>
                </c:pt>
                <c:pt idx="507">
                  <c:v>0.60464414957780432</c:v>
                </c:pt>
                <c:pt idx="508">
                  <c:v>0.60946924004825043</c:v>
                </c:pt>
                <c:pt idx="509">
                  <c:v>0.63148371531966174</c:v>
                </c:pt>
                <c:pt idx="510">
                  <c:v>0.61972255729794878</c:v>
                </c:pt>
                <c:pt idx="511">
                  <c:v>0.71290711700844334</c:v>
                </c:pt>
                <c:pt idx="512">
                  <c:v>0.78528347406513799</c:v>
                </c:pt>
                <c:pt idx="513">
                  <c:v>0.74607961399276168</c:v>
                </c:pt>
                <c:pt idx="514">
                  <c:v>0.77020506634499331</c:v>
                </c:pt>
                <c:pt idx="515">
                  <c:v>0.76357056694812964</c:v>
                </c:pt>
                <c:pt idx="516">
                  <c:v>0.80398069963811758</c:v>
                </c:pt>
                <c:pt idx="517">
                  <c:v>0.8088057901085639</c:v>
                </c:pt>
                <c:pt idx="518">
                  <c:v>0.83142340168878115</c:v>
                </c:pt>
                <c:pt idx="519">
                  <c:v>0.82297949336550014</c:v>
                </c:pt>
                <c:pt idx="520">
                  <c:v>0.82448733413751452</c:v>
                </c:pt>
                <c:pt idx="521">
                  <c:v>0.80337756332931187</c:v>
                </c:pt>
                <c:pt idx="522">
                  <c:v>0.83323281061519849</c:v>
                </c:pt>
                <c:pt idx="523">
                  <c:v>0.8275030156815435</c:v>
                </c:pt>
                <c:pt idx="524">
                  <c:v>0.79433051869722493</c:v>
                </c:pt>
                <c:pt idx="525">
                  <c:v>0.81182147165259266</c:v>
                </c:pt>
                <c:pt idx="526">
                  <c:v>0.81182147165259266</c:v>
                </c:pt>
                <c:pt idx="527">
                  <c:v>0.79734620024125369</c:v>
                </c:pt>
                <c:pt idx="528">
                  <c:v>0.81332931242460704</c:v>
                </c:pt>
                <c:pt idx="529">
                  <c:v>0.81091676718938377</c:v>
                </c:pt>
                <c:pt idx="530">
                  <c:v>0.8163449939686358</c:v>
                </c:pt>
                <c:pt idx="531">
                  <c:v>0.83956574185765875</c:v>
                </c:pt>
                <c:pt idx="532">
                  <c:v>0.92249698431845495</c:v>
                </c:pt>
                <c:pt idx="533">
                  <c:v>0.89384800965017996</c:v>
                </c:pt>
                <c:pt idx="534">
                  <c:v>0.86489746682750202</c:v>
                </c:pt>
                <c:pt idx="535">
                  <c:v>0.85162846803377468</c:v>
                </c:pt>
                <c:pt idx="536">
                  <c:v>0.85765983112183264</c:v>
                </c:pt>
                <c:pt idx="537">
                  <c:v>0.84107358262967358</c:v>
                </c:pt>
                <c:pt idx="538">
                  <c:v>0.85193003618817764</c:v>
                </c:pt>
                <c:pt idx="539">
                  <c:v>0.79523522316043338</c:v>
                </c:pt>
                <c:pt idx="540">
                  <c:v>0.74668275030156739</c:v>
                </c:pt>
                <c:pt idx="541">
                  <c:v>0.71200241254523466</c:v>
                </c:pt>
                <c:pt idx="542">
                  <c:v>0.76085645355850384</c:v>
                </c:pt>
                <c:pt idx="543">
                  <c:v>0.78679131483715281</c:v>
                </c:pt>
                <c:pt idx="544">
                  <c:v>0.73793727382388385</c:v>
                </c:pt>
                <c:pt idx="545">
                  <c:v>0.71893848009650152</c:v>
                </c:pt>
                <c:pt idx="546">
                  <c:v>0.74396863691194182</c:v>
                </c:pt>
                <c:pt idx="547">
                  <c:v>0.81212303980699629</c:v>
                </c:pt>
                <c:pt idx="548">
                  <c:v>0.80036188178528356</c:v>
                </c:pt>
                <c:pt idx="549">
                  <c:v>0.78226779252110967</c:v>
                </c:pt>
                <c:pt idx="550">
                  <c:v>0.80036188178528334</c:v>
                </c:pt>
                <c:pt idx="551">
                  <c:v>0.79282267792521099</c:v>
                </c:pt>
                <c:pt idx="552">
                  <c:v>0.75180940892641734</c:v>
                </c:pt>
                <c:pt idx="553">
                  <c:v>0.77774427020506653</c:v>
                </c:pt>
                <c:pt idx="554">
                  <c:v>0.77322074788902317</c:v>
                </c:pt>
                <c:pt idx="555">
                  <c:v>0.75663449939686389</c:v>
                </c:pt>
                <c:pt idx="556">
                  <c:v>0.65259348612786505</c:v>
                </c:pt>
                <c:pt idx="557">
                  <c:v>0.64053075995174935</c:v>
                </c:pt>
                <c:pt idx="558">
                  <c:v>0.64927623642943333</c:v>
                </c:pt>
                <c:pt idx="559">
                  <c:v>0.64656212303980731</c:v>
                </c:pt>
                <c:pt idx="560">
                  <c:v>0.59831121833534406</c:v>
                </c:pt>
                <c:pt idx="561">
                  <c:v>0.58202653799758775</c:v>
                </c:pt>
                <c:pt idx="562">
                  <c:v>0.6139927623642949</c:v>
                </c:pt>
                <c:pt idx="563">
                  <c:v>0.60223160434258194</c:v>
                </c:pt>
                <c:pt idx="564">
                  <c:v>0.57810615199035031</c:v>
                </c:pt>
                <c:pt idx="565">
                  <c:v>0.63600723763570621</c:v>
                </c:pt>
                <c:pt idx="566">
                  <c:v>0.61791314837153255</c:v>
                </c:pt>
                <c:pt idx="567">
                  <c:v>0.6275633293124252</c:v>
                </c:pt>
                <c:pt idx="568">
                  <c:v>0.62726176115802224</c:v>
                </c:pt>
                <c:pt idx="569">
                  <c:v>0.59318455971049522</c:v>
                </c:pt>
                <c:pt idx="570">
                  <c:v>0.57448733413751585</c:v>
                </c:pt>
                <c:pt idx="571">
                  <c:v>0.55096501809408993</c:v>
                </c:pt>
                <c:pt idx="572">
                  <c:v>0.58655006031363155</c:v>
                </c:pt>
                <c:pt idx="573">
                  <c:v>0.53920386007237697</c:v>
                </c:pt>
                <c:pt idx="574">
                  <c:v>0.5575995174909536</c:v>
                </c:pt>
                <c:pt idx="575">
                  <c:v>0.59951749095295614</c:v>
                </c:pt>
                <c:pt idx="576">
                  <c:v>0.59529553679131553</c:v>
                </c:pt>
                <c:pt idx="577">
                  <c:v>0.669179734620025</c:v>
                </c:pt>
                <c:pt idx="578">
                  <c:v>0.71924004825090582</c:v>
                </c:pt>
                <c:pt idx="579">
                  <c:v>0.69360675512665959</c:v>
                </c:pt>
                <c:pt idx="580">
                  <c:v>0.77472858866103844</c:v>
                </c:pt>
                <c:pt idx="581">
                  <c:v>0.83775633293124341</c:v>
                </c:pt>
                <c:pt idx="582">
                  <c:v>0.74879372738238925</c:v>
                </c:pt>
                <c:pt idx="583">
                  <c:v>0.74125452352231691</c:v>
                </c:pt>
                <c:pt idx="584">
                  <c:v>0.72979493365500692</c:v>
                </c:pt>
                <c:pt idx="585">
                  <c:v>0.74728588661037487</c:v>
                </c:pt>
                <c:pt idx="586">
                  <c:v>0.71893848009650263</c:v>
                </c:pt>
                <c:pt idx="587">
                  <c:v>0.71592279855247365</c:v>
                </c:pt>
                <c:pt idx="588">
                  <c:v>0.7527141133896269</c:v>
                </c:pt>
                <c:pt idx="589">
                  <c:v>0.76447527141133964</c:v>
                </c:pt>
                <c:pt idx="590">
                  <c:v>0.75814234016887894</c:v>
                </c:pt>
                <c:pt idx="591">
                  <c:v>0.75241254523522394</c:v>
                </c:pt>
                <c:pt idx="592">
                  <c:v>0.76930036188178597</c:v>
                </c:pt>
                <c:pt idx="593">
                  <c:v>0.78317249698431923</c:v>
                </c:pt>
                <c:pt idx="594">
                  <c:v>0.80398069963811913</c:v>
                </c:pt>
                <c:pt idx="595">
                  <c:v>0.77020506634499486</c:v>
                </c:pt>
                <c:pt idx="596">
                  <c:v>0.73854041013269089</c:v>
                </c:pt>
                <c:pt idx="597">
                  <c:v>0.75784077201447642</c:v>
                </c:pt>
                <c:pt idx="598">
                  <c:v>0.75814234016887916</c:v>
                </c:pt>
                <c:pt idx="599">
                  <c:v>0.72949336550060417</c:v>
                </c:pt>
                <c:pt idx="600">
                  <c:v>0.7406513872135112</c:v>
                </c:pt>
                <c:pt idx="601">
                  <c:v>0.77623642943305282</c:v>
                </c:pt>
                <c:pt idx="602">
                  <c:v>0.77714113389626149</c:v>
                </c:pt>
                <c:pt idx="603">
                  <c:v>0.82961399276236536</c:v>
                </c:pt>
                <c:pt idx="604">
                  <c:v>0.85072376357056778</c:v>
                </c:pt>
                <c:pt idx="605">
                  <c:v>0.83172496984318545</c:v>
                </c:pt>
                <c:pt idx="606">
                  <c:v>0.79402895054282352</c:v>
                </c:pt>
                <c:pt idx="607">
                  <c:v>0.77472858866103822</c:v>
                </c:pt>
                <c:pt idx="608">
                  <c:v>0.75542822677925292</c:v>
                </c:pt>
                <c:pt idx="609">
                  <c:v>0.7313027744270213</c:v>
                </c:pt>
                <c:pt idx="610">
                  <c:v>0.7521109770808212</c:v>
                </c:pt>
                <c:pt idx="611">
                  <c:v>0.78588661037394525</c:v>
                </c:pt>
                <c:pt idx="612">
                  <c:v>0.75331724969843261</c:v>
                </c:pt>
                <c:pt idx="613">
                  <c:v>0.77714113389626149</c:v>
                </c:pt>
                <c:pt idx="614">
                  <c:v>0.79734620024125524</c:v>
                </c:pt>
                <c:pt idx="615">
                  <c:v>0.79975874547647829</c:v>
                </c:pt>
                <c:pt idx="616">
                  <c:v>0.85464414957780543</c:v>
                </c:pt>
                <c:pt idx="617">
                  <c:v>0.88962605548854112</c:v>
                </c:pt>
                <c:pt idx="618">
                  <c:v>0.90289505428226846</c:v>
                </c:pt>
                <c:pt idx="619">
                  <c:v>0.88027744270205144</c:v>
                </c:pt>
                <c:pt idx="620">
                  <c:v>0.8612786489746691</c:v>
                </c:pt>
                <c:pt idx="621">
                  <c:v>0.86942098914354737</c:v>
                </c:pt>
                <c:pt idx="622">
                  <c:v>0.83956574185766075</c:v>
                </c:pt>
                <c:pt idx="623">
                  <c:v>0.87092882991556198</c:v>
                </c:pt>
                <c:pt idx="624">
                  <c:v>0.87816646562123157</c:v>
                </c:pt>
                <c:pt idx="625">
                  <c:v>0.87756332931242564</c:v>
                </c:pt>
                <c:pt idx="626">
                  <c:v>0.88268998793727493</c:v>
                </c:pt>
                <c:pt idx="627">
                  <c:v>0.88721351025331852</c:v>
                </c:pt>
                <c:pt idx="628">
                  <c:v>0.95205066344994105</c:v>
                </c:pt>
                <c:pt idx="629">
                  <c:v>0.94993968636912096</c:v>
                </c:pt>
                <c:pt idx="630">
                  <c:v>0.94963811821471822</c:v>
                </c:pt>
                <c:pt idx="631">
                  <c:v>0.98673100120627444</c:v>
                </c:pt>
                <c:pt idx="632">
                  <c:v>1.0162846803377583</c:v>
                </c:pt>
                <c:pt idx="633">
                  <c:v>0.89987937273824059</c:v>
                </c:pt>
                <c:pt idx="634">
                  <c:v>0.93848009650181119</c:v>
                </c:pt>
                <c:pt idx="635">
                  <c:v>0.9541616405307618</c:v>
                </c:pt>
                <c:pt idx="636">
                  <c:v>0.96351025331725171</c:v>
                </c:pt>
                <c:pt idx="637">
                  <c:v>0.96471652593486334</c:v>
                </c:pt>
                <c:pt idx="638">
                  <c:v>0.95536791314837366</c:v>
                </c:pt>
                <c:pt idx="639">
                  <c:v>1.0747889022919201</c:v>
                </c:pt>
                <c:pt idx="640">
                  <c:v>1.1019300361881808</c:v>
                </c:pt>
                <c:pt idx="641">
                  <c:v>1.1284680337756359</c:v>
                </c:pt>
                <c:pt idx="642">
                  <c:v>1.1483715319662271</c:v>
                </c:pt>
                <c:pt idx="643">
                  <c:v>1.143848009650184</c:v>
                </c:pt>
                <c:pt idx="644">
                  <c:v>1.1040410132690019</c:v>
                </c:pt>
                <c:pt idx="645">
                  <c:v>1.0419179734620054</c:v>
                </c:pt>
                <c:pt idx="646">
                  <c:v>1.0446320868516312</c:v>
                </c:pt>
                <c:pt idx="647">
                  <c:v>1.0268395657418603</c:v>
                </c:pt>
                <c:pt idx="648">
                  <c:v>1.0461399276236456</c:v>
                </c:pt>
                <c:pt idx="649">
                  <c:v>1.0084439083232839</c:v>
                </c:pt>
                <c:pt idx="650">
                  <c:v>0.99939686369119718</c:v>
                </c:pt>
                <c:pt idx="651">
                  <c:v>0.95717732207479167</c:v>
                </c:pt>
                <c:pt idx="652">
                  <c:v>1.0093486127864928</c:v>
                </c:pt>
                <c:pt idx="653">
                  <c:v>1.006332931242464</c:v>
                </c:pt>
                <c:pt idx="654">
                  <c:v>0.99909529553679466</c:v>
                </c:pt>
                <c:pt idx="655">
                  <c:v>0.95989143546441835</c:v>
                </c:pt>
                <c:pt idx="656">
                  <c:v>0.95416164053076336</c:v>
                </c:pt>
                <c:pt idx="657">
                  <c:v>0.93305186972256049</c:v>
                </c:pt>
                <c:pt idx="658">
                  <c:v>0.92852834740651713</c:v>
                </c:pt>
                <c:pt idx="659">
                  <c:v>0.93787696019300681</c:v>
                </c:pt>
                <c:pt idx="660">
                  <c:v>0.96290711700844733</c:v>
                </c:pt>
                <c:pt idx="661">
                  <c:v>0.96019300361882132</c:v>
                </c:pt>
                <c:pt idx="662">
                  <c:v>0.95386007237636039</c:v>
                </c:pt>
                <c:pt idx="663">
                  <c:v>0.92732207478890549</c:v>
                </c:pt>
                <c:pt idx="664">
                  <c:v>0.89987937273824192</c:v>
                </c:pt>
                <c:pt idx="665">
                  <c:v>0.92460796139927925</c:v>
                </c:pt>
                <c:pt idx="666">
                  <c:v>0.92370325693607058</c:v>
                </c:pt>
                <c:pt idx="667">
                  <c:v>0.91556091676719231</c:v>
                </c:pt>
                <c:pt idx="668">
                  <c:v>0.91224366706876037</c:v>
                </c:pt>
                <c:pt idx="669">
                  <c:v>0.94119420989143854</c:v>
                </c:pt>
                <c:pt idx="670">
                  <c:v>0.88238841978287397</c:v>
                </c:pt>
                <c:pt idx="671">
                  <c:v>0.88419782870929131</c:v>
                </c:pt>
                <c:pt idx="672">
                  <c:v>0.86218335343788</c:v>
                </c:pt>
                <c:pt idx="673">
                  <c:v>0.87937273823884499</c:v>
                </c:pt>
                <c:pt idx="674">
                  <c:v>0.86821471652593796</c:v>
                </c:pt>
                <c:pt idx="675">
                  <c:v>0.85615199034982226</c:v>
                </c:pt>
                <c:pt idx="676">
                  <c:v>0.83534378769602236</c:v>
                </c:pt>
                <c:pt idx="677">
                  <c:v>0.83534378769602236</c:v>
                </c:pt>
                <c:pt idx="678">
                  <c:v>0.85464414957780743</c:v>
                </c:pt>
                <c:pt idx="679">
                  <c:v>0.89686369119421272</c:v>
                </c:pt>
                <c:pt idx="680">
                  <c:v>0.8685162846803407</c:v>
                </c:pt>
                <c:pt idx="681">
                  <c:v>0.9722557297949368</c:v>
                </c:pt>
                <c:pt idx="682">
                  <c:v>0.98793727382388741</c:v>
                </c:pt>
                <c:pt idx="683">
                  <c:v>0.97527141133896578</c:v>
                </c:pt>
                <c:pt idx="684">
                  <c:v>0.92611580217129386</c:v>
                </c:pt>
                <c:pt idx="685">
                  <c:v>0.86338962605549163</c:v>
                </c:pt>
                <c:pt idx="686">
                  <c:v>0.80759951749095582</c:v>
                </c:pt>
                <c:pt idx="687">
                  <c:v>0.80759951749095582</c:v>
                </c:pt>
                <c:pt idx="688">
                  <c:v>0.77864897466827787</c:v>
                </c:pt>
                <c:pt idx="689">
                  <c:v>0.81363088057901378</c:v>
                </c:pt>
                <c:pt idx="690">
                  <c:v>0.85343787696019602</c:v>
                </c:pt>
                <c:pt idx="691">
                  <c:v>0.82388419782871236</c:v>
                </c:pt>
                <c:pt idx="692">
                  <c:v>0.80880579010856746</c:v>
                </c:pt>
                <c:pt idx="693">
                  <c:v>0.8329312424607993</c:v>
                </c:pt>
                <c:pt idx="694">
                  <c:v>0.79372738238842278</c:v>
                </c:pt>
                <c:pt idx="695">
                  <c:v>0.77653799758745778</c:v>
                </c:pt>
                <c:pt idx="696">
                  <c:v>0.77261761158022013</c:v>
                </c:pt>
                <c:pt idx="697">
                  <c:v>0.67973462002412832</c:v>
                </c:pt>
                <c:pt idx="698">
                  <c:v>0.72376357056695118</c:v>
                </c:pt>
                <c:pt idx="699">
                  <c:v>0.72617611580217445</c:v>
                </c:pt>
                <c:pt idx="700">
                  <c:v>0.74607961399276568</c:v>
                </c:pt>
                <c:pt idx="701">
                  <c:v>0.80458383594692751</c:v>
                </c:pt>
                <c:pt idx="702">
                  <c:v>0.86519903498190964</c:v>
                </c:pt>
                <c:pt idx="703">
                  <c:v>0.91133896260555258</c:v>
                </c:pt>
                <c:pt idx="704">
                  <c:v>0.87876960193003972</c:v>
                </c:pt>
                <c:pt idx="705">
                  <c:v>0.98733413751508214</c:v>
                </c:pt>
                <c:pt idx="706">
                  <c:v>1.0467430639324524</c:v>
                </c:pt>
                <c:pt idx="707">
                  <c:v>1.0265379975874582</c:v>
                </c:pt>
                <c:pt idx="708">
                  <c:v>1.0928829915560954</c:v>
                </c:pt>
                <c:pt idx="709">
                  <c:v>1.1200241254523555</c:v>
                </c:pt>
                <c:pt idx="710">
                  <c:v>1.1622436670687608</c:v>
                </c:pt>
                <c:pt idx="711">
                  <c:v>1.1396260554885438</c:v>
                </c:pt>
                <c:pt idx="712">
                  <c:v>1.2150180940892681</c:v>
                </c:pt>
                <c:pt idx="713">
                  <c:v>1.2074788902291957</c:v>
                </c:pt>
                <c:pt idx="714">
                  <c:v>1.2104945717732249</c:v>
                </c:pt>
                <c:pt idx="715">
                  <c:v>1.2165259348612829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899-4846-A56F-A020DFEE0716}"/>
            </c:ext>
          </c:extLst>
        </c:ser>
        <c:ser>
          <c:idx val="2"/>
          <c:order val="2"/>
          <c:tx>
            <c:strRef>
              <c:f>Charts!$D$4</c:f>
              <c:strCache>
                <c:ptCount val="1"/>
                <c:pt idx="0">
                  <c:v>Isrotel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Charts!$D$5:$D$720</c:f>
              <c:numCache>
                <c:formatCode>0.0%</c:formatCode>
                <c:ptCount val="716"/>
                <c:pt idx="0">
                  <c:v>-1.1545416608707781E-2</c:v>
                </c:pt>
                <c:pt idx="1">
                  <c:v>-1.098901098901095E-2</c:v>
                </c:pt>
                <c:pt idx="2">
                  <c:v>-3.2688830157184601E-2</c:v>
                </c:pt>
                <c:pt idx="3">
                  <c:v>-2.5038252886354195E-2</c:v>
                </c:pt>
                <c:pt idx="4">
                  <c:v>-2.8933092224231571E-2</c:v>
                </c:pt>
                <c:pt idx="5">
                  <c:v>-5.5640561969676483E-3</c:v>
                </c:pt>
                <c:pt idx="6">
                  <c:v>-5.4249547920434127E-3</c:v>
                </c:pt>
                <c:pt idx="7">
                  <c:v>-1.2101822228404502E-2</c:v>
                </c:pt>
                <c:pt idx="8">
                  <c:v>-2.6568368340520232E-2</c:v>
                </c:pt>
                <c:pt idx="9">
                  <c:v>-2.4064543051884768E-2</c:v>
                </c:pt>
                <c:pt idx="10">
                  <c:v>-2.3090833217415563E-2</c:v>
                </c:pt>
                <c:pt idx="11">
                  <c:v>-1.2240923633328737E-2</c:v>
                </c:pt>
                <c:pt idx="12">
                  <c:v>-1.0710808179162701E-2</c:v>
                </c:pt>
                <c:pt idx="13">
                  <c:v>-6.5377660314370756E-3</c:v>
                </c:pt>
                <c:pt idx="14">
                  <c:v>-4.0339407428017227E-3</c:v>
                </c:pt>
                <c:pt idx="15">
                  <c:v>-4.7294477674226787E-3</c:v>
                </c:pt>
                <c:pt idx="16">
                  <c:v>8.2069828905271258E-3</c:v>
                </c:pt>
                <c:pt idx="17">
                  <c:v>2.5872861315899165E-2</c:v>
                </c:pt>
                <c:pt idx="18">
                  <c:v>2.2951731812491216E-2</c:v>
                </c:pt>
                <c:pt idx="19">
                  <c:v>3.1019613298094217E-2</c:v>
                </c:pt>
                <c:pt idx="20">
                  <c:v>2.573375991097504E-2</c:v>
                </c:pt>
                <c:pt idx="21">
                  <c:v>3.2132424537487658E-2</c:v>
                </c:pt>
                <c:pt idx="22">
                  <c:v>2.8654889414382989E-2</c:v>
                </c:pt>
                <c:pt idx="23">
                  <c:v>6.5934065934065922E-2</c:v>
                </c:pt>
                <c:pt idx="24">
                  <c:v>9.1250521630268366E-2</c:v>
                </c:pt>
                <c:pt idx="25">
                  <c:v>7.1359020726109224E-2</c:v>
                </c:pt>
                <c:pt idx="26">
                  <c:v>8.5408262623452247E-2</c:v>
                </c:pt>
                <c:pt idx="27">
                  <c:v>8.9024899151481263E-2</c:v>
                </c:pt>
                <c:pt idx="28">
                  <c:v>9.1250521630268366E-2</c:v>
                </c:pt>
                <c:pt idx="29">
                  <c:v>8.8885797746557138E-2</c:v>
                </c:pt>
                <c:pt idx="30">
                  <c:v>9.1528724440116838E-2</c:v>
                </c:pt>
                <c:pt idx="31">
                  <c:v>8.4573654193907277E-2</c:v>
                </c:pt>
                <c:pt idx="32">
                  <c:v>8.2348031715120174E-2</c:v>
                </c:pt>
                <c:pt idx="33">
                  <c:v>6.7325079983307612E-2</c:v>
                </c:pt>
                <c:pt idx="34">
                  <c:v>6.3430240645430347E-2</c:v>
                </c:pt>
                <c:pt idx="35">
                  <c:v>6.509945750452073E-2</c:v>
                </c:pt>
                <c:pt idx="36">
                  <c:v>5.7587981638614449E-2</c:v>
                </c:pt>
                <c:pt idx="37">
                  <c:v>4.771178188899694E-2</c:v>
                </c:pt>
                <c:pt idx="38">
                  <c:v>4.1591320072332572E-2</c:v>
                </c:pt>
                <c:pt idx="39">
                  <c:v>4.2982334121574484E-2</c:v>
                </c:pt>
                <c:pt idx="40">
                  <c:v>5.3554040895812838E-2</c:v>
                </c:pt>
                <c:pt idx="41">
                  <c:v>5.6753373209069258E-2</c:v>
                </c:pt>
                <c:pt idx="42">
                  <c:v>4.7850883293921065E-2</c:v>
                </c:pt>
                <c:pt idx="43">
                  <c:v>5.870079287800789E-2</c:v>
                </c:pt>
                <c:pt idx="44">
                  <c:v>6.3430240645430347E-2</c:v>
                </c:pt>
                <c:pt idx="45">
                  <c:v>5.814438725831117E-2</c:v>
                </c:pt>
                <c:pt idx="46">
                  <c:v>5.8283488663235294E-2</c:v>
                </c:pt>
                <c:pt idx="47">
                  <c:v>5.6057866184448191E-2</c:v>
                </c:pt>
                <c:pt idx="48">
                  <c:v>6.2873835025733404E-2</c:v>
                </c:pt>
                <c:pt idx="49">
                  <c:v>2.712477396021673E-2</c:v>
                </c:pt>
                <c:pt idx="50">
                  <c:v>2.712477396021673E-2</c:v>
                </c:pt>
                <c:pt idx="51">
                  <c:v>9.3197941299203446E-3</c:v>
                </c:pt>
                <c:pt idx="52">
                  <c:v>-2.7820280984841572E-3</c:v>
                </c:pt>
                <c:pt idx="53">
                  <c:v>-1.0710808179162923E-2</c:v>
                </c:pt>
                <c:pt idx="54">
                  <c:v>1.0849909584086381E-2</c:v>
                </c:pt>
                <c:pt idx="55">
                  <c:v>4.6181666434830682E-2</c:v>
                </c:pt>
                <c:pt idx="56">
                  <c:v>5.0911114202253138E-2</c:v>
                </c:pt>
                <c:pt idx="57">
                  <c:v>6.3986646265126845E-2</c:v>
                </c:pt>
                <c:pt idx="58">
                  <c:v>6.3986646265126845E-2</c:v>
                </c:pt>
                <c:pt idx="59">
                  <c:v>6.3430240645430125E-2</c:v>
                </c:pt>
                <c:pt idx="60">
                  <c:v>6.3430240645430125E-2</c:v>
                </c:pt>
                <c:pt idx="61">
                  <c:v>6.2456530810960809E-2</c:v>
                </c:pt>
                <c:pt idx="62">
                  <c:v>5.953540130755286E-2</c:v>
                </c:pt>
                <c:pt idx="63">
                  <c:v>5.5918764779523844E-2</c:v>
                </c:pt>
                <c:pt idx="64">
                  <c:v>7.5532062873834516E-2</c:v>
                </c:pt>
                <c:pt idx="65">
                  <c:v>7.0663513701487934E-2</c:v>
                </c:pt>
                <c:pt idx="66">
                  <c:v>5.2997635276115895E-2</c:v>
                </c:pt>
                <c:pt idx="67">
                  <c:v>-4.5903463624986651E-3</c:v>
                </c:pt>
                <c:pt idx="68">
                  <c:v>-2.8237585199610948E-2</c:v>
                </c:pt>
                <c:pt idx="69">
                  <c:v>-2.8933092224231904E-2</c:v>
                </c:pt>
                <c:pt idx="70">
                  <c:v>2.9211295034075047E-3</c:v>
                </c:pt>
                <c:pt idx="71">
                  <c:v>-6.9550702462140013E-4</c:v>
                </c:pt>
                <c:pt idx="72">
                  <c:v>5.0076505772702617E-3</c:v>
                </c:pt>
                <c:pt idx="73">
                  <c:v>-6.2595632215890484E-3</c:v>
                </c:pt>
                <c:pt idx="74">
                  <c:v>-3.3523438586730236E-2</c:v>
                </c:pt>
                <c:pt idx="75">
                  <c:v>-2.7263875365141632E-2</c:v>
                </c:pt>
                <c:pt idx="76">
                  <c:v>-1.488385032688877E-2</c:v>
                </c:pt>
                <c:pt idx="77">
                  <c:v>-1.516205313673713E-2</c:v>
                </c:pt>
                <c:pt idx="78">
                  <c:v>-3.950479899847037E-2</c:v>
                </c:pt>
                <c:pt idx="79">
                  <c:v>-3.2967032967033516E-2</c:v>
                </c:pt>
                <c:pt idx="80">
                  <c:v>-4.0895813047712282E-2</c:v>
                </c:pt>
                <c:pt idx="81">
                  <c:v>-4.0895813047712282E-2</c:v>
                </c:pt>
                <c:pt idx="82">
                  <c:v>-4.1591320072333238E-2</c:v>
                </c:pt>
                <c:pt idx="83">
                  <c:v>-4.3816942551120341E-2</c:v>
                </c:pt>
                <c:pt idx="84">
                  <c:v>-4.2565029906802554E-2</c:v>
                </c:pt>
                <c:pt idx="85">
                  <c:v>-3.7418277924607501E-2</c:v>
                </c:pt>
                <c:pt idx="86">
                  <c:v>-0.1009876199749622</c:v>
                </c:pt>
                <c:pt idx="87">
                  <c:v>-9.8761997496175202E-2</c:v>
                </c:pt>
                <c:pt idx="88">
                  <c:v>-5.1050215607178151E-2</c:v>
                </c:pt>
                <c:pt idx="89">
                  <c:v>-9.0137710390875481E-2</c:v>
                </c:pt>
                <c:pt idx="90">
                  <c:v>-0.10015301154541711</c:v>
                </c:pt>
                <c:pt idx="91">
                  <c:v>-0.11865349840033435</c:v>
                </c:pt>
                <c:pt idx="92">
                  <c:v>-0.12060091806927298</c:v>
                </c:pt>
                <c:pt idx="93">
                  <c:v>-0.1054388649325364</c:v>
                </c:pt>
                <c:pt idx="94">
                  <c:v>-0.10126582278481067</c:v>
                </c:pt>
                <c:pt idx="95">
                  <c:v>-8.1652524690499884E-2</c:v>
                </c:pt>
                <c:pt idx="96">
                  <c:v>-6.8994296842398661E-2</c:v>
                </c:pt>
                <c:pt idx="97">
                  <c:v>-7.0663513701488934E-2</c:v>
                </c:pt>
                <c:pt idx="98">
                  <c:v>-7.2332730560579206E-2</c:v>
                </c:pt>
                <c:pt idx="99">
                  <c:v>-9.3476144109056025E-2</c:v>
                </c:pt>
                <c:pt idx="100">
                  <c:v>-0.10794269022117176</c:v>
                </c:pt>
                <c:pt idx="101">
                  <c:v>-0.10808179162609599</c:v>
                </c:pt>
                <c:pt idx="102">
                  <c:v>-9.9040200306023674E-2</c:v>
                </c:pt>
                <c:pt idx="103">
                  <c:v>-9.1806927249965753E-2</c:v>
                </c:pt>
                <c:pt idx="104">
                  <c:v>-6.9411601057171257E-2</c:v>
                </c:pt>
                <c:pt idx="105">
                  <c:v>-6.1621922381416616E-2</c:v>
                </c:pt>
                <c:pt idx="106">
                  <c:v>-5.1884824036723343E-2</c:v>
                </c:pt>
                <c:pt idx="107">
                  <c:v>-6.2873835025734404E-2</c:v>
                </c:pt>
                <c:pt idx="108">
                  <c:v>-4.2982334121575372E-2</c:v>
                </c:pt>
                <c:pt idx="109">
                  <c:v>-4.1034914452636628E-2</c:v>
                </c:pt>
                <c:pt idx="110">
                  <c:v>-4.965920155793635E-2</c:v>
                </c:pt>
                <c:pt idx="111">
                  <c:v>-5.7031576018918395E-2</c:v>
                </c:pt>
                <c:pt idx="112">
                  <c:v>-7.831409097231945E-2</c:v>
                </c:pt>
                <c:pt idx="113">
                  <c:v>-7.831409097231945E-2</c:v>
                </c:pt>
                <c:pt idx="114">
                  <c:v>-0.10029211295034146</c:v>
                </c:pt>
                <c:pt idx="115">
                  <c:v>-9.3476144109056136E-2</c:v>
                </c:pt>
                <c:pt idx="116">
                  <c:v>-9.625817220753996E-2</c:v>
                </c:pt>
                <c:pt idx="117">
                  <c:v>-9.6536375017388321E-2</c:v>
                </c:pt>
                <c:pt idx="118">
                  <c:v>-8.8746696341633791E-2</c:v>
                </c:pt>
                <c:pt idx="119">
                  <c:v>-7.8592293782167921E-2</c:v>
                </c:pt>
                <c:pt idx="120">
                  <c:v>-6.5516761719294103E-2</c:v>
                </c:pt>
                <c:pt idx="121">
                  <c:v>-5.6196967589373426E-2</c:v>
                </c:pt>
                <c:pt idx="122">
                  <c:v>-7.2471831965503553E-2</c:v>
                </c:pt>
                <c:pt idx="123">
                  <c:v>-0.10724718319655102</c:v>
                </c:pt>
                <c:pt idx="124">
                  <c:v>-7.052441229656492E-2</c:v>
                </c:pt>
                <c:pt idx="125">
                  <c:v>-9.5840867992767476E-2</c:v>
                </c:pt>
                <c:pt idx="126">
                  <c:v>-9.0555014605648299E-2</c:v>
                </c:pt>
                <c:pt idx="127">
                  <c:v>-7.2193629155655192E-2</c:v>
                </c:pt>
                <c:pt idx="128">
                  <c:v>-6.273473362081039E-2</c:v>
                </c:pt>
                <c:pt idx="129">
                  <c:v>-5.2580331061344521E-2</c:v>
                </c:pt>
                <c:pt idx="130">
                  <c:v>-3.3106134371957974E-2</c:v>
                </c:pt>
                <c:pt idx="131">
                  <c:v>-1.0989010989011838E-2</c:v>
                </c:pt>
                <c:pt idx="132">
                  <c:v>-2.1560717763250303E-2</c:v>
                </c:pt>
                <c:pt idx="133">
                  <c:v>-1.8361385449993883E-2</c:v>
                </c:pt>
                <c:pt idx="134">
                  <c:v>-1.265822784810211E-2</c:v>
                </c:pt>
                <c:pt idx="135">
                  <c:v>-1.6692168590911605E-3</c:v>
                </c:pt>
                <c:pt idx="136">
                  <c:v>-7.9287800806796538E-3</c:v>
                </c:pt>
                <c:pt idx="137">
                  <c:v>-1.1267213798860198E-2</c:v>
                </c:pt>
                <c:pt idx="138">
                  <c:v>-1.8083182640145412E-2</c:v>
                </c:pt>
                <c:pt idx="139">
                  <c:v>-2.2951731812491993E-2</c:v>
                </c:pt>
                <c:pt idx="140">
                  <c:v>-3.3523438586730459E-2</c:v>
                </c:pt>
                <c:pt idx="141">
                  <c:v>-2.9072193629156362E-2</c:v>
                </c:pt>
                <c:pt idx="142">
                  <c:v>-2.8793990819308002E-2</c:v>
                </c:pt>
                <c:pt idx="143">
                  <c:v>-5.4110446515510446E-2</c:v>
                </c:pt>
                <c:pt idx="144">
                  <c:v>-5.4110446515510446E-2</c:v>
                </c:pt>
                <c:pt idx="145">
                  <c:v>-2.795938238976281E-2</c:v>
                </c:pt>
                <c:pt idx="146">
                  <c:v>-2.6290165530672427E-2</c:v>
                </c:pt>
                <c:pt idx="147">
                  <c:v>-1.808318264015063E-3</c:v>
                </c:pt>
                <c:pt idx="148">
                  <c:v>1.9195993879537632E-2</c:v>
                </c:pt>
                <c:pt idx="149">
                  <c:v>1.3631937682569983E-2</c:v>
                </c:pt>
                <c:pt idx="150">
                  <c:v>-5.5640561969682034E-3</c:v>
                </c:pt>
                <c:pt idx="151">
                  <c:v>-7.7896786757551961E-3</c:v>
                </c:pt>
                <c:pt idx="152">
                  <c:v>-1.7665878425372594E-2</c:v>
                </c:pt>
                <c:pt idx="153">
                  <c:v>-1.9056892474614506E-2</c:v>
                </c:pt>
                <c:pt idx="154">
                  <c:v>-2.0169703714008058E-2</c:v>
                </c:pt>
                <c:pt idx="155">
                  <c:v>-2.5177354291278875E-2</c:v>
                </c:pt>
                <c:pt idx="156">
                  <c:v>-2.6429266935596551E-2</c:v>
                </c:pt>
                <c:pt idx="157">
                  <c:v>-3.1854221727639964E-2</c:v>
                </c:pt>
                <c:pt idx="158">
                  <c:v>-2.9211295034080376E-2</c:v>
                </c:pt>
                <c:pt idx="159">
                  <c:v>-2.879399081930778E-2</c:v>
                </c:pt>
                <c:pt idx="160">
                  <c:v>-2.8654889414383544E-2</c:v>
                </c:pt>
                <c:pt idx="161">
                  <c:v>-4.6459869244679819E-2</c:v>
                </c:pt>
                <c:pt idx="162">
                  <c:v>-3.5470858255668758E-2</c:v>
                </c:pt>
                <c:pt idx="163">
                  <c:v>-2.8098483794686713E-2</c:v>
                </c:pt>
                <c:pt idx="164">
                  <c:v>-3.1019613298094773E-2</c:v>
                </c:pt>
                <c:pt idx="165">
                  <c:v>-5.4666852135207056E-2</c:v>
                </c:pt>
                <c:pt idx="166">
                  <c:v>-4.353873974127187E-2</c:v>
                </c:pt>
                <c:pt idx="167">
                  <c:v>-2.93503964390045E-2</c:v>
                </c:pt>
                <c:pt idx="168">
                  <c:v>-3.686187230491067E-2</c:v>
                </c:pt>
                <c:pt idx="169">
                  <c:v>-2.5872861315899609E-2</c:v>
                </c:pt>
                <c:pt idx="170">
                  <c:v>-1.3075532062874262E-2</c:v>
                </c:pt>
                <c:pt idx="171">
                  <c:v>-1.1962720823480821E-2</c:v>
                </c:pt>
                <c:pt idx="172">
                  <c:v>-5.8422590068164526E-3</c:v>
                </c:pt>
                <c:pt idx="173">
                  <c:v>-5.2858533871196212E-3</c:v>
                </c:pt>
                <c:pt idx="174">
                  <c:v>-3.6166365280292379E-3</c:v>
                </c:pt>
                <c:pt idx="175">
                  <c:v>1.7248574210599221E-2</c:v>
                </c:pt>
                <c:pt idx="176">
                  <c:v>5.0076505772704838E-3</c:v>
                </c:pt>
                <c:pt idx="177">
                  <c:v>-1.2519126443180095E-3</c:v>
                </c:pt>
                <c:pt idx="178">
                  <c:v>-1.8083182640147299E-3</c:v>
                </c:pt>
                <c:pt idx="179">
                  <c:v>-4.8685491723469143E-3</c:v>
                </c:pt>
                <c:pt idx="180">
                  <c:v>-4.7294477674226787E-3</c:v>
                </c:pt>
                <c:pt idx="181">
                  <c:v>1.0154402559465536E-2</c:v>
                </c:pt>
                <c:pt idx="182">
                  <c:v>3.700097370983424E-2</c:v>
                </c:pt>
                <c:pt idx="183">
                  <c:v>3.7835582139379431E-2</c:v>
                </c:pt>
                <c:pt idx="184">
                  <c:v>3.5053554040895607E-2</c:v>
                </c:pt>
                <c:pt idx="185">
                  <c:v>2.8933092224231238E-2</c:v>
                </c:pt>
                <c:pt idx="186">
                  <c:v>4.3399638336346857E-2</c:v>
                </c:pt>
                <c:pt idx="187">
                  <c:v>5.4666852135206279E-2</c:v>
                </c:pt>
                <c:pt idx="188">
                  <c:v>0.15106412574766992</c:v>
                </c:pt>
                <c:pt idx="189">
                  <c:v>0.20962581722075391</c:v>
                </c:pt>
                <c:pt idx="190">
                  <c:v>0.17568507441925152</c:v>
                </c:pt>
                <c:pt idx="191">
                  <c:v>0.20336625399916519</c:v>
                </c:pt>
                <c:pt idx="192">
                  <c:v>0.22423146473779365</c:v>
                </c:pt>
                <c:pt idx="193">
                  <c:v>0.21602448184726653</c:v>
                </c:pt>
                <c:pt idx="194">
                  <c:v>0.20364445680901366</c:v>
                </c:pt>
                <c:pt idx="195">
                  <c:v>0.20072332730560571</c:v>
                </c:pt>
                <c:pt idx="196">
                  <c:v>0.1997496174711364</c:v>
                </c:pt>
                <c:pt idx="197">
                  <c:v>0.19209904020030599</c:v>
                </c:pt>
                <c:pt idx="198">
                  <c:v>0.18124913061621917</c:v>
                </c:pt>
                <c:pt idx="199">
                  <c:v>0.17930171094728053</c:v>
                </c:pt>
                <c:pt idx="200">
                  <c:v>0.17109472805675341</c:v>
                </c:pt>
                <c:pt idx="201">
                  <c:v>0.17123382946167753</c:v>
                </c:pt>
                <c:pt idx="202">
                  <c:v>0.19042982334121583</c:v>
                </c:pt>
                <c:pt idx="203">
                  <c:v>0.17401585756016136</c:v>
                </c:pt>
                <c:pt idx="204">
                  <c:v>0.1862567811934901</c:v>
                </c:pt>
                <c:pt idx="205">
                  <c:v>0.18611767978856597</c:v>
                </c:pt>
                <c:pt idx="206">
                  <c:v>0.1884824036722772</c:v>
                </c:pt>
                <c:pt idx="207">
                  <c:v>0.18597857838364185</c:v>
                </c:pt>
                <c:pt idx="208">
                  <c:v>0.21978021978021989</c:v>
                </c:pt>
                <c:pt idx="209">
                  <c:v>0.23076923076923084</c:v>
                </c:pt>
                <c:pt idx="210">
                  <c:v>0.20712199193211855</c:v>
                </c:pt>
                <c:pt idx="211">
                  <c:v>0.19321185143969966</c:v>
                </c:pt>
                <c:pt idx="212">
                  <c:v>0.19015162053136736</c:v>
                </c:pt>
                <c:pt idx="213">
                  <c:v>0.20141883433022678</c:v>
                </c:pt>
                <c:pt idx="214">
                  <c:v>0.2100431214355265</c:v>
                </c:pt>
                <c:pt idx="215">
                  <c:v>0.23591598275142567</c:v>
                </c:pt>
                <c:pt idx="216">
                  <c:v>0.23605508415635001</c:v>
                </c:pt>
                <c:pt idx="217">
                  <c:v>0.232438447628321</c:v>
                </c:pt>
                <c:pt idx="218">
                  <c:v>0.22409236333286953</c:v>
                </c:pt>
                <c:pt idx="219">
                  <c:v>0.21950201697037119</c:v>
                </c:pt>
                <c:pt idx="220">
                  <c:v>0.21254694672416163</c:v>
                </c:pt>
                <c:pt idx="221">
                  <c:v>0.19613298094310716</c:v>
                </c:pt>
                <c:pt idx="222">
                  <c:v>0.19613298094310716</c:v>
                </c:pt>
                <c:pt idx="223">
                  <c:v>0.18681318681318659</c:v>
                </c:pt>
                <c:pt idx="224">
                  <c:v>0.18152733342606742</c:v>
                </c:pt>
                <c:pt idx="225">
                  <c:v>0.17540687160940305</c:v>
                </c:pt>
                <c:pt idx="226">
                  <c:v>0.20420086242871038</c:v>
                </c:pt>
                <c:pt idx="227">
                  <c:v>0.20433996383363473</c:v>
                </c:pt>
                <c:pt idx="228">
                  <c:v>0.18500486854917231</c:v>
                </c:pt>
                <c:pt idx="229">
                  <c:v>0.1505077201279732</c:v>
                </c:pt>
                <c:pt idx="230">
                  <c:v>0.14522186674085402</c:v>
                </c:pt>
                <c:pt idx="231">
                  <c:v>0.1178188899707886</c:v>
                </c:pt>
                <c:pt idx="232">
                  <c:v>0.12310474335790778</c:v>
                </c:pt>
                <c:pt idx="233">
                  <c:v>0.14883850326888282</c:v>
                </c:pt>
                <c:pt idx="234">
                  <c:v>0.14953401029350366</c:v>
                </c:pt>
                <c:pt idx="235">
                  <c:v>0.13451105856169132</c:v>
                </c:pt>
                <c:pt idx="236">
                  <c:v>0.12616497426624007</c:v>
                </c:pt>
                <c:pt idx="237">
                  <c:v>0.11128112393935186</c:v>
                </c:pt>
                <c:pt idx="238">
                  <c:v>9.0415913200723397E-2</c:v>
                </c:pt>
                <c:pt idx="239">
                  <c:v>0.10641257476700505</c:v>
                </c:pt>
                <c:pt idx="240">
                  <c:v>0.11267213798859355</c:v>
                </c:pt>
                <c:pt idx="241">
                  <c:v>0.12087912087912067</c:v>
                </c:pt>
                <c:pt idx="242">
                  <c:v>0.11573236889692562</c:v>
                </c:pt>
                <c:pt idx="243">
                  <c:v>0.10822089303101934</c:v>
                </c:pt>
                <c:pt idx="244">
                  <c:v>9.0555014605647299E-2</c:v>
                </c:pt>
                <c:pt idx="245">
                  <c:v>0.11698428154124341</c:v>
                </c:pt>
                <c:pt idx="246">
                  <c:v>0.11364584782306286</c:v>
                </c:pt>
                <c:pt idx="247">
                  <c:v>0.14077062178327981</c:v>
                </c:pt>
                <c:pt idx="248">
                  <c:v>0.13659757963555408</c:v>
                </c:pt>
                <c:pt idx="249">
                  <c:v>0.14633467798024724</c:v>
                </c:pt>
                <c:pt idx="250">
                  <c:v>0.14508276533592968</c:v>
                </c:pt>
                <c:pt idx="251">
                  <c:v>0.12213103352343846</c:v>
                </c:pt>
                <c:pt idx="252">
                  <c:v>8.2208930310196049E-2</c:v>
                </c:pt>
                <c:pt idx="253">
                  <c:v>8.0539713451105888E-2</c:v>
                </c:pt>
                <c:pt idx="254">
                  <c:v>9.3893448323828066E-2</c:v>
                </c:pt>
                <c:pt idx="255">
                  <c:v>9.3893448323828066E-2</c:v>
                </c:pt>
                <c:pt idx="256">
                  <c:v>6.1065516761719341E-2</c:v>
                </c:pt>
                <c:pt idx="257">
                  <c:v>6.3012936430657973E-2</c:v>
                </c:pt>
                <c:pt idx="258">
                  <c:v>5.9674502712477429E-2</c:v>
                </c:pt>
                <c:pt idx="259">
                  <c:v>5.8561691473083988E-2</c:v>
                </c:pt>
                <c:pt idx="260">
                  <c:v>5.6614271804145355E-2</c:v>
                </c:pt>
                <c:pt idx="261">
                  <c:v>5.0772012797329458E-2</c:v>
                </c:pt>
                <c:pt idx="262">
                  <c:v>6.2178328001113004E-2</c:v>
                </c:pt>
                <c:pt idx="263">
                  <c:v>6.9133398247322342E-2</c:v>
                </c:pt>
                <c:pt idx="264">
                  <c:v>8.1791626095423675E-2</c:v>
                </c:pt>
                <c:pt idx="265">
                  <c:v>0.1059952705522329</c:v>
                </c:pt>
                <c:pt idx="266">
                  <c:v>0.13381555153707092</c:v>
                </c:pt>
                <c:pt idx="267">
                  <c:v>0.11253303658366987</c:v>
                </c:pt>
                <c:pt idx="268">
                  <c:v>0.11044651550980711</c:v>
                </c:pt>
                <c:pt idx="269">
                  <c:v>0.1116984281541249</c:v>
                </c:pt>
                <c:pt idx="270">
                  <c:v>0.1439699540965369</c:v>
                </c:pt>
                <c:pt idx="271">
                  <c:v>0.16761719293364918</c:v>
                </c:pt>
                <c:pt idx="272">
                  <c:v>0.15440255946585113</c:v>
                </c:pt>
                <c:pt idx="273">
                  <c:v>0.15328974822645769</c:v>
                </c:pt>
                <c:pt idx="274">
                  <c:v>0.15301154541660922</c:v>
                </c:pt>
                <c:pt idx="275">
                  <c:v>0.16845180136319438</c:v>
                </c:pt>
                <c:pt idx="276">
                  <c:v>0.16233133954653001</c:v>
                </c:pt>
                <c:pt idx="277">
                  <c:v>0.17540687160940394</c:v>
                </c:pt>
                <c:pt idx="278">
                  <c:v>0.15968841285297053</c:v>
                </c:pt>
                <c:pt idx="279">
                  <c:v>0.16288774516622695</c:v>
                </c:pt>
                <c:pt idx="280">
                  <c:v>0.15092502434274668</c:v>
                </c:pt>
                <c:pt idx="281">
                  <c:v>0.13659757963555519</c:v>
                </c:pt>
                <c:pt idx="282">
                  <c:v>0.14063152037835658</c:v>
                </c:pt>
                <c:pt idx="283">
                  <c:v>0.14369175128668865</c:v>
                </c:pt>
                <c:pt idx="284">
                  <c:v>0.14369175128668865</c:v>
                </c:pt>
                <c:pt idx="285">
                  <c:v>0.13937960773403879</c:v>
                </c:pt>
                <c:pt idx="286">
                  <c:v>0.13186813186813251</c:v>
                </c:pt>
                <c:pt idx="287">
                  <c:v>0.11684518013631995</c:v>
                </c:pt>
                <c:pt idx="288">
                  <c:v>0.10196132980943173</c:v>
                </c:pt>
                <c:pt idx="289">
                  <c:v>0.13089442203366319</c:v>
                </c:pt>
                <c:pt idx="290">
                  <c:v>4.4651550980665533E-2</c:v>
                </c:pt>
                <c:pt idx="291">
                  <c:v>4.53470580052866E-2</c:v>
                </c:pt>
                <c:pt idx="292">
                  <c:v>2.795938238976281E-2</c:v>
                </c:pt>
                <c:pt idx="293">
                  <c:v>2.5038252886360191E-3</c:v>
                </c:pt>
                <c:pt idx="294">
                  <c:v>1.4605647517040632E-2</c:v>
                </c:pt>
                <c:pt idx="295">
                  <c:v>2.0865210738629125E-2</c:v>
                </c:pt>
                <c:pt idx="296">
                  <c:v>5.9813604117406882E-3</c:v>
                </c:pt>
                <c:pt idx="297">
                  <c:v>-2.156071776324886E-2</c:v>
                </c:pt>
                <c:pt idx="298">
                  <c:v>1.0154402559466424E-2</c:v>
                </c:pt>
                <c:pt idx="299">
                  <c:v>4.4790652385589658E-2</c:v>
                </c:pt>
                <c:pt idx="300">
                  <c:v>5.6892474613994048E-2</c:v>
                </c:pt>
                <c:pt idx="301">
                  <c:v>3.0602309083322066E-2</c:v>
                </c:pt>
                <c:pt idx="302">
                  <c:v>9.0415913200727616E-3</c:v>
                </c:pt>
                <c:pt idx="303">
                  <c:v>6.8159688412856578E-3</c:v>
                </c:pt>
                <c:pt idx="304">
                  <c:v>7.5114758659067249E-3</c:v>
                </c:pt>
                <c:pt idx="305">
                  <c:v>2.156071776324997E-2</c:v>
                </c:pt>
                <c:pt idx="306">
                  <c:v>4.1730421477257584E-2</c:v>
                </c:pt>
                <c:pt idx="307">
                  <c:v>1.9056892474614617E-2</c:v>
                </c:pt>
                <c:pt idx="308">
                  <c:v>5.717067742384252E-2</c:v>
                </c:pt>
                <c:pt idx="309">
                  <c:v>5.717067742384252E-2</c:v>
                </c:pt>
                <c:pt idx="310">
                  <c:v>4.0200306023091326E-2</c:v>
                </c:pt>
                <c:pt idx="311">
                  <c:v>5.2441229656420063E-2</c:v>
                </c:pt>
                <c:pt idx="312">
                  <c:v>5.6892474613994048E-2</c:v>
                </c:pt>
                <c:pt idx="313">
                  <c:v>5.0493809987481431E-2</c:v>
                </c:pt>
                <c:pt idx="314">
                  <c:v>5.6892474613994048E-2</c:v>
                </c:pt>
                <c:pt idx="315">
                  <c:v>2.6568368340520676E-2</c:v>
                </c:pt>
                <c:pt idx="316">
                  <c:v>1.9335095284462867E-2</c:v>
                </c:pt>
                <c:pt idx="317">
                  <c:v>1.6692168590903167E-2</c:v>
                </c:pt>
                <c:pt idx="318">
                  <c:v>5.0076505772711499E-3</c:v>
                </c:pt>
                <c:pt idx="319">
                  <c:v>5.536235915982779E-2</c:v>
                </c:pt>
                <c:pt idx="320">
                  <c:v>4.9241897343163421E-2</c:v>
                </c:pt>
                <c:pt idx="321">
                  <c:v>1.2101822228404835E-2</c:v>
                </c:pt>
                <c:pt idx="322">
                  <c:v>-1.3910140492390255E-4</c:v>
                </c:pt>
                <c:pt idx="323">
                  <c:v>5.0076505772711499E-3</c:v>
                </c:pt>
                <c:pt idx="324">
                  <c:v>-1.0571706774238021E-2</c:v>
                </c:pt>
                <c:pt idx="325">
                  <c:v>-1.0571706774238021E-2</c:v>
                </c:pt>
                <c:pt idx="326">
                  <c:v>-2.9350396439003612E-2</c:v>
                </c:pt>
                <c:pt idx="327">
                  <c:v>-2.5594658506050472E-2</c:v>
                </c:pt>
                <c:pt idx="328">
                  <c:v>2.6429266935599216E-3</c:v>
                </c:pt>
                <c:pt idx="329">
                  <c:v>1.5579357351509504E-2</c:v>
                </c:pt>
                <c:pt idx="330">
                  <c:v>2.7402976770065646E-2</c:v>
                </c:pt>
                <c:pt idx="331">
                  <c:v>3.6861872304910559E-2</c:v>
                </c:pt>
                <c:pt idx="332">
                  <c:v>4.0061204618166979E-2</c:v>
                </c:pt>
                <c:pt idx="333">
                  <c:v>1.279732925302568E-2</c:v>
                </c:pt>
                <c:pt idx="334">
                  <c:v>2.2256224787870593E-2</c:v>
                </c:pt>
                <c:pt idx="335">
                  <c:v>1.3214633467798276E-2</c:v>
                </c:pt>
                <c:pt idx="336">
                  <c:v>-6.9550702462062297E-4</c:v>
                </c:pt>
                <c:pt idx="337">
                  <c:v>-8.2069828905269038E-3</c:v>
                </c:pt>
                <c:pt idx="338">
                  <c:v>9.0415913200725395E-3</c:v>
                </c:pt>
                <c:pt idx="339">
                  <c:v>9.7370983446936066E-3</c:v>
                </c:pt>
                <c:pt idx="340">
                  <c:v>-7.9287800806785436E-3</c:v>
                </c:pt>
                <c:pt idx="341">
                  <c:v>1.0571706774238576E-2</c:v>
                </c:pt>
                <c:pt idx="342">
                  <c:v>1.0571706774238576E-2</c:v>
                </c:pt>
                <c:pt idx="343">
                  <c:v>4.3121435526500829E-3</c:v>
                </c:pt>
                <c:pt idx="344">
                  <c:v>2.3369036027264034E-2</c:v>
                </c:pt>
                <c:pt idx="345">
                  <c:v>2.3369036027264034E-2</c:v>
                </c:pt>
                <c:pt idx="346">
                  <c:v>3.3245235776881543E-2</c:v>
                </c:pt>
                <c:pt idx="347">
                  <c:v>4.6459869244679597E-2</c:v>
                </c:pt>
                <c:pt idx="348">
                  <c:v>5.3971345110585878E-2</c:v>
                </c:pt>
                <c:pt idx="349">
                  <c:v>4.3816942551120119E-2</c:v>
                </c:pt>
                <c:pt idx="350">
                  <c:v>2.4342745861733572E-2</c:v>
                </c:pt>
                <c:pt idx="351">
                  <c:v>-2.2256224787866596E-3</c:v>
                </c:pt>
                <c:pt idx="352">
                  <c:v>-1.8083182640140638E-3</c:v>
                </c:pt>
                <c:pt idx="353">
                  <c:v>-1.2797329253025014E-2</c:v>
                </c:pt>
                <c:pt idx="354">
                  <c:v>5.1467519821950747E-2</c:v>
                </c:pt>
                <c:pt idx="355">
                  <c:v>4.7711781888997606E-2</c:v>
                </c:pt>
                <c:pt idx="356">
                  <c:v>9.8205591876478371E-2</c:v>
                </c:pt>
                <c:pt idx="357">
                  <c:v>0.1116984281541249</c:v>
                </c:pt>
                <c:pt idx="358">
                  <c:v>0.11893170121018271</c:v>
                </c:pt>
                <c:pt idx="359">
                  <c:v>0.12074001947419699</c:v>
                </c:pt>
                <c:pt idx="360">
                  <c:v>0.12254833773821128</c:v>
                </c:pt>
                <c:pt idx="361">
                  <c:v>0.13145082765335947</c:v>
                </c:pt>
                <c:pt idx="362">
                  <c:v>0.13506746418138849</c:v>
                </c:pt>
                <c:pt idx="363">
                  <c:v>0.13047711781889015</c:v>
                </c:pt>
                <c:pt idx="364">
                  <c:v>0.12672137988593701</c:v>
                </c:pt>
                <c:pt idx="365">
                  <c:v>0.14897760467380738</c:v>
                </c:pt>
                <c:pt idx="366">
                  <c:v>0.16372235359577147</c:v>
                </c:pt>
                <c:pt idx="367">
                  <c:v>0.20322715259424129</c:v>
                </c:pt>
                <c:pt idx="368">
                  <c:v>0.19682848796772845</c:v>
                </c:pt>
                <c:pt idx="369">
                  <c:v>0.17791069689803862</c:v>
                </c:pt>
                <c:pt idx="370">
                  <c:v>0.15718458756433429</c:v>
                </c:pt>
                <c:pt idx="371">
                  <c:v>0.18931701210182217</c:v>
                </c:pt>
                <c:pt idx="372">
                  <c:v>0.18194463764084001</c:v>
                </c:pt>
                <c:pt idx="373">
                  <c:v>0.16372235359577125</c:v>
                </c:pt>
                <c:pt idx="374">
                  <c:v>0.17540687160940305</c:v>
                </c:pt>
                <c:pt idx="375">
                  <c:v>0.20990402003060193</c:v>
                </c:pt>
                <c:pt idx="376">
                  <c:v>0.2079566003616633</c:v>
                </c:pt>
                <c:pt idx="377">
                  <c:v>0.19627208234803128</c:v>
                </c:pt>
                <c:pt idx="378">
                  <c:v>0.18180553623591544</c:v>
                </c:pt>
                <c:pt idx="379">
                  <c:v>0.16873000417304151</c:v>
                </c:pt>
                <c:pt idx="380">
                  <c:v>0.20169703714007436</c:v>
                </c:pt>
                <c:pt idx="381">
                  <c:v>0.22186674085408198</c:v>
                </c:pt>
                <c:pt idx="382">
                  <c:v>0.21950201697037075</c:v>
                </c:pt>
                <c:pt idx="383">
                  <c:v>0.2143552649881757</c:v>
                </c:pt>
                <c:pt idx="384">
                  <c:v>0.21324245374878226</c:v>
                </c:pt>
                <c:pt idx="385">
                  <c:v>0.19849770482681817</c:v>
                </c:pt>
                <c:pt idx="386">
                  <c:v>0.17818889970788643</c:v>
                </c:pt>
                <c:pt idx="387">
                  <c:v>0.14967311169842756</c:v>
                </c:pt>
                <c:pt idx="388">
                  <c:v>0.19488106829878915</c:v>
                </c:pt>
                <c:pt idx="389">
                  <c:v>0.18514396995409577</c:v>
                </c:pt>
                <c:pt idx="390">
                  <c:v>0.18097092780637003</c:v>
                </c:pt>
                <c:pt idx="391">
                  <c:v>0.19168173598553251</c:v>
                </c:pt>
                <c:pt idx="392">
                  <c:v>0.1894561135067454</c:v>
                </c:pt>
                <c:pt idx="393">
                  <c:v>0.16553067185978487</c:v>
                </c:pt>
                <c:pt idx="394">
                  <c:v>0.19613298094310649</c:v>
                </c:pt>
                <c:pt idx="395">
                  <c:v>0.18709138962303418</c:v>
                </c:pt>
                <c:pt idx="396">
                  <c:v>0.17081652524690405</c:v>
                </c:pt>
                <c:pt idx="397">
                  <c:v>0.14744748921964024</c:v>
                </c:pt>
                <c:pt idx="398">
                  <c:v>0.13005981360411645</c:v>
                </c:pt>
                <c:pt idx="399">
                  <c:v>0.12825149534010194</c:v>
                </c:pt>
                <c:pt idx="400">
                  <c:v>0.13924050632911289</c:v>
                </c:pt>
                <c:pt idx="401">
                  <c:v>0.14480456252608054</c:v>
                </c:pt>
                <c:pt idx="402">
                  <c:v>0.18027542078174874</c:v>
                </c:pt>
                <c:pt idx="403">
                  <c:v>0.18639588259841311</c:v>
                </c:pt>
                <c:pt idx="404">
                  <c:v>0.21713729308665908</c:v>
                </c:pt>
                <c:pt idx="405">
                  <c:v>0.20837390457643523</c:v>
                </c:pt>
                <c:pt idx="406">
                  <c:v>0.20364445680901277</c:v>
                </c:pt>
                <c:pt idx="407">
                  <c:v>0.19042982334121472</c:v>
                </c:pt>
                <c:pt idx="408">
                  <c:v>0.20127973292530132</c:v>
                </c:pt>
                <c:pt idx="409">
                  <c:v>0.1989150090415901</c:v>
                </c:pt>
                <c:pt idx="410">
                  <c:v>0.18027542078174874</c:v>
                </c:pt>
                <c:pt idx="411">
                  <c:v>0.17540687160940216</c:v>
                </c:pt>
                <c:pt idx="412">
                  <c:v>0.1930727500347742</c:v>
                </c:pt>
                <c:pt idx="413">
                  <c:v>0.19627208234803062</c:v>
                </c:pt>
                <c:pt idx="414">
                  <c:v>0.20294894978439171</c:v>
                </c:pt>
                <c:pt idx="415">
                  <c:v>0.18931701210182106</c:v>
                </c:pt>
                <c:pt idx="416">
                  <c:v>0.20948671581582845</c:v>
                </c:pt>
                <c:pt idx="417">
                  <c:v>0.21978021978021856</c:v>
                </c:pt>
                <c:pt idx="418">
                  <c:v>0.19919321185143857</c:v>
                </c:pt>
                <c:pt idx="419">
                  <c:v>0.17540687160940216</c:v>
                </c:pt>
                <c:pt idx="420">
                  <c:v>0.17540687160940216</c:v>
                </c:pt>
                <c:pt idx="421">
                  <c:v>0.17665878425371973</c:v>
                </c:pt>
                <c:pt idx="422">
                  <c:v>0.16427875921546686</c:v>
                </c:pt>
                <c:pt idx="423">
                  <c:v>0.17012101822228276</c:v>
                </c:pt>
                <c:pt idx="424">
                  <c:v>0.17234664070106986</c:v>
                </c:pt>
                <c:pt idx="425">
                  <c:v>0.17485046598970522</c:v>
                </c:pt>
                <c:pt idx="426">
                  <c:v>0.1952983725135613</c:v>
                </c:pt>
                <c:pt idx="427">
                  <c:v>0.19515927110863718</c:v>
                </c:pt>
                <c:pt idx="428">
                  <c:v>0.18208373904576325</c:v>
                </c:pt>
                <c:pt idx="429">
                  <c:v>0.16594797607455725</c:v>
                </c:pt>
                <c:pt idx="430">
                  <c:v>0.16511336764501205</c:v>
                </c:pt>
                <c:pt idx="431">
                  <c:v>0.16107942690221044</c:v>
                </c:pt>
                <c:pt idx="432">
                  <c:v>0.16205313673667976</c:v>
                </c:pt>
                <c:pt idx="433">
                  <c:v>0.18375295590485319</c:v>
                </c:pt>
                <c:pt idx="434">
                  <c:v>0.18375295590485319</c:v>
                </c:pt>
                <c:pt idx="435">
                  <c:v>0.18486576714424685</c:v>
                </c:pt>
                <c:pt idx="436">
                  <c:v>0.17763249408818882</c:v>
                </c:pt>
                <c:pt idx="437">
                  <c:v>0.16775629433857131</c:v>
                </c:pt>
                <c:pt idx="438">
                  <c:v>0.15746279037418121</c:v>
                </c:pt>
                <c:pt idx="439">
                  <c:v>0.16664348309917765</c:v>
                </c:pt>
                <c:pt idx="440">
                  <c:v>0.13826679649464291</c:v>
                </c:pt>
                <c:pt idx="441">
                  <c:v>0.17735429127834013</c:v>
                </c:pt>
                <c:pt idx="442">
                  <c:v>0.17568507441924996</c:v>
                </c:pt>
                <c:pt idx="443">
                  <c:v>0.17345945194046286</c:v>
                </c:pt>
                <c:pt idx="444">
                  <c:v>0.20879120879120694</c:v>
                </c:pt>
                <c:pt idx="445">
                  <c:v>0.20420086242870861</c:v>
                </c:pt>
                <c:pt idx="446">
                  <c:v>0.13618027542077993</c:v>
                </c:pt>
                <c:pt idx="447">
                  <c:v>9.7788287661703555E-2</c:v>
                </c:pt>
                <c:pt idx="448">
                  <c:v>0.10251773542912601</c:v>
                </c:pt>
                <c:pt idx="449">
                  <c:v>7.0941716511335073E-2</c:v>
                </c:pt>
                <c:pt idx="450">
                  <c:v>7.5532062873833405E-2</c:v>
                </c:pt>
                <c:pt idx="451">
                  <c:v>6.1621922381414507E-2</c:v>
                </c:pt>
                <c:pt idx="452">
                  <c:v>6.412574767004986E-2</c:v>
                </c:pt>
                <c:pt idx="453">
                  <c:v>4.5347058005284158E-2</c:v>
                </c:pt>
                <c:pt idx="454">
                  <c:v>5.4388649325356475E-2</c:v>
                </c:pt>
                <c:pt idx="455">
                  <c:v>8.4295451384057252E-2</c:v>
                </c:pt>
                <c:pt idx="456">
                  <c:v>0.10307414104882295</c:v>
                </c:pt>
                <c:pt idx="457">
                  <c:v>0.12393935178745141</c:v>
                </c:pt>
                <c:pt idx="458">
                  <c:v>0.17540687160940149</c:v>
                </c:pt>
                <c:pt idx="459">
                  <c:v>0.1471692864097911</c:v>
                </c:pt>
                <c:pt idx="460">
                  <c:v>0.1471692864097911</c:v>
                </c:pt>
                <c:pt idx="461">
                  <c:v>0.10335234385867142</c:v>
                </c:pt>
                <c:pt idx="462">
                  <c:v>6.5238558909443523E-2</c:v>
                </c:pt>
                <c:pt idx="463">
                  <c:v>0.10251773542912646</c:v>
                </c:pt>
                <c:pt idx="464">
                  <c:v>0.10043121435526348</c:v>
                </c:pt>
                <c:pt idx="465">
                  <c:v>0.10710808179162457</c:v>
                </c:pt>
                <c:pt idx="466">
                  <c:v>0.11879259980525636</c:v>
                </c:pt>
                <c:pt idx="467">
                  <c:v>0.10905550146056298</c:v>
                </c:pt>
                <c:pt idx="468">
                  <c:v>0.12644317707608654</c:v>
                </c:pt>
                <c:pt idx="469">
                  <c:v>0.10279593823897426</c:v>
                </c:pt>
                <c:pt idx="470">
                  <c:v>8.8329392126858641E-2</c:v>
                </c:pt>
                <c:pt idx="471">
                  <c:v>8.2487133120042744E-2</c:v>
                </c:pt>
                <c:pt idx="472">
                  <c:v>5.7448880233688771E-2</c:v>
                </c:pt>
                <c:pt idx="473">
                  <c:v>5.0911114202251806E-2</c:v>
                </c:pt>
                <c:pt idx="474">
                  <c:v>2.6568368340518678E-2</c:v>
                </c:pt>
                <c:pt idx="475">
                  <c:v>2.4203644456807449E-2</c:v>
                </c:pt>
                <c:pt idx="476">
                  <c:v>2.3090833217413786E-2</c:v>
                </c:pt>
                <c:pt idx="477">
                  <c:v>6.6351370148836741E-2</c:v>
                </c:pt>
                <c:pt idx="478">
                  <c:v>5.4110446515508004E-2</c:v>
                </c:pt>
                <c:pt idx="479">
                  <c:v>8.1374321880649081E-2</c:v>
                </c:pt>
                <c:pt idx="480">
                  <c:v>0.10251773542912579</c:v>
                </c:pt>
                <c:pt idx="481">
                  <c:v>9.5006259563219508E-2</c:v>
                </c:pt>
                <c:pt idx="482">
                  <c:v>7.3445541799970204E-2</c:v>
                </c:pt>
                <c:pt idx="483">
                  <c:v>6.5794964529139799E-2</c:v>
                </c:pt>
                <c:pt idx="484">
                  <c:v>9.9735707330641965E-2</c:v>
                </c:pt>
                <c:pt idx="485">
                  <c:v>9.8344693281400053E-2</c:v>
                </c:pt>
                <c:pt idx="486">
                  <c:v>0.1146195576575304</c:v>
                </c:pt>
                <c:pt idx="487">
                  <c:v>0.14452635971623118</c:v>
                </c:pt>
                <c:pt idx="488">
                  <c:v>0.10446515509806464</c:v>
                </c:pt>
                <c:pt idx="489">
                  <c:v>0.13228543608290244</c:v>
                </c:pt>
                <c:pt idx="490">
                  <c:v>0.10724718319654825</c:v>
                </c:pt>
                <c:pt idx="491">
                  <c:v>0.12407845319237532</c:v>
                </c:pt>
                <c:pt idx="492">
                  <c:v>0.15287244401168265</c:v>
                </c:pt>
                <c:pt idx="493">
                  <c:v>0.14716928640979088</c:v>
                </c:pt>
                <c:pt idx="494">
                  <c:v>0.16372235359576948</c:v>
                </c:pt>
                <c:pt idx="495">
                  <c:v>0.18236194185561083</c:v>
                </c:pt>
                <c:pt idx="496">
                  <c:v>0.13367645013214458</c:v>
                </c:pt>
                <c:pt idx="497">
                  <c:v>0.12185283071358843</c:v>
                </c:pt>
                <c:pt idx="498">
                  <c:v>0.12352204757267882</c:v>
                </c:pt>
                <c:pt idx="499">
                  <c:v>0.10585616914730678</c:v>
                </c:pt>
                <c:pt idx="500">
                  <c:v>0.11211573236889549</c:v>
                </c:pt>
                <c:pt idx="501">
                  <c:v>0.11225483377381962</c:v>
                </c:pt>
                <c:pt idx="502">
                  <c:v>0.11601057170677276</c:v>
                </c:pt>
                <c:pt idx="503">
                  <c:v>9.890109890109744E-2</c:v>
                </c:pt>
                <c:pt idx="504">
                  <c:v>9.4310752538599107E-2</c:v>
                </c:pt>
                <c:pt idx="505">
                  <c:v>0.14897760467380561</c:v>
                </c:pt>
                <c:pt idx="506">
                  <c:v>0.14577827236054919</c:v>
                </c:pt>
                <c:pt idx="507">
                  <c:v>0.14619557657532156</c:v>
                </c:pt>
                <c:pt idx="508">
                  <c:v>0.18111002921129327</c:v>
                </c:pt>
                <c:pt idx="509">
                  <c:v>0.20294894978439104</c:v>
                </c:pt>
                <c:pt idx="510">
                  <c:v>0.1911253303658349</c:v>
                </c:pt>
                <c:pt idx="511">
                  <c:v>0.24495757407149621</c:v>
                </c:pt>
                <c:pt idx="512">
                  <c:v>0.32146334677980049</c:v>
                </c:pt>
                <c:pt idx="513">
                  <c:v>0.31826401446654407</c:v>
                </c:pt>
                <c:pt idx="514">
                  <c:v>0.31729030463207475</c:v>
                </c:pt>
                <c:pt idx="515">
                  <c:v>0.32146334677980026</c:v>
                </c:pt>
                <c:pt idx="516">
                  <c:v>0.33398247322297725</c:v>
                </c:pt>
                <c:pt idx="517">
                  <c:v>0.3754346918903857</c:v>
                </c:pt>
                <c:pt idx="518">
                  <c:v>0.37710390874947586</c:v>
                </c:pt>
                <c:pt idx="519">
                  <c:v>0.53846153846153588</c:v>
                </c:pt>
                <c:pt idx="520">
                  <c:v>0.5426345806092614</c:v>
                </c:pt>
                <c:pt idx="521">
                  <c:v>0.51203227152593978</c:v>
                </c:pt>
                <c:pt idx="522">
                  <c:v>0.49534010293503705</c:v>
                </c:pt>
                <c:pt idx="523">
                  <c:v>0.46056475170398969</c:v>
                </c:pt>
                <c:pt idx="524">
                  <c:v>0.40492418973431388</c:v>
                </c:pt>
                <c:pt idx="525">
                  <c:v>0.38795381833356268</c:v>
                </c:pt>
                <c:pt idx="526">
                  <c:v>0.37390457643621944</c:v>
                </c:pt>
                <c:pt idx="527">
                  <c:v>0.37710390874947564</c:v>
                </c:pt>
                <c:pt idx="528">
                  <c:v>0.45082765335929609</c:v>
                </c:pt>
                <c:pt idx="529">
                  <c:v>0.46334677980247307</c:v>
                </c:pt>
                <c:pt idx="530">
                  <c:v>0.53011545416608397</c:v>
                </c:pt>
                <c:pt idx="531">
                  <c:v>0.55793573515092176</c:v>
                </c:pt>
                <c:pt idx="532">
                  <c:v>0.56906384754485684</c:v>
                </c:pt>
                <c:pt idx="533">
                  <c:v>0.53150646821532566</c:v>
                </c:pt>
                <c:pt idx="534">
                  <c:v>0.51481429962442293</c:v>
                </c:pt>
                <c:pt idx="535">
                  <c:v>0.49812213103352021</c:v>
                </c:pt>
                <c:pt idx="536">
                  <c:v>0.55793573515092154</c:v>
                </c:pt>
                <c:pt idx="537">
                  <c:v>0.5370705244122933</c:v>
                </c:pt>
                <c:pt idx="538">
                  <c:v>0.54819863680622838</c:v>
                </c:pt>
                <c:pt idx="539">
                  <c:v>0.53011545416608374</c:v>
                </c:pt>
                <c:pt idx="540">
                  <c:v>0.49255807483655256</c:v>
                </c:pt>
                <c:pt idx="541">
                  <c:v>0.49255807483655256</c:v>
                </c:pt>
                <c:pt idx="542">
                  <c:v>0.50785922937821337</c:v>
                </c:pt>
                <c:pt idx="543">
                  <c:v>0.49116706078731065</c:v>
                </c:pt>
                <c:pt idx="544">
                  <c:v>0.46056475170398903</c:v>
                </c:pt>
                <c:pt idx="545">
                  <c:v>0.39379607734037814</c:v>
                </c:pt>
                <c:pt idx="546">
                  <c:v>0.41187925998052277</c:v>
                </c:pt>
                <c:pt idx="547">
                  <c:v>0.4410905550146027</c:v>
                </c:pt>
                <c:pt idx="548">
                  <c:v>0.45500069550702182</c:v>
                </c:pt>
                <c:pt idx="549">
                  <c:v>0.50925024342745551</c:v>
                </c:pt>
                <c:pt idx="550">
                  <c:v>0.63444150785922604</c:v>
                </c:pt>
                <c:pt idx="551">
                  <c:v>0.64974266240088685</c:v>
                </c:pt>
                <c:pt idx="552">
                  <c:v>0.64139657810543538</c:v>
                </c:pt>
                <c:pt idx="553">
                  <c:v>0.62748643761301648</c:v>
                </c:pt>
                <c:pt idx="554">
                  <c:v>0.56628181944637324</c:v>
                </c:pt>
                <c:pt idx="555">
                  <c:v>0.65669773264709641</c:v>
                </c:pt>
                <c:pt idx="556">
                  <c:v>0.5593267492001639</c:v>
                </c:pt>
                <c:pt idx="557">
                  <c:v>0.58853804423424383</c:v>
                </c:pt>
                <c:pt idx="558">
                  <c:v>0.57880094588955067</c:v>
                </c:pt>
                <c:pt idx="559">
                  <c:v>0.59966615662817935</c:v>
                </c:pt>
                <c:pt idx="560">
                  <c:v>0.54263458060926184</c:v>
                </c:pt>
                <c:pt idx="561">
                  <c:v>0.62053136736680803</c:v>
                </c:pt>
                <c:pt idx="562">
                  <c:v>0.7220753929614665</c:v>
                </c:pt>
                <c:pt idx="563">
                  <c:v>0.75267770204478834</c:v>
                </c:pt>
                <c:pt idx="564">
                  <c:v>0.73598553345388562</c:v>
                </c:pt>
                <c:pt idx="565">
                  <c:v>0.76658784253720724</c:v>
                </c:pt>
                <c:pt idx="566">
                  <c:v>0.76519682848796533</c:v>
                </c:pt>
                <c:pt idx="567">
                  <c:v>0.75267770204478834</c:v>
                </c:pt>
                <c:pt idx="568">
                  <c:v>0.7332035053554018</c:v>
                </c:pt>
                <c:pt idx="569">
                  <c:v>0.71651133676449907</c:v>
                </c:pt>
                <c:pt idx="570">
                  <c:v>0.72346640701070841</c:v>
                </c:pt>
                <c:pt idx="571">
                  <c:v>0.67617192933648407</c:v>
                </c:pt>
                <c:pt idx="572">
                  <c:v>0.65947976074558134</c:v>
                </c:pt>
                <c:pt idx="573">
                  <c:v>0.60244818472666362</c:v>
                </c:pt>
                <c:pt idx="574">
                  <c:v>0.63165947976074355</c:v>
                </c:pt>
                <c:pt idx="575">
                  <c:v>0.61635832521908274</c:v>
                </c:pt>
                <c:pt idx="576">
                  <c:v>0.60801224092363126</c:v>
                </c:pt>
                <c:pt idx="577">
                  <c:v>0.73181249130615988</c:v>
                </c:pt>
                <c:pt idx="578">
                  <c:v>0.75824175824175599</c:v>
                </c:pt>
                <c:pt idx="579">
                  <c:v>0.89038809291973608</c:v>
                </c:pt>
                <c:pt idx="580">
                  <c:v>0.75267770204478834</c:v>
                </c:pt>
                <c:pt idx="581">
                  <c:v>0.72346640701070841</c:v>
                </c:pt>
                <c:pt idx="582">
                  <c:v>0.75128668799554621</c:v>
                </c:pt>
                <c:pt idx="583">
                  <c:v>0.74711364584782047</c:v>
                </c:pt>
                <c:pt idx="584">
                  <c:v>0.74572263179857856</c:v>
                </c:pt>
                <c:pt idx="585">
                  <c:v>0.76658784253720702</c:v>
                </c:pt>
                <c:pt idx="586">
                  <c:v>0.78745305327583548</c:v>
                </c:pt>
                <c:pt idx="587">
                  <c:v>0.80970927806370563</c:v>
                </c:pt>
                <c:pt idx="588">
                  <c:v>0.82222840450688284</c:v>
                </c:pt>
                <c:pt idx="589">
                  <c:v>0.77632494088190018</c:v>
                </c:pt>
                <c:pt idx="590">
                  <c:v>0.77632494088190018</c:v>
                </c:pt>
                <c:pt idx="591">
                  <c:v>0.76102378634023915</c:v>
                </c:pt>
                <c:pt idx="592">
                  <c:v>0.79579913757128651</c:v>
                </c:pt>
                <c:pt idx="593">
                  <c:v>0.7944081235220446</c:v>
                </c:pt>
                <c:pt idx="594">
                  <c:v>0.79858116566977033</c:v>
                </c:pt>
                <c:pt idx="595">
                  <c:v>0.79440812352204482</c:v>
                </c:pt>
                <c:pt idx="596">
                  <c:v>0.80553623591598011</c:v>
                </c:pt>
                <c:pt idx="597">
                  <c:v>0.80136319376825438</c:v>
                </c:pt>
                <c:pt idx="598">
                  <c:v>0.73459451940464349</c:v>
                </c:pt>
                <c:pt idx="599">
                  <c:v>0.71651133676449885</c:v>
                </c:pt>
                <c:pt idx="600">
                  <c:v>0.76241480038948128</c:v>
                </c:pt>
                <c:pt idx="601">
                  <c:v>0.72207539296146628</c:v>
                </c:pt>
                <c:pt idx="602">
                  <c:v>0.73181249130615944</c:v>
                </c:pt>
                <c:pt idx="603">
                  <c:v>0.73181249130615944</c:v>
                </c:pt>
                <c:pt idx="604">
                  <c:v>0.75406871609402981</c:v>
                </c:pt>
                <c:pt idx="605">
                  <c:v>0.74154958965085283</c:v>
                </c:pt>
                <c:pt idx="606">
                  <c:v>0.68034497148420936</c:v>
                </c:pt>
                <c:pt idx="607">
                  <c:v>0.70260119627207973</c:v>
                </c:pt>
                <c:pt idx="608">
                  <c:v>0.73042147725691753</c:v>
                </c:pt>
                <c:pt idx="609">
                  <c:v>0.7944081235220446</c:v>
                </c:pt>
                <c:pt idx="610">
                  <c:v>0.77493392683265805</c:v>
                </c:pt>
                <c:pt idx="611">
                  <c:v>0.71372930866601481</c:v>
                </c:pt>
                <c:pt idx="612">
                  <c:v>0.77910696898038378</c:v>
                </c:pt>
                <c:pt idx="613">
                  <c:v>0.80692724996522158</c:v>
                </c:pt>
                <c:pt idx="614">
                  <c:v>0.85143969954096232</c:v>
                </c:pt>
                <c:pt idx="615">
                  <c:v>0.79301710947280268</c:v>
                </c:pt>
                <c:pt idx="616">
                  <c:v>0.87786896647655843</c:v>
                </c:pt>
                <c:pt idx="617">
                  <c:v>0.91542634580608961</c:v>
                </c:pt>
                <c:pt idx="618">
                  <c:v>0.89734316316594498</c:v>
                </c:pt>
                <c:pt idx="619">
                  <c:v>0.92516344415078278</c:v>
                </c:pt>
                <c:pt idx="620">
                  <c:v>0.98080400612045859</c:v>
                </c:pt>
                <c:pt idx="621">
                  <c:v>0.90151620531367072</c:v>
                </c:pt>
                <c:pt idx="622">
                  <c:v>0.92099040200305704</c:v>
                </c:pt>
                <c:pt idx="623">
                  <c:v>0.92655445820002447</c:v>
                </c:pt>
                <c:pt idx="624">
                  <c:v>0.91542634580608939</c:v>
                </c:pt>
                <c:pt idx="625">
                  <c:v>0.92099040200305704</c:v>
                </c:pt>
                <c:pt idx="626">
                  <c:v>0.97106690777576543</c:v>
                </c:pt>
                <c:pt idx="627">
                  <c:v>0.95715676728334653</c:v>
                </c:pt>
                <c:pt idx="628">
                  <c:v>1.0225344275977157</c:v>
                </c:pt>
                <c:pt idx="629">
                  <c:v>1.0684378912226982</c:v>
                </c:pt>
                <c:pt idx="630">
                  <c:v>1.1296425093893419</c:v>
                </c:pt>
                <c:pt idx="631">
                  <c:v>1.126860481290858</c:v>
                </c:pt>
                <c:pt idx="632">
                  <c:v>1.1588538044234218</c:v>
                </c:pt>
                <c:pt idx="633">
                  <c:v>1.114341354847681</c:v>
                </c:pt>
                <c:pt idx="634">
                  <c:v>1.1282514953400997</c:v>
                </c:pt>
                <c:pt idx="635">
                  <c:v>1.1699819168173566</c:v>
                </c:pt>
                <c:pt idx="636">
                  <c:v>1.1978021978021944</c:v>
                </c:pt>
                <c:pt idx="637">
                  <c:v>1.1811100292112915</c:v>
                </c:pt>
                <c:pt idx="638">
                  <c:v>1.2325775490332416</c:v>
                </c:pt>
                <c:pt idx="639">
                  <c:v>1.3522047572680447</c:v>
                </c:pt>
                <c:pt idx="640">
                  <c:v>1.3160383919877554</c:v>
                </c:pt>
                <c:pt idx="641">
                  <c:v>1.3522047572680447</c:v>
                </c:pt>
                <c:pt idx="642">
                  <c:v>1.2951731812491269</c:v>
                </c:pt>
                <c:pt idx="643">
                  <c:v>1.3299485324801741</c:v>
                </c:pt>
                <c:pt idx="644">
                  <c:v>1.3285575184309324</c:v>
                </c:pt>
                <c:pt idx="645">
                  <c:v>1.3605508415634957</c:v>
                </c:pt>
                <c:pt idx="646">
                  <c:v>1.4106273473362041</c:v>
                </c:pt>
                <c:pt idx="647">
                  <c:v>1.3661148977604634</c:v>
                </c:pt>
                <c:pt idx="648">
                  <c:v>1.473222979552089</c:v>
                </c:pt>
                <c:pt idx="649">
                  <c:v>1.473222979552089</c:v>
                </c:pt>
                <c:pt idx="650">
                  <c:v>1.473222979552089</c:v>
                </c:pt>
                <c:pt idx="651">
                  <c:v>1.578940047294473</c:v>
                </c:pt>
                <c:pt idx="652">
                  <c:v>1.5038252886354107</c:v>
                </c:pt>
                <c:pt idx="653">
                  <c:v>1.489915148142992</c:v>
                </c:pt>
                <c:pt idx="654">
                  <c:v>1.5163444150785881</c:v>
                </c:pt>
                <c:pt idx="655">
                  <c:v>1.4968702183892018</c:v>
                </c:pt>
                <c:pt idx="656">
                  <c:v>1.3647238837112217</c:v>
                </c:pt>
                <c:pt idx="657">
                  <c:v>1.3619418556127378</c:v>
                </c:pt>
                <c:pt idx="658">
                  <c:v>1.4064543051884781</c:v>
                </c:pt>
                <c:pt idx="659">
                  <c:v>1.3647238837112212</c:v>
                </c:pt>
                <c:pt idx="660">
                  <c:v>1.3647238837112212</c:v>
                </c:pt>
                <c:pt idx="661">
                  <c:v>1.3647238837112212</c:v>
                </c:pt>
                <c:pt idx="662">
                  <c:v>1.2923911531506427</c:v>
                </c:pt>
                <c:pt idx="663">
                  <c:v>1.2506607316733858</c:v>
                </c:pt>
                <c:pt idx="664">
                  <c:v>1.2687439143135304</c:v>
                </c:pt>
                <c:pt idx="665">
                  <c:v>1.2701349283627721</c:v>
                </c:pt>
                <c:pt idx="666">
                  <c:v>1.3049102795938197</c:v>
                </c:pt>
                <c:pt idx="667">
                  <c:v>1.3202114341354809</c:v>
                </c:pt>
                <c:pt idx="668">
                  <c:v>1.2993462233968525</c:v>
                </c:pt>
                <c:pt idx="669">
                  <c:v>1.3424676589233511</c:v>
                </c:pt>
                <c:pt idx="670">
                  <c:v>1.3758519961051565</c:v>
                </c:pt>
                <c:pt idx="671">
                  <c:v>1.3744609820559148</c:v>
                </c:pt>
                <c:pt idx="672">
                  <c:v>1.3396856308248672</c:v>
                </c:pt>
                <c:pt idx="673">
                  <c:v>1.3535957713172864</c:v>
                </c:pt>
                <c:pt idx="674">
                  <c:v>1.2812630407567078</c:v>
                </c:pt>
                <c:pt idx="675">
                  <c:v>1.2005842259006778</c:v>
                </c:pt>
                <c:pt idx="676">
                  <c:v>1.222840450688548</c:v>
                </c:pt>
                <c:pt idx="677">
                  <c:v>1.2297955209347573</c:v>
                </c:pt>
                <c:pt idx="678">
                  <c:v>1.274307970510498</c:v>
                </c:pt>
                <c:pt idx="679">
                  <c:v>1.3355125886771417</c:v>
                </c:pt>
                <c:pt idx="680">
                  <c:v>1.3480317151203187</c:v>
                </c:pt>
                <c:pt idx="681">
                  <c:v>1.3800250382528825</c:v>
                </c:pt>
                <c:pt idx="682">
                  <c:v>1.3800250382528825</c:v>
                </c:pt>
                <c:pt idx="683">
                  <c:v>1.2937821671998848</c:v>
                </c:pt>
                <c:pt idx="684">
                  <c:v>1.2548337738211117</c:v>
                </c:pt>
                <c:pt idx="685">
                  <c:v>1.2506607316733862</c:v>
                </c:pt>
                <c:pt idx="686">
                  <c:v>1.1685909027681145</c:v>
                </c:pt>
                <c:pt idx="687">
                  <c:v>1.1574627903741792</c:v>
                </c:pt>
                <c:pt idx="688">
                  <c:v>1.071219919321182</c:v>
                </c:pt>
                <c:pt idx="689">
                  <c:v>1.1463346779802444</c:v>
                </c:pt>
                <c:pt idx="690">
                  <c:v>1.1004312143552619</c:v>
                </c:pt>
                <c:pt idx="691">
                  <c:v>1.1352065655863091</c:v>
                </c:pt>
                <c:pt idx="692">
                  <c:v>1.1449436639310027</c:v>
                </c:pt>
                <c:pt idx="693">
                  <c:v>1.1866740854082596</c:v>
                </c:pt>
                <c:pt idx="694">
                  <c:v>1.1365975796355512</c:v>
                </c:pt>
                <c:pt idx="695">
                  <c:v>1.096258172207536</c:v>
                </c:pt>
                <c:pt idx="696">
                  <c:v>1.1143413548476806</c:v>
                </c:pt>
                <c:pt idx="697">
                  <c:v>1.0865210738628428</c:v>
                </c:pt>
                <c:pt idx="698">
                  <c:v>0.97523994992349117</c:v>
                </c:pt>
                <c:pt idx="699">
                  <c:v>1.0517457226317957</c:v>
                </c:pt>
                <c:pt idx="700">
                  <c:v>1.0364445680901349</c:v>
                </c:pt>
                <c:pt idx="701">
                  <c:v>1.1101683126999555</c:v>
                </c:pt>
                <c:pt idx="702">
                  <c:v>1.1421616358325188</c:v>
                </c:pt>
                <c:pt idx="703">
                  <c:v>1.1491167060787282</c:v>
                </c:pt>
                <c:pt idx="704">
                  <c:v>1.1282514953400997</c:v>
                </c:pt>
                <c:pt idx="705">
                  <c:v>1.1699819168173566</c:v>
                </c:pt>
                <c:pt idx="706">
                  <c:v>1.1477256920294865</c:v>
                </c:pt>
                <c:pt idx="707">
                  <c:v>1.0920851300598109</c:v>
                </c:pt>
                <c:pt idx="708">
                  <c:v>1.1811100292112924</c:v>
                </c:pt>
                <c:pt idx="709">
                  <c:v>1.2033662539991625</c:v>
                </c:pt>
                <c:pt idx="710">
                  <c:v>1.1880650994575017</c:v>
                </c:pt>
                <c:pt idx="711">
                  <c:v>1.1463346779802448</c:v>
                </c:pt>
                <c:pt idx="712">
                  <c:v>1.1699819168173571</c:v>
                </c:pt>
                <c:pt idx="713">
                  <c:v>1.1421616358325193</c:v>
                </c:pt>
                <c:pt idx="714">
                  <c:v>1.1421616358325193</c:v>
                </c:pt>
                <c:pt idx="715">
                  <c:v>1.1407706217832772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899-4846-A56F-A020DFEE0716}"/>
            </c:ext>
          </c:extLst>
        </c:ser>
        <c:ser>
          <c:idx val="3"/>
          <c:order val="3"/>
          <c:tx>
            <c:strRef>
              <c:f>Charts!$E$4</c:f>
              <c:strCache>
                <c:ptCount val="1"/>
                <c:pt idx="0">
                  <c:v>Dan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Charts!$E$5:$E$720</c:f>
              <c:numCache>
                <c:formatCode>0.0%</c:formatCode>
                <c:ptCount val="716"/>
                <c:pt idx="0">
                  <c:v>7.2680632749038132E-3</c:v>
                </c:pt>
                <c:pt idx="1">
                  <c:v>9.8332620778112112E-3</c:v>
                </c:pt>
                <c:pt idx="2">
                  <c:v>9.8332620778112112E-3</c:v>
                </c:pt>
                <c:pt idx="3">
                  <c:v>1.4963659683625563E-2</c:v>
                </c:pt>
                <c:pt idx="4">
                  <c:v>1.4963659683625563E-2</c:v>
                </c:pt>
                <c:pt idx="5">
                  <c:v>1.7956391620350676E-2</c:v>
                </c:pt>
                <c:pt idx="6">
                  <c:v>1.7956391620350676E-2</c:v>
                </c:pt>
                <c:pt idx="7">
                  <c:v>1.838392475416839E-2</c:v>
                </c:pt>
                <c:pt idx="8">
                  <c:v>1.838392475416839E-2</c:v>
                </c:pt>
                <c:pt idx="9">
                  <c:v>1.8811457887986327E-2</c:v>
                </c:pt>
                <c:pt idx="10">
                  <c:v>1.8811457887986327E-2</c:v>
                </c:pt>
                <c:pt idx="11">
                  <c:v>4.7456177853783643E-2</c:v>
                </c:pt>
                <c:pt idx="12">
                  <c:v>4.9166310389055168E-2</c:v>
                </c:pt>
                <c:pt idx="13">
                  <c:v>6.5840102607952256E-2</c:v>
                </c:pt>
                <c:pt idx="14">
                  <c:v>8.6789226165028044E-2</c:v>
                </c:pt>
                <c:pt idx="15">
                  <c:v>8.6789226165028044E-2</c:v>
                </c:pt>
                <c:pt idx="16">
                  <c:v>8.6789226165028044E-2</c:v>
                </c:pt>
                <c:pt idx="17">
                  <c:v>8.6789226165028044E-2</c:v>
                </c:pt>
                <c:pt idx="18">
                  <c:v>8.6789226165028044E-2</c:v>
                </c:pt>
                <c:pt idx="19">
                  <c:v>8.6789226165028044E-2</c:v>
                </c:pt>
                <c:pt idx="20">
                  <c:v>8.6789226165028044E-2</c:v>
                </c:pt>
                <c:pt idx="21">
                  <c:v>7.0542967079948893E-2</c:v>
                </c:pt>
                <c:pt idx="22">
                  <c:v>7.2680632749038354E-2</c:v>
                </c:pt>
                <c:pt idx="23">
                  <c:v>7.2680632749038354E-2</c:v>
                </c:pt>
                <c:pt idx="24">
                  <c:v>5.5579307396323552E-2</c:v>
                </c:pt>
                <c:pt idx="25">
                  <c:v>5.5579307396323552E-2</c:v>
                </c:pt>
                <c:pt idx="26">
                  <c:v>5.5579307396323552E-2</c:v>
                </c:pt>
                <c:pt idx="27">
                  <c:v>5.5579307396323552E-2</c:v>
                </c:pt>
                <c:pt idx="28">
                  <c:v>5.5579307396323552E-2</c:v>
                </c:pt>
                <c:pt idx="29">
                  <c:v>5.5579307396323552E-2</c:v>
                </c:pt>
                <c:pt idx="30">
                  <c:v>5.5579307396323552E-2</c:v>
                </c:pt>
                <c:pt idx="31">
                  <c:v>3.5912783240701573E-2</c:v>
                </c:pt>
                <c:pt idx="32">
                  <c:v>4.403591278324126E-2</c:v>
                </c:pt>
                <c:pt idx="33">
                  <c:v>7.3108165882856291E-2</c:v>
                </c:pt>
                <c:pt idx="34">
                  <c:v>7.9093629756306516E-2</c:v>
                </c:pt>
                <c:pt idx="35">
                  <c:v>8.1658828559213692E-2</c:v>
                </c:pt>
                <c:pt idx="36">
                  <c:v>9.4057289439931857E-2</c:v>
                </c:pt>
                <c:pt idx="37">
                  <c:v>2.8644719965797538E-2</c:v>
                </c:pt>
                <c:pt idx="38">
                  <c:v>5.1303976058145739E-3</c:v>
                </c:pt>
                <c:pt idx="39">
                  <c:v>-5.9854638734501142E-3</c:v>
                </c:pt>
                <c:pt idx="40">
                  <c:v>-5.9854638734501142E-3</c:v>
                </c:pt>
                <c:pt idx="41">
                  <c:v>4.2753313381787006E-3</c:v>
                </c:pt>
                <c:pt idx="42">
                  <c:v>3.6340316374519066E-2</c:v>
                </c:pt>
                <c:pt idx="43">
                  <c:v>4.2325780247969291E-2</c:v>
                </c:pt>
                <c:pt idx="44">
                  <c:v>4.2325780247969291E-2</c:v>
                </c:pt>
                <c:pt idx="45">
                  <c:v>4.788371098760158E-2</c:v>
                </c:pt>
                <c:pt idx="46">
                  <c:v>5.0021376656691041E-2</c:v>
                </c:pt>
                <c:pt idx="47">
                  <c:v>5.0021376656691041E-2</c:v>
                </c:pt>
                <c:pt idx="48">
                  <c:v>5.2586575459598217E-2</c:v>
                </c:pt>
                <c:pt idx="49">
                  <c:v>5.6006840530141044E-2</c:v>
                </c:pt>
                <c:pt idx="50">
                  <c:v>3.7195382642154717E-2</c:v>
                </c:pt>
                <c:pt idx="51">
                  <c:v>4.1043180846515481E-2</c:v>
                </c:pt>
                <c:pt idx="52">
                  <c:v>4.1043180846515481E-2</c:v>
                </c:pt>
                <c:pt idx="53">
                  <c:v>4.1043180846515481E-2</c:v>
                </c:pt>
                <c:pt idx="54">
                  <c:v>4.1043180846515481E-2</c:v>
                </c:pt>
                <c:pt idx="55">
                  <c:v>4.8311244121419294E-2</c:v>
                </c:pt>
                <c:pt idx="56">
                  <c:v>4.8311244121419294E-2</c:v>
                </c:pt>
                <c:pt idx="57">
                  <c:v>5.0021376656690597E-2</c:v>
                </c:pt>
                <c:pt idx="58">
                  <c:v>4.9166310389054946E-2</c:v>
                </c:pt>
                <c:pt idx="59">
                  <c:v>4.9166310389054946E-2</c:v>
                </c:pt>
                <c:pt idx="60">
                  <c:v>4.9166310389054946E-2</c:v>
                </c:pt>
                <c:pt idx="61">
                  <c:v>4.9166310389054946E-2</c:v>
                </c:pt>
                <c:pt idx="62">
                  <c:v>4.9166310389054946E-2</c:v>
                </c:pt>
                <c:pt idx="63">
                  <c:v>4.9166310389054946E-2</c:v>
                </c:pt>
                <c:pt idx="64">
                  <c:v>4.9166310389054946E-2</c:v>
                </c:pt>
                <c:pt idx="65">
                  <c:v>4.9166310389054946E-2</c:v>
                </c:pt>
                <c:pt idx="66">
                  <c:v>4.9166310389054946E-2</c:v>
                </c:pt>
                <c:pt idx="67">
                  <c:v>4.9166310389054946E-2</c:v>
                </c:pt>
                <c:pt idx="68">
                  <c:v>4.9166310389054946E-2</c:v>
                </c:pt>
                <c:pt idx="69">
                  <c:v>6.4557503206498223E-2</c:v>
                </c:pt>
                <c:pt idx="70">
                  <c:v>6.6695168875587685E-2</c:v>
                </c:pt>
                <c:pt idx="71">
                  <c:v>7.4390765284309213E-2</c:v>
                </c:pt>
                <c:pt idx="72">
                  <c:v>7.4390765284309213E-2</c:v>
                </c:pt>
                <c:pt idx="73">
                  <c:v>7.4390765284309213E-2</c:v>
                </c:pt>
                <c:pt idx="74">
                  <c:v>7.4390765284309213E-2</c:v>
                </c:pt>
                <c:pt idx="75">
                  <c:v>7.4390765284309213E-2</c:v>
                </c:pt>
                <c:pt idx="76">
                  <c:v>7.4390765284309213E-2</c:v>
                </c:pt>
                <c:pt idx="77">
                  <c:v>5.3441641727233424E-2</c:v>
                </c:pt>
                <c:pt idx="78">
                  <c:v>2.5224454895254045E-2</c:v>
                </c:pt>
                <c:pt idx="79">
                  <c:v>2.5224454895254045E-2</c:v>
                </c:pt>
                <c:pt idx="80">
                  <c:v>2.5224454895254045E-2</c:v>
                </c:pt>
                <c:pt idx="81">
                  <c:v>2.7789653698161221E-2</c:v>
                </c:pt>
                <c:pt idx="82">
                  <c:v>2.7789653698161221E-2</c:v>
                </c:pt>
                <c:pt idx="83">
                  <c:v>2.7789653698161221E-2</c:v>
                </c:pt>
                <c:pt idx="84">
                  <c:v>3.0782385634886333E-2</c:v>
                </c:pt>
                <c:pt idx="85">
                  <c:v>3.2064985036339921E-2</c:v>
                </c:pt>
                <c:pt idx="86">
                  <c:v>-2.3086789226165361E-2</c:v>
                </c:pt>
                <c:pt idx="87">
                  <c:v>-5.130397605814796E-3</c:v>
                </c:pt>
                <c:pt idx="88">
                  <c:v>0</c:v>
                </c:pt>
                <c:pt idx="89">
                  <c:v>-2.9072253099615253E-2</c:v>
                </c:pt>
                <c:pt idx="90">
                  <c:v>-1.5818725951261214E-2</c:v>
                </c:pt>
                <c:pt idx="91">
                  <c:v>-1.5818725951261214E-2</c:v>
                </c:pt>
                <c:pt idx="92">
                  <c:v>-1.6673792218896866E-2</c:v>
                </c:pt>
                <c:pt idx="93">
                  <c:v>-2.9927319367250904E-2</c:v>
                </c:pt>
                <c:pt idx="94">
                  <c:v>-2.9927319367250904E-2</c:v>
                </c:pt>
                <c:pt idx="95">
                  <c:v>-2.9927319367250904E-2</c:v>
                </c:pt>
                <c:pt idx="96">
                  <c:v>-1.2825994014536102E-2</c:v>
                </c:pt>
                <c:pt idx="97">
                  <c:v>-3.6767849508336892E-2</c:v>
                </c:pt>
                <c:pt idx="98">
                  <c:v>-6.5412569474134208E-2</c:v>
                </c:pt>
                <c:pt idx="99">
                  <c:v>-0.10346301838392469</c:v>
                </c:pt>
                <c:pt idx="100">
                  <c:v>-9.020949123557076E-2</c:v>
                </c:pt>
                <c:pt idx="101">
                  <c:v>-9.9615220179563924E-2</c:v>
                </c:pt>
                <c:pt idx="102">
                  <c:v>-9.9615220179563924E-2</c:v>
                </c:pt>
                <c:pt idx="103">
                  <c:v>-8.807182556648141E-2</c:v>
                </c:pt>
                <c:pt idx="104">
                  <c:v>-8.807182556648141E-2</c:v>
                </c:pt>
                <c:pt idx="105">
                  <c:v>-8.4224027362120646E-2</c:v>
                </c:pt>
                <c:pt idx="106">
                  <c:v>-7.952116289012412E-2</c:v>
                </c:pt>
                <c:pt idx="107">
                  <c:v>-4.3608379649422879E-2</c:v>
                </c:pt>
                <c:pt idx="108">
                  <c:v>-4.2753313381787117E-2</c:v>
                </c:pt>
                <c:pt idx="109">
                  <c:v>-8.1231295425395755E-3</c:v>
                </c:pt>
                <c:pt idx="110">
                  <c:v>-1.7101325352716357E-3</c:v>
                </c:pt>
                <c:pt idx="111">
                  <c:v>-8.5506626763587334E-4</c:v>
                </c:pt>
                <c:pt idx="112">
                  <c:v>-8.5506626763587334E-4</c:v>
                </c:pt>
                <c:pt idx="113">
                  <c:v>5.9854638734500032E-3</c:v>
                </c:pt>
                <c:pt idx="114">
                  <c:v>-2.9927319367251126E-2</c:v>
                </c:pt>
                <c:pt idx="115">
                  <c:v>-2.9927319367251126E-2</c:v>
                </c:pt>
                <c:pt idx="116">
                  <c:v>-2.9927319367251126E-2</c:v>
                </c:pt>
                <c:pt idx="117">
                  <c:v>-2.9499786233433301E-2</c:v>
                </c:pt>
                <c:pt idx="118">
                  <c:v>-2.9499786233433301E-2</c:v>
                </c:pt>
                <c:pt idx="119">
                  <c:v>4.7028644719964152E-3</c:v>
                </c:pt>
                <c:pt idx="120">
                  <c:v>-3.4202650705429827E-2</c:v>
                </c:pt>
                <c:pt idx="121">
                  <c:v>-3.0354852501068952E-2</c:v>
                </c:pt>
                <c:pt idx="122">
                  <c:v>-3.0354852501068952E-2</c:v>
                </c:pt>
                <c:pt idx="123">
                  <c:v>-2.949978623343319E-2</c:v>
                </c:pt>
                <c:pt idx="124">
                  <c:v>-2.949978623343319E-2</c:v>
                </c:pt>
                <c:pt idx="125">
                  <c:v>-8.1231295425395533E-2</c:v>
                </c:pt>
                <c:pt idx="126">
                  <c:v>-8.1231295425395533E-2</c:v>
                </c:pt>
                <c:pt idx="127">
                  <c:v>-5.9427105600684094E-2</c:v>
                </c:pt>
                <c:pt idx="128">
                  <c:v>-8.0803762291577597E-2</c:v>
                </c:pt>
                <c:pt idx="129">
                  <c:v>-9.1492090637024348E-2</c:v>
                </c:pt>
                <c:pt idx="130">
                  <c:v>-9.1492090637024348E-2</c:v>
                </c:pt>
                <c:pt idx="131">
                  <c:v>-9.0637024369388586E-2</c:v>
                </c:pt>
                <c:pt idx="132">
                  <c:v>-8.2941427960666947E-2</c:v>
                </c:pt>
                <c:pt idx="133">
                  <c:v>-8.1658828559213359E-2</c:v>
                </c:pt>
                <c:pt idx="134">
                  <c:v>-0.1303976058144507</c:v>
                </c:pt>
                <c:pt idx="135">
                  <c:v>-0.13253527148354005</c:v>
                </c:pt>
                <c:pt idx="136">
                  <c:v>-0.10645575032064991</c:v>
                </c:pt>
                <c:pt idx="137">
                  <c:v>-0.11372381359555372</c:v>
                </c:pt>
                <c:pt idx="138">
                  <c:v>-0.11030354852501079</c:v>
                </c:pt>
                <c:pt idx="139">
                  <c:v>-0.11030354852501079</c:v>
                </c:pt>
                <c:pt idx="140">
                  <c:v>-0.11030354852501079</c:v>
                </c:pt>
                <c:pt idx="141">
                  <c:v>-0.10645575032065002</c:v>
                </c:pt>
                <c:pt idx="142">
                  <c:v>-0.10602821718683209</c:v>
                </c:pt>
                <c:pt idx="143">
                  <c:v>-7.4818298418127482E-2</c:v>
                </c:pt>
                <c:pt idx="144">
                  <c:v>-7.8666096622488357E-2</c:v>
                </c:pt>
                <c:pt idx="145">
                  <c:v>-6.7977768277041606E-2</c:v>
                </c:pt>
                <c:pt idx="146">
                  <c:v>-6.7977768277041606E-2</c:v>
                </c:pt>
                <c:pt idx="147">
                  <c:v>-5.5151774262505504E-2</c:v>
                </c:pt>
                <c:pt idx="148">
                  <c:v>-5.0448909790508978E-2</c:v>
                </c:pt>
                <c:pt idx="149">
                  <c:v>-5.0021376656691152E-2</c:v>
                </c:pt>
                <c:pt idx="150">
                  <c:v>-4.9593843522873327E-2</c:v>
                </c:pt>
                <c:pt idx="151">
                  <c:v>-4.9593843522873327E-2</c:v>
                </c:pt>
                <c:pt idx="152">
                  <c:v>-4.702864471996604E-2</c:v>
                </c:pt>
                <c:pt idx="153">
                  <c:v>-5.8572039333048553E-2</c:v>
                </c:pt>
                <c:pt idx="154">
                  <c:v>-5.8572039333048553E-2</c:v>
                </c:pt>
                <c:pt idx="155">
                  <c:v>-5.8572039333048553E-2</c:v>
                </c:pt>
                <c:pt idx="156">
                  <c:v>-5.8144506199230728E-2</c:v>
                </c:pt>
                <c:pt idx="157">
                  <c:v>-5.8144506199230728E-2</c:v>
                </c:pt>
                <c:pt idx="158">
                  <c:v>-5.8144506199230728E-2</c:v>
                </c:pt>
                <c:pt idx="159">
                  <c:v>-5.7289439931594965E-2</c:v>
                </c:pt>
                <c:pt idx="160">
                  <c:v>-5.7289439931594965E-2</c:v>
                </c:pt>
                <c:pt idx="161">
                  <c:v>-5.7289439931594965E-2</c:v>
                </c:pt>
                <c:pt idx="162">
                  <c:v>-5.7289439931594965E-2</c:v>
                </c:pt>
                <c:pt idx="163">
                  <c:v>-5.7289439931594965E-2</c:v>
                </c:pt>
                <c:pt idx="164">
                  <c:v>-7.738349722103488E-2</c:v>
                </c:pt>
                <c:pt idx="165">
                  <c:v>-9.149209063702457E-2</c:v>
                </c:pt>
                <c:pt idx="166">
                  <c:v>-9.149209063702457E-2</c:v>
                </c:pt>
                <c:pt idx="167">
                  <c:v>-6.3702436938863016E-2</c:v>
                </c:pt>
                <c:pt idx="168">
                  <c:v>-6.3702436938863016E-2</c:v>
                </c:pt>
                <c:pt idx="169">
                  <c:v>-6.3702436938863016E-2</c:v>
                </c:pt>
                <c:pt idx="170">
                  <c:v>-6.3702436938863016E-2</c:v>
                </c:pt>
                <c:pt idx="171">
                  <c:v>-6.3702436938863016E-2</c:v>
                </c:pt>
                <c:pt idx="172">
                  <c:v>-6.3702436938863016E-2</c:v>
                </c:pt>
                <c:pt idx="173">
                  <c:v>-6.3702436938863016E-2</c:v>
                </c:pt>
                <c:pt idx="174">
                  <c:v>-6.3702436938863016E-2</c:v>
                </c:pt>
                <c:pt idx="175">
                  <c:v>-6.3702436938863016E-2</c:v>
                </c:pt>
                <c:pt idx="176">
                  <c:v>-9.149209063702457E-2</c:v>
                </c:pt>
                <c:pt idx="177">
                  <c:v>-9.149209063702457E-2</c:v>
                </c:pt>
                <c:pt idx="178">
                  <c:v>-6.4129970072680842E-2</c:v>
                </c:pt>
                <c:pt idx="179">
                  <c:v>-6.4129970072680842E-2</c:v>
                </c:pt>
                <c:pt idx="180">
                  <c:v>-6.4129970072680842E-2</c:v>
                </c:pt>
                <c:pt idx="181">
                  <c:v>-6.4129970072680842E-2</c:v>
                </c:pt>
                <c:pt idx="182">
                  <c:v>-6.5840102607952367E-2</c:v>
                </c:pt>
                <c:pt idx="183">
                  <c:v>-3.8477982043608638E-2</c:v>
                </c:pt>
                <c:pt idx="184">
                  <c:v>-3.8050448909790702E-2</c:v>
                </c:pt>
                <c:pt idx="185">
                  <c:v>-1.6673792218897199E-2</c:v>
                </c:pt>
                <c:pt idx="186">
                  <c:v>-1.6673792218897199E-2</c:v>
                </c:pt>
                <c:pt idx="187">
                  <c:v>-1.53911928174435E-2</c:v>
                </c:pt>
                <c:pt idx="188">
                  <c:v>-2.1376656690895723E-3</c:v>
                </c:pt>
                <c:pt idx="189">
                  <c:v>4.3180846515604721E-2</c:v>
                </c:pt>
                <c:pt idx="190">
                  <c:v>4.7883710987601136E-2</c:v>
                </c:pt>
                <c:pt idx="191">
                  <c:v>4.3180846515604498E-2</c:v>
                </c:pt>
                <c:pt idx="192">
                  <c:v>4.1898247114150911E-2</c:v>
                </c:pt>
                <c:pt idx="193">
                  <c:v>4.1898247114150911E-2</c:v>
                </c:pt>
                <c:pt idx="194">
                  <c:v>4.1898247114150911E-2</c:v>
                </c:pt>
                <c:pt idx="195">
                  <c:v>4.1898247114150911E-2</c:v>
                </c:pt>
                <c:pt idx="196">
                  <c:v>4.2753313381786562E-2</c:v>
                </c:pt>
                <c:pt idx="197">
                  <c:v>4.2753313381786562E-2</c:v>
                </c:pt>
                <c:pt idx="198">
                  <c:v>4.2753313381786562E-2</c:v>
                </c:pt>
                <c:pt idx="199">
                  <c:v>4.2753313381786562E-2</c:v>
                </c:pt>
                <c:pt idx="200">
                  <c:v>2.6079521162889696E-2</c:v>
                </c:pt>
                <c:pt idx="201">
                  <c:v>2.6079521162889696E-2</c:v>
                </c:pt>
                <c:pt idx="202">
                  <c:v>2.6079521162889696E-2</c:v>
                </c:pt>
                <c:pt idx="203">
                  <c:v>2.6079521162889696E-2</c:v>
                </c:pt>
                <c:pt idx="204">
                  <c:v>2.9499786233432745E-2</c:v>
                </c:pt>
                <c:pt idx="205">
                  <c:v>3.4202650705429383E-2</c:v>
                </c:pt>
                <c:pt idx="206">
                  <c:v>3.5057716973065256E-2</c:v>
                </c:pt>
                <c:pt idx="207">
                  <c:v>2.6507054296707855E-2</c:v>
                </c:pt>
                <c:pt idx="208">
                  <c:v>2.6079521162889918E-2</c:v>
                </c:pt>
                <c:pt idx="209">
                  <c:v>2.6079521162889918E-2</c:v>
                </c:pt>
                <c:pt idx="210">
                  <c:v>2.6079521162889918E-2</c:v>
                </c:pt>
                <c:pt idx="211">
                  <c:v>2.6934587430525569E-2</c:v>
                </c:pt>
                <c:pt idx="212">
                  <c:v>1.3681060282171531E-2</c:v>
                </c:pt>
                <c:pt idx="213">
                  <c:v>1.3681060282171531E-2</c:v>
                </c:pt>
                <c:pt idx="214">
                  <c:v>1.3681060282171531E-2</c:v>
                </c:pt>
                <c:pt idx="215">
                  <c:v>1.3681060282171531E-2</c:v>
                </c:pt>
                <c:pt idx="216">
                  <c:v>-1.0260795211629148E-2</c:v>
                </c:pt>
                <c:pt idx="217">
                  <c:v>-1.0260795211629148E-2</c:v>
                </c:pt>
                <c:pt idx="218">
                  <c:v>-1.0260795211629148E-2</c:v>
                </c:pt>
                <c:pt idx="219">
                  <c:v>-1.0260795211629148E-2</c:v>
                </c:pt>
                <c:pt idx="220">
                  <c:v>-1.0260795211629148E-2</c:v>
                </c:pt>
                <c:pt idx="221">
                  <c:v>-1.0260795211629148E-2</c:v>
                </c:pt>
                <c:pt idx="222">
                  <c:v>-1.0260795211629148E-2</c:v>
                </c:pt>
                <c:pt idx="223">
                  <c:v>-1.0260795211629148E-2</c:v>
                </c:pt>
                <c:pt idx="224">
                  <c:v>-1.0260795211629148E-2</c:v>
                </c:pt>
                <c:pt idx="225">
                  <c:v>-1.0260795211629148E-2</c:v>
                </c:pt>
                <c:pt idx="226">
                  <c:v>-1.0260795211629148E-2</c:v>
                </c:pt>
                <c:pt idx="227">
                  <c:v>-1.0260795211629148E-2</c:v>
                </c:pt>
                <c:pt idx="228">
                  <c:v>-1.0260795211629148E-2</c:v>
                </c:pt>
                <c:pt idx="229">
                  <c:v>-1.0260795211629148E-2</c:v>
                </c:pt>
                <c:pt idx="230">
                  <c:v>-1.0260795211629148E-2</c:v>
                </c:pt>
                <c:pt idx="231">
                  <c:v>-1.0260795211629148E-2</c:v>
                </c:pt>
                <c:pt idx="232">
                  <c:v>-1.0260795211629148E-2</c:v>
                </c:pt>
                <c:pt idx="233">
                  <c:v>-1.0260795211629148E-2</c:v>
                </c:pt>
                <c:pt idx="234">
                  <c:v>-1.0260795211629148E-2</c:v>
                </c:pt>
                <c:pt idx="235">
                  <c:v>-5.0876442924326915E-2</c:v>
                </c:pt>
                <c:pt idx="236">
                  <c:v>-4.8738777255237453E-2</c:v>
                </c:pt>
                <c:pt idx="237">
                  <c:v>-4.8738777255237453E-2</c:v>
                </c:pt>
                <c:pt idx="238">
                  <c:v>-4.8738777255237453E-2</c:v>
                </c:pt>
                <c:pt idx="239">
                  <c:v>-4.9593843522873216E-2</c:v>
                </c:pt>
                <c:pt idx="240">
                  <c:v>-4.8738777255237453E-2</c:v>
                </c:pt>
                <c:pt idx="241">
                  <c:v>-6.541256947413443E-2</c:v>
                </c:pt>
                <c:pt idx="242">
                  <c:v>-6.541256947413443E-2</c:v>
                </c:pt>
                <c:pt idx="243">
                  <c:v>-6.541256947413443E-2</c:v>
                </c:pt>
                <c:pt idx="244">
                  <c:v>-6.7977768277041606E-2</c:v>
                </c:pt>
                <c:pt idx="245">
                  <c:v>-6.7977768277041606E-2</c:v>
                </c:pt>
                <c:pt idx="246">
                  <c:v>-6.7977768277041606E-2</c:v>
                </c:pt>
                <c:pt idx="247">
                  <c:v>-6.7977768277041606E-2</c:v>
                </c:pt>
                <c:pt idx="248">
                  <c:v>-8.379649422830282E-2</c:v>
                </c:pt>
                <c:pt idx="249">
                  <c:v>-8.379649422830282E-2</c:v>
                </c:pt>
                <c:pt idx="250">
                  <c:v>-8.379649422830282E-2</c:v>
                </c:pt>
                <c:pt idx="251">
                  <c:v>-6.4129970072680731E-2</c:v>
                </c:pt>
                <c:pt idx="252">
                  <c:v>-6.1564771269773444E-2</c:v>
                </c:pt>
                <c:pt idx="253">
                  <c:v>-6.1564771269773444E-2</c:v>
                </c:pt>
                <c:pt idx="254">
                  <c:v>-2.7362120564343839E-2</c:v>
                </c:pt>
                <c:pt idx="255">
                  <c:v>-2.7362120564343839E-2</c:v>
                </c:pt>
                <c:pt idx="256">
                  <c:v>-2.7362120564343839E-2</c:v>
                </c:pt>
                <c:pt idx="257">
                  <c:v>-2.7362120564343839E-2</c:v>
                </c:pt>
                <c:pt idx="258">
                  <c:v>-2.7362120564343839E-2</c:v>
                </c:pt>
                <c:pt idx="259">
                  <c:v>-2.7362120564343839E-2</c:v>
                </c:pt>
                <c:pt idx="260">
                  <c:v>-2.7362120564343839E-2</c:v>
                </c:pt>
                <c:pt idx="261">
                  <c:v>-2.7362120564343839E-2</c:v>
                </c:pt>
                <c:pt idx="262">
                  <c:v>-2.3086789226165139E-2</c:v>
                </c:pt>
                <c:pt idx="263">
                  <c:v>-2.3086789226165139E-2</c:v>
                </c:pt>
                <c:pt idx="264">
                  <c:v>-3.163745190252254E-2</c:v>
                </c:pt>
                <c:pt idx="265">
                  <c:v>-3.163745190252254E-2</c:v>
                </c:pt>
                <c:pt idx="266">
                  <c:v>-3.163745190252254E-2</c:v>
                </c:pt>
                <c:pt idx="267">
                  <c:v>-3.163745190252254E-2</c:v>
                </c:pt>
                <c:pt idx="268">
                  <c:v>-3.163745190252254E-2</c:v>
                </c:pt>
                <c:pt idx="269">
                  <c:v>-3.163745190252254E-2</c:v>
                </c:pt>
                <c:pt idx="270">
                  <c:v>-3.0354852501068841E-2</c:v>
                </c:pt>
                <c:pt idx="271">
                  <c:v>-6.8405301410858765E-3</c:v>
                </c:pt>
                <c:pt idx="272">
                  <c:v>-3.8477982043608749E-3</c:v>
                </c:pt>
                <c:pt idx="273">
                  <c:v>-3.8477982043608749E-3</c:v>
                </c:pt>
                <c:pt idx="274">
                  <c:v>-4.2753313381793667E-4</c:v>
                </c:pt>
                <c:pt idx="275">
                  <c:v>-4.2753313381793667E-4</c:v>
                </c:pt>
                <c:pt idx="276">
                  <c:v>1.0260795211628926E-2</c:v>
                </c:pt>
                <c:pt idx="277">
                  <c:v>1.0260795211628926E-2</c:v>
                </c:pt>
                <c:pt idx="278">
                  <c:v>3.1209918768704492E-2</c:v>
                </c:pt>
                <c:pt idx="279">
                  <c:v>3.1209918768704492E-2</c:v>
                </c:pt>
                <c:pt idx="280">
                  <c:v>3.0782385634886555E-2</c:v>
                </c:pt>
                <c:pt idx="281">
                  <c:v>2.0949123557075566E-2</c:v>
                </c:pt>
                <c:pt idx="282">
                  <c:v>3.2064985036340143E-2</c:v>
                </c:pt>
                <c:pt idx="283">
                  <c:v>3.2064985036340143E-2</c:v>
                </c:pt>
                <c:pt idx="284">
                  <c:v>3.1637451902522207E-2</c:v>
                </c:pt>
                <c:pt idx="285">
                  <c:v>3.1637451902522207E-2</c:v>
                </c:pt>
                <c:pt idx="286">
                  <c:v>3.1637451902522207E-2</c:v>
                </c:pt>
                <c:pt idx="287">
                  <c:v>3.1637451902522207E-2</c:v>
                </c:pt>
                <c:pt idx="288">
                  <c:v>3.1637451902522207E-2</c:v>
                </c:pt>
                <c:pt idx="289">
                  <c:v>3.1637451902522207E-2</c:v>
                </c:pt>
                <c:pt idx="290">
                  <c:v>3.2920051303976017E-2</c:v>
                </c:pt>
                <c:pt idx="291">
                  <c:v>3.2920051303976017E-2</c:v>
                </c:pt>
                <c:pt idx="292">
                  <c:v>2.9072253099615253E-2</c:v>
                </c:pt>
                <c:pt idx="293">
                  <c:v>3.1209918768704714E-2</c:v>
                </c:pt>
                <c:pt idx="294">
                  <c:v>3.1209918768704714E-2</c:v>
                </c:pt>
                <c:pt idx="295">
                  <c:v>3.1209918768704714E-2</c:v>
                </c:pt>
                <c:pt idx="296">
                  <c:v>2.6079521162890362E-2</c:v>
                </c:pt>
                <c:pt idx="297">
                  <c:v>2.8217186831979824E-2</c:v>
                </c:pt>
                <c:pt idx="298">
                  <c:v>2.8217186831979824E-2</c:v>
                </c:pt>
                <c:pt idx="299">
                  <c:v>2.8217186831979824E-2</c:v>
                </c:pt>
                <c:pt idx="300">
                  <c:v>2.5224454895254711E-2</c:v>
                </c:pt>
                <c:pt idx="301">
                  <c:v>2.5224454895254711E-2</c:v>
                </c:pt>
                <c:pt idx="302">
                  <c:v>2.6079521162890362E-2</c:v>
                </c:pt>
                <c:pt idx="303">
                  <c:v>1.8811457887986549E-2</c:v>
                </c:pt>
                <c:pt idx="304">
                  <c:v>2.1804189824711662E-2</c:v>
                </c:pt>
                <c:pt idx="305">
                  <c:v>2.1804189824711662E-2</c:v>
                </c:pt>
                <c:pt idx="306">
                  <c:v>2.1804189824711662E-2</c:v>
                </c:pt>
                <c:pt idx="307">
                  <c:v>2.6079521162890362E-2</c:v>
                </c:pt>
                <c:pt idx="308">
                  <c:v>2.6079521162890362E-2</c:v>
                </c:pt>
                <c:pt idx="309">
                  <c:v>3.2064985036340587E-2</c:v>
                </c:pt>
                <c:pt idx="310">
                  <c:v>6.7122702009406066E-2</c:v>
                </c:pt>
                <c:pt idx="311">
                  <c:v>3.6340316374519288E-2</c:v>
                </c:pt>
                <c:pt idx="312">
                  <c:v>3.6340316374519288E-2</c:v>
                </c:pt>
                <c:pt idx="313">
                  <c:v>3.6340316374519288E-2</c:v>
                </c:pt>
                <c:pt idx="314">
                  <c:v>4.1043180846515925E-2</c:v>
                </c:pt>
                <c:pt idx="315">
                  <c:v>4.1043180846515925E-2</c:v>
                </c:pt>
                <c:pt idx="316">
                  <c:v>4.1043180846515925E-2</c:v>
                </c:pt>
                <c:pt idx="317">
                  <c:v>5.0876442924326915E-2</c:v>
                </c:pt>
                <c:pt idx="318">
                  <c:v>5.0876442924326915E-2</c:v>
                </c:pt>
                <c:pt idx="319">
                  <c:v>5.1731509191962566E-2</c:v>
                </c:pt>
                <c:pt idx="320">
                  <c:v>5.1731509191962566E-2</c:v>
                </c:pt>
                <c:pt idx="321">
                  <c:v>5.1731509191962566E-2</c:v>
                </c:pt>
                <c:pt idx="322">
                  <c:v>5.1731509191962566E-2</c:v>
                </c:pt>
                <c:pt idx="323">
                  <c:v>5.1731509191962566E-2</c:v>
                </c:pt>
                <c:pt idx="324">
                  <c:v>5.1731509191962566E-2</c:v>
                </c:pt>
                <c:pt idx="325">
                  <c:v>5.1731509191962566E-2</c:v>
                </c:pt>
                <c:pt idx="326">
                  <c:v>5.1731509191962566E-2</c:v>
                </c:pt>
                <c:pt idx="327">
                  <c:v>5.1731509191962566E-2</c:v>
                </c:pt>
                <c:pt idx="328">
                  <c:v>5.1731509191962566E-2</c:v>
                </c:pt>
                <c:pt idx="329">
                  <c:v>5.1731509191962566E-2</c:v>
                </c:pt>
                <c:pt idx="330">
                  <c:v>5.1731509191962566E-2</c:v>
                </c:pt>
                <c:pt idx="331">
                  <c:v>5.1731509191962566E-2</c:v>
                </c:pt>
                <c:pt idx="332">
                  <c:v>5.1731509191962566E-2</c:v>
                </c:pt>
                <c:pt idx="333">
                  <c:v>5.1731509191962566E-2</c:v>
                </c:pt>
                <c:pt idx="334">
                  <c:v>4.7456177853783865E-2</c:v>
                </c:pt>
                <c:pt idx="335">
                  <c:v>1.2825994014536324E-2</c:v>
                </c:pt>
                <c:pt idx="336">
                  <c:v>1.8811457887986549E-2</c:v>
                </c:pt>
                <c:pt idx="337">
                  <c:v>1.8811457887986549E-2</c:v>
                </c:pt>
                <c:pt idx="338">
                  <c:v>1.7528858486532961E-2</c:v>
                </c:pt>
                <c:pt idx="339">
                  <c:v>2.2659256092347313E-2</c:v>
                </c:pt>
                <c:pt idx="340">
                  <c:v>2.565198802907398E-3</c:v>
                </c:pt>
                <c:pt idx="341">
                  <c:v>2.565198802907398E-3</c:v>
                </c:pt>
                <c:pt idx="342">
                  <c:v>8.1231295425396866E-3</c:v>
                </c:pt>
                <c:pt idx="343">
                  <c:v>8.1231295425396866E-3</c:v>
                </c:pt>
                <c:pt idx="344">
                  <c:v>4.7028644719966373E-3</c:v>
                </c:pt>
                <c:pt idx="345">
                  <c:v>-8.9781958101752268E-3</c:v>
                </c:pt>
                <c:pt idx="346">
                  <c:v>-8.9781958101752268E-3</c:v>
                </c:pt>
                <c:pt idx="347">
                  <c:v>-8.9781958101752268E-3</c:v>
                </c:pt>
                <c:pt idx="348">
                  <c:v>-8.9781958101752268E-3</c:v>
                </c:pt>
                <c:pt idx="349">
                  <c:v>-7.6955964087217499E-3</c:v>
                </c:pt>
                <c:pt idx="350">
                  <c:v>-7.6955964087217499E-3</c:v>
                </c:pt>
                <c:pt idx="351">
                  <c:v>-1.0260795211628926E-2</c:v>
                </c:pt>
                <c:pt idx="352">
                  <c:v>-1.0260795211628926E-2</c:v>
                </c:pt>
                <c:pt idx="353">
                  <c:v>-1.0260795211628926E-2</c:v>
                </c:pt>
                <c:pt idx="354">
                  <c:v>-6.4129970072681619E-3</c:v>
                </c:pt>
                <c:pt idx="355">
                  <c:v>-1.7101325352714913E-2</c:v>
                </c:pt>
                <c:pt idx="356">
                  <c:v>-2.4796921761436663E-2</c:v>
                </c:pt>
                <c:pt idx="357">
                  <c:v>-2.4796921761436663E-2</c:v>
                </c:pt>
                <c:pt idx="358">
                  <c:v>-2.4796921761436663E-2</c:v>
                </c:pt>
                <c:pt idx="359">
                  <c:v>-3.8050448909790702E-2</c:v>
                </c:pt>
                <c:pt idx="360">
                  <c:v>-5.6861906797777029E-2</c:v>
                </c:pt>
                <c:pt idx="361">
                  <c:v>-5.6861906797777029E-2</c:v>
                </c:pt>
                <c:pt idx="362">
                  <c:v>-4.6601111586148214E-2</c:v>
                </c:pt>
                <c:pt idx="363">
                  <c:v>-4.6601111586148214E-2</c:v>
                </c:pt>
                <c:pt idx="364">
                  <c:v>-4.06156477126981E-2</c:v>
                </c:pt>
                <c:pt idx="365">
                  <c:v>-3.2064985036340587E-2</c:v>
                </c:pt>
                <c:pt idx="366">
                  <c:v>-3.1637451902522762E-2</c:v>
                </c:pt>
                <c:pt idx="367">
                  <c:v>-2.7362120564344061E-2</c:v>
                </c:pt>
                <c:pt idx="368">
                  <c:v>-3.2064985036340699E-2</c:v>
                </c:pt>
                <c:pt idx="369">
                  <c:v>-3.2064985036340699E-2</c:v>
                </c:pt>
                <c:pt idx="370">
                  <c:v>2.4369388627618171E-2</c:v>
                </c:pt>
                <c:pt idx="371">
                  <c:v>5.9854638734501364E-2</c:v>
                </c:pt>
                <c:pt idx="372">
                  <c:v>5.9854638734501364E-2</c:v>
                </c:pt>
                <c:pt idx="373">
                  <c:v>5.9854638734501364E-2</c:v>
                </c:pt>
                <c:pt idx="374">
                  <c:v>6.3274903805044413E-2</c:v>
                </c:pt>
                <c:pt idx="375">
                  <c:v>6.3274903805044413E-2</c:v>
                </c:pt>
                <c:pt idx="376">
                  <c:v>6.3274903805044413E-2</c:v>
                </c:pt>
                <c:pt idx="377">
                  <c:v>4.7883710987601136E-2</c:v>
                </c:pt>
                <c:pt idx="378">
                  <c:v>4.7883710987601136E-2</c:v>
                </c:pt>
                <c:pt idx="379">
                  <c:v>1.3681060282171531E-2</c:v>
                </c:pt>
                <c:pt idx="380">
                  <c:v>-3.292005130397635E-2</c:v>
                </c:pt>
                <c:pt idx="381">
                  <c:v>-5.4724241128687789E-2</c:v>
                </c:pt>
                <c:pt idx="382">
                  <c:v>-3.5057716973065811E-2</c:v>
                </c:pt>
                <c:pt idx="383">
                  <c:v>-3.5485250106883748E-2</c:v>
                </c:pt>
                <c:pt idx="384">
                  <c:v>-3.5485250106883748E-2</c:v>
                </c:pt>
                <c:pt idx="385">
                  <c:v>-3.5485250106883748E-2</c:v>
                </c:pt>
                <c:pt idx="386">
                  <c:v>-2.8644719965797871E-2</c:v>
                </c:pt>
                <c:pt idx="387">
                  <c:v>-2.3086789226165583E-2</c:v>
                </c:pt>
                <c:pt idx="388">
                  <c:v>-2.3086789226165583E-2</c:v>
                </c:pt>
                <c:pt idx="389">
                  <c:v>-3.8477982043608971E-2</c:v>
                </c:pt>
                <c:pt idx="390">
                  <c:v>-5.1731509191962899E-2</c:v>
                </c:pt>
                <c:pt idx="391">
                  <c:v>-5.3014108593416598E-2</c:v>
                </c:pt>
                <c:pt idx="392">
                  <c:v>4.1898247114150688E-2</c:v>
                </c:pt>
                <c:pt idx="393">
                  <c:v>-1.6246259085079706E-2</c:v>
                </c:pt>
                <c:pt idx="394">
                  <c:v>5.1303976058139078E-3</c:v>
                </c:pt>
                <c:pt idx="395">
                  <c:v>8.9781958101746717E-3</c:v>
                </c:pt>
                <c:pt idx="396">
                  <c:v>8.9781958101746717E-3</c:v>
                </c:pt>
                <c:pt idx="397">
                  <c:v>8.9781958101746717E-3</c:v>
                </c:pt>
                <c:pt idx="398">
                  <c:v>8.9781958101746717E-3</c:v>
                </c:pt>
                <c:pt idx="399">
                  <c:v>8.9781958101746717E-3</c:v>
                </c:pt>
                <c:pt idx="400">
                  <c:v>8.9781958101746717E-3</c:v>
                </c:pt>
                <c:pt idx="401">
                  <c:v>7.5673364685762357E-2</c:v>
                </c:pt>
                <c:pt idx="402">
                  <c:v>7.0115433946130068E-2</c:v>
                </c:pt>
                <c:pt idx="403">
                  <c:v>9.4484822573748684E-2</c:v>
                </c:pt>
                <c:pt idx="404">
                  <c:v>0.10089781958101685</c:v>
                </c:pt>
                <c:pt idx="405">
                  <c:v>0.1060282171868312</c:v>
                </c:pt>
                <c:pt idx="406">
                  <c:v>0.1060282171868312</c:v>
                </c:pt>
                <c:pt idx="407">
                  <c:v>9.3202223172295096E-2</c:v>
                </c:pt>
                <c:pt idx="408">
                  <c:v>6.4129970072679843E-2</c:v>
                </c:pt>
                <c:pt idx="409">
                  <c:v>6.883283454467648E-2</c:v>
                </c:pt>
                <c:pt idx="410">
                  <c:v>6.883283454467648E-2</c:v>
                </c:pt>
                <c:pt idx="411">
                  <c:v>6.883283454467648E-2</c:v>
                </c:pt>
                <c:pt idx="412">
                  <c:v>6.883283454467648E-2</c:v>
                </c:pt>
                <c:pt idx="413">
                  <c:v>4.7456177853782977E-2</c:v>
                </c:pt>
                <c:pt idx="414">
                  <c:v>2.6079521162889474E-2</c:v>
                </c:pt>
                <c:pt idx="415">
                  <c:v>3.4202650705423832E-3</c:v>
                </c:pt>
                <c:pt idx="416">
                  <c:v>2.6079521162889696E-2</c:v>
                </c:pt>
                <c:pt idx="417">
                  <c:v>3.4630183839247097E-2</c:v>
                </c:pt>
                <c:pt idx="418">
                  <c:v>3.4630183839247097E-2</c:v>
                </c:pt>
                <c:pt idx="419">
                  <c:v>3.4630183839247097E-2</c:v>
                </c:pt>
                <c:pt idx="420">
                  <c:v>3.4630183839247097E-2</c:v>
                </c:pt>
                <c:pt idx="421">
                  <c:v>3.4630183839247097E-2</c:v>
                </c:pt>
                <c:pt idx="422">
                  <c:v>3.4630183839247097E-2</c:v>
                </c:pt>
                <c:pt idx="423">
                  <c:v>3.5485250106882749E-2</c:v>
                </c:pt>
                <c:pt idx="424">
                  <c:v>4.4463445917058086E-2</c:v>
                </c:pt>
                <c:pt idx="425">
                  <c:v>4.4463445917058086E-2</c:v>
                </c:pt>
                <c:pt idx="426">
                  <c:v>4.4463445917058086E-2</c:v>
                </c:pt>
                <c:pt idx="427">
                  <c:v>4.4463445917058086E-2</c:v>
                </c:pt>
                <c:pt idx="428">
                  <c:v>4.4463445917058086E-2</c:v>
                </c:pt>
                <c:pt idx="429">
                  <c:v>4.4463445917058086E-2</c:v>
                </c:pt>
                <c:pt idx="430">
                  <c:v>3.2920051303975573E-2</c:v>
                </c:pt>
                <c:pt idx="431">
                  <c:v>6.1992304403590826E-2</c:v>
                </c:pt>
                <c:pt idx="432">
                  <c:v>6.1992304403590826E-2</c:v>
                </c:pt>
                <c:pt idx="433">
                  <c:v>6.4557503206498001E-2</c:v>
                </c:pt>
                <c:pt idx="434">
                  <c:v>5.9854638734501364E-2</c:v>
                </c:pt>
                <c:pt idx="435">
                  <c:v>5.9854638734501364E-2</c:v>
                </c:pt>
                <c:pt idx="436">
                  <c:v>5.9854638734501364E-2</c:v>
                </c:pt>
                <c:pt idx="437">
                  <c:v>5.9854638734501364E-2</c:v>
                </c:pt>
                <c:pt idx="438">
                  <c:v>5.9854638734501364E-2</c:v>
                </c:pt>
                <c:pt idx="439">
                  <c:v>6.1137238135954952E-2</c:v>
                </c:pt>
                <c:pt idx="440">
                  <c:v>6.5412569474133653E-2</c:v>
                </c:pt>
                <c:pt idx="441">
                  <c:v>6.5412569474133653E-2</c:v>
                </c:pt>
                <c:pt idx="442">
                  <c:v>6.5412569474133653E-2</c:v>
                </c:pt>
                <c:pt idx="443">
                  <c:v>6.5412569474133653E-2</c:v>
                </c:pt>
                <c:pt idx="444">
                  <c:v>6.5412569474133653E-2</c:v>
                </c:pt>
                <c:pt idx="445">
                  <c:v>3.9333048311243513E-2</c:v>
                </c:pt>
                <c:pt idx="446">
                  <c:v>3.9333048311243513E-2</c:v>
                </c:pt>
                <c:pt idx="447">
                  <c:v>4.7028644719959711E-3</c:v>
                </c:pt>
                <c:pt idx="448">
                  <c:v>4.7028644719959711E-3</c:v>
                </c:pt>
                <c:pt idx="449">
                  <c:v>4.7028644719959711E-3</c:v>
                </c:pt>
                <c:pt idx="450">
                  <c:v>4.7028644719959711E-3</c:v>
                </c:pt>
                <c:pt idx="451">
                  <c:v>4.7028644719959711E-3</c:v>
                </c:pt>
                <c:pt idx="452">
                  <c:v>4.7028644719959711E-3</c:v>
                </c:pt>
                <c:pt idx="453">
                  <c:v>1.2825994014535658E-2</c:v>
                </c:pt>
                <c:pt idx="454">
                  <c:v>1.2825994014535658E-2</c:v>
                </c:pt>
                <c:pt idx="455">
                  <c:v>1.2825994014535658E-2</c:v>
                </c:pt>
                <c:pt idx="456">
                  <c:v>1.2825994014535658E-2</c:v>
                </c:pt>
                <c:pt idx="457">
                  <c:v>1.2825994014535658E-2</c:v>
                </c:pt>
                <c:pt idx="458">
                  <c:v>1.2825994014535658E-2</c:v>
                </c:pt>
                <c:pt idx="459">
                  <c:v>-2.3514322359983297E-2</c:v>
                </c:pt>
                <c:pt idx="460">
                  <c:v>-6.3274903805045302E-2</c:v>
                </c:pt>
                <c:pt idx="461">
                  <c:v>-4.0188114578880274E-2</c:v>
                </c:pt>
                <c:pt idx="462">
                  <c:v>-4.0188114578880274E-2</c:v>
                </c:pt>
                <c:pt idx="463">
                  <c:v>-4.4463445917058975E-2</c:v>
                </c:pt>
                <c:pt idx="464">
                  <c:v>-3.2492518170158635E-2</c:v>
                </c:pt>
                <c:pt idx="465">
                  <c:v>-3.2492518170158635E-2</c:v>
                </c:pt>
                <c:pt idx="466">
                  <c:v>-3.2492518170158635E-2</c:v>
                </c:pt>
                <c:pt idx="467">
                  <c:v>-3.2492518170158635E-2</c:v>
                </c:pt>
                <c:pt idx="468">
                  <c:v>-3.2492518170158635E-2</c:v>
                </c:pt>
                <c:pt idx="469">
                  <c:v>-2.4796921761436996E-2</c:v>
                </c:pt>
                <c:pt idx="470">
                  <c:v>-2.4796921761436996E-2</c:v>
                </c:pt>
                <c:pt idx="471">
                  <c:v>-2.4796921761436996E-2</c:v>
                </c:pt>
                <c:pt idx="472">
                  <c:v>-1.2825994014540321E-3</c:v>
                </c:pt>
                <c:pt idx="473">
                  <c:v>-1.2825994014540321E-3</c:v>
                </c:pt>
                <c:pt idx="474">
                  <c:v>-2.0949123557076121E-2</c:v>
                </c:pt>
                <c:pt idx="475">
                  <c:v>-1.8383924754168945E-2</c:v>
                </c:pt>
                <c:pt idx="476">
                  <c:v>-1.8383924754168945E-2</c:v>
                </c:pt>
                <c:pt idx="477">
                  <c:v>-6.1564771269773888E-2</c:v>
                </c:pt>
                <c:pt idx="478">
                  <c:v>-3.420265070543016E-2</c:v>
                </c:pt>
                <c:pt idx="479">
                  <c:v>-1.6246259085079595E-2</c:v>
                </c:pt>
                <c:pt idx="480">
                  <c:v>-8.5506626763620641E-4</c:v>
                </c:pt>
                <c:pt idx="481">
                  <c:v>7.6955964087213058E-3</c:v>
                </c:pt>
                <c:pt idx="482">
                  <c:v>7.6955964087213058E-3</c:v>
                </c:pt>
                <c:pt idx="483">
                  <c:v>7.6955964087213058E-3</c:v>
                </c:pt>
                <c:pt idx="484">
                  <c:v>-4.06156477126981E-2</c:v>
                </c:pt>
                <c:pt idx="485">
                  <c:v>-3.2492518170158524E-2</c:v>
                </c:pt>
                <c:pt idx="486">
                  <c:v>-1.9666524155622311E-2</c:v>
                </c:pt>
                <c:pt idx="487">
                  <c:v>-1.6673792218897199E-2</c:v>
                </c:pt>
                <c:pt idx="488">
                  <c:v>-1.325352714835426E-2</c:v>
                </c:pt>
                <c:pt idx="489">
                  <c:v>-3.9760581445062226E-2</c:v>
                </c:pt>
                <c:pt idx="490">
                  <c:v>-4.8738777255237564E-2</c:v>
                </c:pt>
                <c:pt idx="491">
                  <c:v>-6.7122702009405955E-2</c:v>
                </c:pt>
                <c:pt idx="492">
                  <c:v>-5.3014108593416265E-2</c:v>
                </c:pt>
                <c:pt idx="493">
                  <c:v>-5.3014108593416265E-2</c:v>
                </c:pt>
                <c:pt idx="494">
                  <c:v>-4.4890979050876689E-2</c:v>
                </c:pt>
                <c:pt idx="495">
                  <c:v>-4.4890979050876689E-2</c:v>
                </c:pt>
                <c:pt idx="496">
                  <c:v>-1.1543394613082736E-2</c:v>
                </c:pt>
                <c:pt idx="497">
                  <c:v>-1.1543394613082736E-2</c:v>
                </c:pt>
                <c:pt idx="498">
                  <c:v>-5.3014108593416154E-2</c:v>
                </c:pt>
                <c:pt idx="499">
                  <c:v>-1.7101325352715024E-2</c:v>
                </c:pt>
                <c:pt idx="500">
                  <c:v>-1.7101325352715024E-2</c:v>
                </c:pt>
                <c:pt idx="501">
                  <c:v>-1.7101325352715024E-2</c:v>
                </c:pt>
                <c:pt idx="502">
                  <c:v>-1.7101325352715024E-2</c:v>
                </c:pt>
                <c:pt idx="503">
                  <c:v>-1.7101325352715024E-2</c:v>
                </c:pt>
                <c:pt idx="504">
                  <c:v>-1.7101325352715024E-2</c:v>
                </c:pt>
                <c:pt idx="505">
                  <c:v>-1.7101325352715024E-2</c:v>
                </c:pt>
                <c:pt idx="506">
                  <c:v>-8.5506626763577342E-3</c:v>
                </c:pt>
                <c:pt idx="507">
                  <c:v>1.2825994014533659E-3</c:v>
                </c:pt>
                <c:pt idx="508">
                  <c:v>-2.9927319367253347E-3</c:v>
                </c:pt>
                <c:pt idx="509">
                  <c:v>1.3253527148353816E-2</c:v>
                </c:pt>
                <c:pt idx="510">
                  <c:v>-5.6861906797777029E-2</c:v>
                </c:pt>
                <c:pt idx="511">
                  <c:v>8.1231295425392425E-3</c:v>
                </c:pt>
                <c:pt idx="512">
                  <c:v>4.8738777255237009E-2</c:v>
                </c:pt>
                <c:pt idx="513">
                  <c:v>6.5412569474134097E-2</c:v>
                </c:pt>
                <c:pt idx="514">
                  <c:v>0.10645575032064958</c:v>
                </c:pt>
                <c:pt idx="515">
                  <c:v>0.10645575032064958</c:v>
                </c:pt>
                <c:pt idx="516">
                  <c:v>0.15604959384352268</c:v>
                </c:pt>
                <c:pt idx="517">
                  <c:v>0.17058572039333031</c:v>
                </c:pt>
                <c:pt idx="518">
                  <c:v>0.2171868319794783</c:v>
                </c:pt>
                <c:pt idx="519">
                  <c:v>0.23471569046601104</c:v>
                </c:pt>
                <c:pt idx="520">
                  <c:v>0.23813595553655387</c:v>
                </c:pt>
                <c:pt idx="521">
                  <c:v>0.23129542539546799</c:v>
                </c:pt>
                <c:pt idx="522">
                  <c:v>0.23129542539546799</c:v>
                </c:pt>
                <c:pt idx="523">
                  <c:v>0.23129542539546799</c:v>
                </c:pt>
                <c:pt idx="524">
                  <c:v>0.18426678067550228</c:v>
                </c:pt>
                <c:pt idx="525">
                  <c:v>0.18640444634459175</c:v>
                </c:pt>
                <c:pt idx="526">
                  <c:v>0.18640444634459175</c:v>
                </c:pt>
                <c:pt idx="527">
                  <c:v>0.16588285592133389</c:v>
                </c:pt>
                <c:pt idx="528">
                  <c:v>0.14878153056861909</c:v>
                </c:pt>
                <c:pt idx="529">
                  <c:v>0.14151346729371528</c:v>
                </c:pt>
                <c:pt idx="530">
                  <c:v>0.15433946130825138</c:v>
                </c:pt>
                <c:pt idx="531">
                  <c:v>0.19666524155622045</c:v>
                </c:pt>
                <c:pt idx="532">
                  <c:v>0.19709277469003839</c:v>
                </c:pt>
                <c:pt idx="533">
                  <c:v>0.17657118426678053</c:v>
                </c:pt>
                <c:pt idx="534">
                  <c:v>0.16716545532278748</c:v>
                </c:pt>
                <c:pt idx="535">
                  <c:v>0.16716545532278748</c:v>
                </c:pt>
                <c:pt idx="536">
                  <c:v>0.16716545532278748</c:v>
                </c:pt>
                <c:pt idx="537">
                  <c:v>0.14151346729371528</c:v>
                </c:pt>
                <c:pt idx="538">
                  <c:v>0.1517742625053442</c:v>
                </c:pt>
                <c:pt idx="539">
                  <c:v>0.15220179563916214</c:v>
                </c:pt>
                <c:pt idx="540">
                  <c:v>7.9093629756306294E-2</c:v>
                </c:pt>
                <c:pt idx="541">
                  <c:v>0.10602821718683209</c:v>
                </c:pt>
                <c:pt idx="542">
                  <c:v>9.4484822573749572E-2</c:v>
                </c:pt>
                <c:pt idx="543">
                  <c:v>0.10303548525010697</c:v>
                </c:pt>
                <c:pt idx="544">
                  <c:v>0.10303548525010697</c:v>
                </c:pt>
                <c:pt idx="545">
                  <c:v>8.5934159897392171E-2</c:v>
                </c:pt>
                <c:pt idx="546">
                  <c:v>9.0637024369388586E-2</c:v>
                </c:pt>
                <c:pt idx="547">
                  <c:v>9.1064557503206522E-2</c:v>
                </c:pt>
                <c:pt idx="548">
                  <c:v>0.11244121419410025</c:v>
                </c:pt>
                <c:pt idx="549">
                  <c:v>0.11244121419410025</c:v>
                </c:pt>
                <c:pt idx="550">
                  <c:v>0.11244121419410025</c:v>
                </c:pt>
                <c:pt idx="551">
                  <c:v>0.11244121419410025</c:v>
                </c:pt>
                <c:pt idx="552">
                  <c:v>0.11244121419410025</c:v>
                </c:pt>
                <c:pt idx="553">
                  <c:v>0.1073108165882859</c:v>
                </c:pt>
                <c:pt idx="554">
                  <c:v>0.12569474134245429</c:v>
                </c:pt>
                <c:pt idx="555">
                  <c:v>0.12355707567336482</c:v>
                </c:pt>
                <c:pt idx="556">
                  <c:v>0.10431808465156078</c:v>
                </c:pt>
                <c:pt idx="557">
                  <c:v>8.4224027362120868E-2</c:v>
                </c:pt>
                <c:pt idx="558">
                  <c:v>0.10987601539119329</c:v>
                </c:pt>
                <c:pt idx="559">
                  <c:v>0.11885421120136863</c:v>
                </c:pt>
                <c:pt idx="560">
                  <c:v>0.11885421120136863</c:v>
                </c:pt>
                <c:pt idx="561">
                  <c:v>0.11885421120136863</c:v>
                </c:pt>
                <c:pt idx="562">
                  <c:v>0.11885421120136863</c:v>
                </c:pt>
                <c:pt idx="563">
                  <c:v>0.11885421120136863</c:v>
                </c:pt>
                <c:pt idx="564">
                  <c:v>0.11885421120136863</c:v>
                </c:pt>
                <c:pt idx="565">
                  <c:v>0.11885421120136863</c:v>
                </c:pt>
                <c:pt idx="566">
                  <c:v>0.11885421120136863</c:v>
                </c:pt>
                <c:pt idx="567">
                  <c:v>0.11885421120136863</c:v>
                </c:pt>
                <c:pt idx="568">
                  <c:v>0.12355707567336527</c:v>
                </c:pt>
                <c:pt idx="569">
                  <c:v>0.12355707567336527</c:v>
                </c:pt>
                <c:pt idx="570">
                  <c:v>0.12355707567336527</c:v>
                </c:pt>
                <c:pt idx="571">
                  <c:v>0.12355707567336527</c:v>
                </c:pt>
                <c:pt idx="572">
                  <c:v>0.12355707567336527</c:v>
                </c:pt>
                <c:pt idx="573">
                  <c:v>0.13039760581445115</c:v>
                </c:pt>
                <c:pt idx="574">
                  <c:v>0.11329628046173634</c:v>
                </c:pt>
                <c:pt idx="575">
                  <c:v>0.13296280461735832</c:v>
                </c:pt>
                <c:pt idx="576">
                  <c:v>0.11158614792646482</c:v>
                </c:pt>
                <c:pt idx="577">
                  <c:v>0.13039760581445092</c:v>
                </c:pt>
                <c:pt idx="578">
                  <c:v>0.15647712697734106</c:v>
                </c:pt>
                <c:pt idx="579">
                  <c:v>0.20265070542967134</c:v>
                </c:pt>
                <c:pt idx="580">
                  <c:v>0.28174433518597763</c:v>
                </c:pt>
                <c:pt idx="581">
                  <c:v>0.28259940145361351</c:v>
                </c:pt>
                <c:pt idx="582">
                  <c:v>0.28259940145361351</c:v>
                </c:pt>
                <c:pt idx="583">
                  <c:v>0.26720820863617023</c:v>
                </c:pt>
                <c:pt idx="584">
                  <c:v>0.26720820863617023</c:v>
                </c:pt>
                <c:pt idx="585">
                  <c:v>0.28986746472851754</c:v>
                </c:pt>
                <c:pt idx="586">
                  <c:v>0.32535271483540096</c:v>
                </c:pt>
                <c:pt idx="587">
                  <c:v>0.33561351004702988</c:v>
                </c:pt>
                <c:pt idx="588">
                  <c:v>0.32535271483540096</c:v>
                </c:pt>
                <c:pt idx="589">
                  <c:v>0.41085934159897519</c:v>
                </c:pt>
                <c:pt idx="590">
                  <c:v>0.42753313381787206</c:v>
                </c:pt>
                <c:pt idx="591">
                  <c:v>0.45959811885421242</c:v>
                </c:pt>
                <c:pt idx="592">
                  <c:v>0.51474989311671759</c:v>
                </c:pt>
                <c:pt idx="593">
                  <c:v>0.44890979050876556</c:v>
                </c:pt>
                <c:pt idx="594">
                  <c:v>0.45532278751603372</c:v>
                </c:pt>
                <c:pt idx="595">
                  <c:v>0.4536126549807622</c:v>
                </c:pt>
                <c:pt idx="596">
                  <c:v>0.42368533561351107</c:v>
                </c:pt>
                <c:pt idx="597">
                  <c:v>0.45446772124839785</c:v>
                </c:pt>
                <c:pt idx="598">
                  <c:v>0.43651132962804717</c:v>
                </c:pt>
                <c:pt idx="599">
                  <c:v>0.4638734501923909</c:v>
                </c:pt>
                <c:pt idx="600">
                  <c:v>0.48995297135528104</c:v>
                </c:pt>
                <c:pt idx="601">
                  <c:v>0.51346729371526401</c:v>
                </c:pt>
                <c:pt idx="602">
                  <c:v>0.56220607097050146</c:v>
                </c:pt>
                <c:pt idx="603">
                  <c:v>0.58401026079521268</c:v>
                </c:pt>
                <c:pt idx="604">
                  <c:v>0.57332193244976604</c:v>
                </c:pt>
                <c:pt idx="605">
                  <c:v>0.6224882428388212</c:v>
                </c:pt>
                <c:pt idx="606">
                  <c:v>0.64172723386062525</c:v>
                </c:pt>
                <c:pt idx="607">
                  <c:v>0.61308251389482793</c:v>
                </c:pt>
                <c:pt idx="608">
                  <c:v>0.61308251389482793</c:v>
                </c:pt>
                <c:pt idx="609">
                  <c:v>0.56733646857631559</c:v>
                </c:pt>
                <c:pt idx="610">
                  <c:v>0.56733646857631559</c:v>
                </c:pt>
                <c:pt idx="611">
                  <c:v>0.5079093629756315</c:v>
                </c:pt>
                <c:pt idx="612">
                  <c:v>0.48140230867892364</c:v>
                </c:pt>
                <c:pt idx="613">
                  <c:v>0.48268490808037723</c:v>
                </c:pt>
                <c:pt idx="614">
                  <c:v>0.43266353142368619</c:v>
                </c:pt>
                <c:pt idx="615">
                  <c:v>0.43266353142368619</c:v>
                </c:pt>
                <c:pt idx="616">
                  <c:v>0.47969217614365212</c:v>
                </c:pt>
                <c:pt idx="617">
                  <c:v>0.47498931167165548</c:v>
                </c:pt>
                <c:pt idx="618">
                  <c:v>0.47498931167165548</c:v>
                </c:pt>
                <c:pt idx="619">
                  <c:v>0.47498931167165548</c:v>
                </c:pt>
                <c:pt idx="620">
                  <c:v>0.47498931167165548</c:v>
                </c:pt>
                <c:pt idx="621">
                  <c:v>0.47498931167165548</c:v>
                </c:pt>
                <c:pt idx="622">
                  <c:v>0.47498931167165548</c:v>
                </c:pt>
                <c:pt idx="623">
                  <c:v>0.47498931167165548</c:v>
                </c:pt>
                <c:pt idx="624">
                  <c:v>0.47498931167165548</c:v>
                </c:pt>
                <c:pt idx="625">
                  <c:v>0.40487387772552452</c:v>
                </c:pt>
                <c:pt idx="626">
                  <c:v>0.40872167592988529</c:v>
                </c:pt>
                <c:pt idx="627">
                  <c:v>0.40872167592988529</c:v>
                </c:pt>
                <c:pt idx="628">
                  <c:v>0.40957674219752116</c:v>
                </c:pt>
                <c:pt idx="629">
                  <c:v>0.40957674219752116</c:v>
                </c:pt>
                <c:pt idx="630">
                  <c:v>0.40957674219752116</c:v>
                </c:pt>
                <c:pt idx="631">
                  <c:v>0.43437366395895771</c:v>
                </c:pt>
                <c:pt idx="632">
                  <c:v>0.4613082513894835</c:v>
                </c:pt>
                <c:pt idx="633">
                  <c:v>0.47926464300983396</c:v>
                </c:pt>
                <c:pt idx="634">
                  <c:v>0.47926464300983396</c:v>
                </c:pt>
                <c:pt idx="635">
                  <c:v>0.47926464300983396</c:v>
                </c:pt>
                <c:pt idx="636">
                  <c:v>0.47926464300983396</c:v>
                </c:pt>
                <c:pt idx="637">
                  <c:v>0.47969217614365167</c:v>
                </c:pt>
                <c:pt idx="638">
                  <c:v>0.47498931167165503</c:v>
                </c:pt>
                <c:pt idx="639">
                  <c:v>0.4788371098760158</c:v>
                </c:pt>
                <c:pt idx="640">
                  <c:v>0.48140230867892297</c:v>
                </c:pt>
                <c:pt idx="641">
                  <c:v>0.47755451047456221</c:v>
                </c:pt>
                <c:pt idx="642">
                  <c:v>0.50064129970072724</c:v>
                </c:pt>
                <c:pt idx="643">
                  <c:v>0.50064129970072724</c:v>
                </c:pt>
                <c:pt idx="644">
                  <c:v>0.50064129970072724</c:v>
                </c:pt>
                <c:pt idx="645">
                  <c:v>0.60624198375374139</c:v>
                </c:pt>
                <c:pt idx="646">
                  <c:v>0.60624198375374139</c:v>
                </c:pt>
                <c:pt idx="647">
                  <c:v>0.60624198375374139</c:v>
                </c:pt>
                <c:pt idx="648">
                  <c:v>0.60624198375374139</c:v>
                </c:pt>
                <c:pt idx="649">
                  <c:v>0.60624198375374139</c:v>
                </c:pt>
                <c:pt idx="650">
                  <c:v>0.56776400171013308</c:v>
                </c:pt>
                <c:pt idx="651">
                  <c:v>0.56776400171013308</c:v>
                </c:pt>
                <c:pt idx="652">
                  <c:v>0.58187259512612277</c:v>
                </c:pt>
                <c:pt idx="653">
                  <c:v>0.61137238135955574</c:v>
                </c:pt>
                <c:pt idx="654">
                  <c:v>0.61137238135955574</c:v>
                </c:pt>
                <c:pt idx="655">
                  <c:v>0.66011115861479297</c:v>
                </c:pt>
                <c:pt idx="656">
                  <c:v>0.63873450192389947</c:v>
                </c:pt>
                <c:pt idx="657">
                  <c:v>0.63873450192389947</c:v>
                </c:pt>
                <c:pt idx="658">
                  <c:v>0.63873450192389947</c:v>
                </c:pt>
                <c:pt idx="659">
                  <c:v>0.63873450192389947</c:v>
                </c:pt>
                <c:pt idx="660">
                  <c:v>0.68875587858059029</c:v>
                </c:pt>
                <c:pt idx="661">
                  <c:v>0.71697306541256967</c:v>
                </c:pt>
                <c:pt idx="662">
                  <c:v>0.72466866182129142</c:v>
                </c:pt>
                <c:pt idx="663">
                  <c:v>0.72466866182129142</c:v>
                </c:pt>
                <c:pt idx="664">
                  <c:v>0.70585720393330509</c:v>
                </c:pt>
                <c:pt idx="665">
                  <c:v>0.61393758016246269</c:v>
                </c:pt>
                <c:pt idx="666">
                  <c:v>0.61393758016246269</c:v>
                </c:pt>
                <c:pt idx="667">
                  <c:v>0.61393758016246269</c:v>
                </c:pt>
                <c:pt idx="668">
                  <c:v>0.61393758016246269</c:v>
                </c:pt>
                <c:pt idx="669">
                  <c:v>0.61222744762719117</c:v>
                </c:pt>
                <c:pt idx="670">
                  <c:v>0.55707567336468578</c:v>
                </c:pt>
                <c:pt idx="671">
                  <c:v>0.5391192817443351</c:v>
                </c:pt>
                <c:pt idx="672">
                  <c:v>0.5391192817443351</c:v>
                </c:pt>
                <c:pt idx="673">
                  <c:v>0.5391192817443351</c:v>
                </c:pt>
                <c:pt idx="674">
                  <c:v>0.5391192817443351</c:v>
                </c:pt>
                <c:pt idx="675">
                  <c:v>0.5391192817443351</c:v>
                </c:pt>
                <c:pt idx="676">
                  <c:v>0.5391192817443351</c:v>
                </c:pt>
                <c:pt idx="677">
                  <c:v>0.5391192817443351</c:v>
                </c:pt>
                <c:pt idx="678">
                  <c:v>0.53954681487815304</c:v>
                </c:pt>
                <c:pt idx="679">
                  <c:v>0.54211201368106021</c:v>
                </c:pt>
                <c:pt idx="680">
                  <c:v>0.54211201368106021</c:v>
                </c:pt>
                <c:pt idx="681">
                  <c:v>0.54125694741342434</c:v>
                </c:pt>
                <c:pt idx="682">
                  <c:v>0.50491663103890527</c:v>
                </c:pt>
                <c:pt idx="683">
                  <c:v>0.53997434801197053</c:v>
                </c:pt>
                <c:pt idx="684">
                  <c:v>0.54082941427960618</c:v>
                </c:pt>
                <c:pt idx="685">
                  <c:v>0.54082941427960618</c:v>
                </c:pt>
                <c:pt idx="686">
                  <c:v>0.54082941427960618</c:v>
                </c:pt>
                <c:pt idx="687">
                  <c:v>0.54125694741342412</c:v>
                </c:pt>
                <c:pt idx="688">
                  <c:v>0.54125694741342412</c:v>
                </c:pt>
                <c:pt idx="689">
                  <c:v>0.52629328772979855</c:v>
                </c:pt>
                <c:pt idx="690">
                  <c:v>0.49679350149636536</c:v>
                </c:pt>
                <c:pt idx="691">
                  <c:v>0.48824283882000796</c:v>
                </c:pt>
                <c:pt idx="692">
                  <c:v>0.47755451047456132</c:v>
                </c:pt>
                <c:pt idx="693">
                  <c:v>0.47755451047456132</c:v>
                </c:pt>
                <c:pt idx="694">
                  <c:v>0.4630183839247537</c:v>
                </c:pt>
                <c:pt idx="695">
                  <c:v>0.4630183839247537</c:v>
                </c:pt>
                <c:pt idx="696">
                  <c:v>0.34074390765284268</c:v>
                </c:pt>
                <c:pt idx="697">
                  <c:v>0.30055579307396285</c:v>
                </c:pt>
                <c:pt idx="698">
                  <c:v>0.2868747327917911</c:v>
                </c:pt>
                <c:pt idx="699">
                  <c:v>0.2868747327917911</c:v>
                </c:pt>
                <c:pt idx="700">
                  <c:v>0.2868747327917911</c:v>
                </c:pt>
                <c:pt idx="701">
                  <c:v>0.2868747327917911</c:v>
                </c:pt>
                <c:pt idx="702">
                  <c:v>0.2868747327917911</c:v>
                </c:pt>
                <c:pt idx="703">
                  <c:v>0.2868747327917911</c:v>
                </c:pt>
                <c:pt idx="704">
                  <c:v>0.2868747327917911</c:v>
                </c:pt>
                <c:pt idx="705">
                  <c:v>0.2868747327917911</c:v>
                </c:pt>
                <c:pt idx="706">
                  <c:v>0.2868747327917911</c:v>
                </c:pt>
                <c:pt idx="707">
                  <c:v>0.23215049166310364</c:v>
                </c:pt>
                <c:pt idx="708">
                  <c:v>0.23856348867037158</c:v>
                </c:pt>
                <c:pt idx="709">
                  <c:v>0.23856348867037158</c:v>
                </c:pt>
                <c:pt idx="710">
                  <c:v>0.23770842240273593</c:v>
                </c:pt>
                <c:pt idx="711">
                  <c:v>0.23984608807182539</c:v>
                </c:pt>
                <c:pt idx="712">
                  <c:v>0.23984608807182539</c:v>
                </c:pt>
                <c:pt idx="713">
                  <c:v>0.22702009405728929</c:v>
                </c:pt>
                <c:pt idx="714">
                  <c:v>0.21419410004275319</c:v>
                </c:pt>
                <c:pt idx="715">
                  <c:v>0.16374519025224443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899-4846-A56F-A020DFEE07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52545023"/>
        <c:axId val="852624255"/>
      </c:lineChart>
      <c:dateAx>
        <c:axId val="852545023"/>
        <c:scaling>
          <c:orientation val="minMax"/>
        </c:scaling>
        <c:delete val="0"/>
        <c:axPos val="b"/>
        <c:numFmt formatCode="m/d/yy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852624255"/>
        <c:crosses val="autoZero"/>
        <c:auto val="1"/>
        <c:lblOffset val="100"/>
        <c:baseTimeUnit val="days"/>
      </c:dateAx>
      <c:valAx>
        <c:axId val="852624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Cumulative return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8525450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CAAR: De-escalation (+) vs Escalation (-)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Results!$B$8</c:f>
              <c:strCache>
                <c:ptCount val="1"/>
                <c:pt idx="0">
                  <c:v>CAAR — De-escalation (+)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Results!$A$9:$A$29</c:f>
              <c:numCache>
                <c:formatCode>General</c:formatCode>
                <c:ptCount val="21"/>
                <c:pt idx="0">
                  <c:v>-10</c:v>
                </c:pt>
                <c:pt idx="1">
                  <c:v>-9</c:v>
                </c:pt>
                <c:pt idx="2">
                  <c:v>-8</c:v>
                </c:pt>
                <c:pt idx="3">
                  <c:v>-7</c:v>
                </c:pt>
                <c:pt idx="4">
                  <c:v>-6</c:v>
                </c:pt>
                <c:pt idx="5">
                  <c:v>-5</c:v>
                </c:pt>
                <c:pt idx="6">
                  <c:v>-4</c:v>
                </c:pt>
                <c:pt idx="7">
                  <c:v>-3</c:v>
                </c:pt>
                <c:pt idx="8">
                  <c:v>-2</c:v>
                </c:pt>
                <c:pt idx="9">
                  <c:v>-1</c:v>
                </c:pt>
                <c:pt idx="10">
                  <c:v>0</c:v>
                </c:pt>
                <c:pt idx="11">
                  <c:v>1</c:v>
                </c:pt>
                <c:pt idx="12">
                  <c:v>2</c:v>
                </c:pt>
                <c:pt idx="13">
                  <c:v>3</c:v>
                </c:pt>
                <c:pt idx="14">
                  <c:v>4</c:v>
                </c:pt>
                <c:pt idx="15">
                  <c:v>5</c:v>
                </c:pt>
                <c:pt idx="16">
                  <c:v>6</c:v>
                </c:pt>
                <c:pt idx="17">
                  <c:v>7</c:v>
                </c:pt>
                <c:pt idx="18">
                  <c:v>8</c:v>
                </c:pt>
                <c:pt idx="19">
                  <c:v>9</c:v>
                </c:pt>
                <c:pt idx="20">
                  <c:v>10</c:v>
                </c:pt>
              </c:numCache>
            </c:numRef>
          </c:cat>
          <c:val>
            <c:numRef>
              <c:f>Results!$B$9:$B$29</c:f>
              <c:numCache>
                <c:formatCode>0.00%</c:formatCode>
                <c:ptCount val="21"/>
                <c:pt idx="0">
                  <c:v>5.0766811340350586E-3</c:v>
                </c:pt>
                <c:pt idx="1">
                  <c:v>3.8169420493010531E-3</c:v>
                </c:pt>
                <c:pt idx="2">
                  <c:v>-4.8878483277892126E-4</c:v>
                </c:pt>
                <c:pt idx="3">
                  <c:v>-4.8720120526511979E-3</c:v>
                </c:pt>
                <c:pt idx="4">
                  <c:v>-9.5515577352147663E-3</c:v>
                </c:pt>
                <c:pt idx="5">
                  <c:v>-1.7841305114313921E-2</c:v>
                </c:pt>
                <c:pt idx="6">
                  <c:v>-1.9907741808138035E-2</c:v>
                </c:pt>
                <c:pt idx="7">
                  <c:v>-1.6173040557316942E-2</c:v>
                </c:pt>
                <c:pt idx="8">
                  <c:v>-1.1785184623821165E-2</c:v>
                </c:pt>
                <c:pt idx="9">
                  <c:v>2.2984506220313783E-3</c:v>
                </c:pt>
                <c:pt idx="10">
                  <c:v>4.5290656129759466E-3</c:v>
                </c:pt>
                <c:pt idx="11">
                  <c:v>4.4130297039635114E-3</c:v>
                </c:pt>
                <c:pt idx="12">
                  <c:v>2.0881617270056552E-3</c:v>
                </c:pt>
                <c:pt idx="13">
                  <c:v>7.2268689106267381E-3</c:v>
                </c:pt>
                <c:pt idx="14">
                  <c:v>1.3978076310454002E-2</c:v>
                </c:pt>
                <c:pt idx="15">
                  <c:v>1.3303512875227241E-2</c:v>
                </c:pt>
                <c:pt idx="16">
                  <c:v>1.2659128211713444E-2</c:v>
                </c:pt>
                <c:pt idx="17">
                  <c:v>1.177794372072527E-2</c:v>
                </c:pt>
                <c:pt idx="18">
                  <c:v>1.8094047814916969E-2</c:v>
                </c:pt>
                <c:pt idx="19">
                  <c:v>1.9700564541456522E-2</c:v>
                </c:pt>
                <c:pt idx="20">
                  <c:v>2.7065876287075685E-2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C97-0341-9A47-1A289757017C}"/>
            </c:ext>
          </c:extLst>
        </c:ser>
        <c:ser>
          <c:idx val="2"/>
          <c:order val="1"/>
          <c:tx>
            <c:strRef>
              <c:f>Results!$C$8</c:f>
              <c:strCache>
                <c:ptCount val="1"/>
                <c:pt idx="0">
                  <c:v>CAAR — Escalation (−)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Results!$A$9:$A$29</c:f>
              <c:numCache>
                <c:formatCode>General</c:formatCode>
                <c:ptCount val="21"/>
                <c:pt idx="0">
                  <c:v>-10</c:v>
                </c:pt>
                <c:pt idx="1">
                  <c:v>-9</c:v>
                </c:pt>
                <c:pt idx="2">
                  <c:v>-8</c:v>
                </c:pt>
                <c:pt idx="3">
                  <c:v>-7</c:v>
                </c:pt>
                <c:pt idx="4">
                  <c:v>-6</c:v>
                </c:pt>
                <c:pt idx="5">
                  <c:v>-5</c:v>
                </c:pt>
                <c:pt idx="6">
                  <c:v>-4</c:v>
                </c:pt>
                <c:pt idx="7">
                  <c:v>-3</c:v>
                </c:pt>
                <c:pt idx="8">
                  <c:v>-2</c:v>
                </c:pt>
                <c:pt idx="9">
                  <c:v>-1</c:v>
                </c:pt>
                <c:pt idx="10">
                  <c:v>0</c:v>
                </c:pt>
                <c:pt idx="11">
                  <c:v>1</c:v>
                </c:pt>
                <c:pt idx="12">
                  <c:v>2</c:v>
                </c:pt>
                <c:pt idx="13">
                  <c:v>3</c:v>
                </c:pt>
                <c:pt idx="14">
                  <c:v>4</c:v>
                </c:pt>
                <c:pt idx="15">
                  <c:v>5</c:v>
                </c:pt>
                <c:pt idx="16">
                  <c:v>6</c:v>
                </c:pt>
                <c:pt idx="17">
                  <c:v>7</c:v>
                </c:pt>
                <c:pt idx="18">
                  <c:v>8</c:v>
                </c:pt>
                <c:pt idx="19">
                  <c:v>9</c:v>
                </c:pt>
                <c:pt idx="20">
                  <c:v>10</c:v>
                </c:pt>
              </c:numCache>
            </c:numRef>
          </c:cat>
          <c:val>
            <c:numRef>
              <c:f>Results!$C$9:$C$29</c:f>
              <c:numCache>
                <c:formatCode>0.00%</c:formatCode>
                <c:ptCount val="21"/>
                <c:pt idx="0">
                  <c:v>7.0138059855039941E-3</c:v>
                </c:pt>
                <c:pt idx="1">
                  <c:v>1.7194051108493369E-3</c:v>
                </c:pt>
                <c:pt idx="2">
                  <c:v>-5.6684273680789321E-3</c:v>
                </c:pt>
                <c:pt idx="3">
                  <c:v>-8.4854656074558887E-3</c:v>
                </c:pt>
                <c:pt idx="4">
                  <c:v>-1.183374863386244E-2</c:v>
                </c:pt>
                <c:pt idx="5">
                  <c:v>-1.2298101424559005E-2</c:v>
                </c:pt>
                <c:pt idx="6">
                  <c:v>-1.3068143245593022E-2</c:v>
                </c:pt>
                <c:pt idx="7">
                  <c:v>-1.0795990439589898E-2</c:v>
                </c:pt>
                <c:pt idx="8">
                  <c:v>-9.2973816571216839E-3</c:v>
                </c:pt>
                <c:pt idx="9">
                  <c:v>-7.5422491030121552E-3</c:v>
                </c:pt>
                <c:pt idx="10">
                  <c:v>-1.7313704760601345E-2</c:v>
                </c:pt>
                <c:pt idx="11">
                  <c:v>-1.9680074916376245E-2</c:v>
                </c:pt>
                <c:pt idx="12">
                  <c:v>-1.6280706313315907E-2</c:v>
                </c:pt>
                <c:pt idx="13">
                  <c:v>-2.286528850833236E-2</c:v>
                </c:pt>
                <c:pt idx="14">
                  <c:v>-2.4790585605021564E-2</c:v>
                </c:pt>
                <c:pt idx="15">
                  <c:v>-2.4302992403550605E-2</c:v>
                </c:pt>
                <c:pt idx="16">
                  <c:v>-2.8591658118224395E-2</c:v>
                </c:pt>
                <c:pt idx="17">
                  <c:v>-2.532486973440462E-2</c:v>
                </c:pt>
                <c:pt idx="18">
                  <c:v>-2.0562915152496863E-2</c:v>
                </c:pt>
                <c:pt idx="19">
                  <c:v>-2.0820831619647318E-2</c:v>
                </c:pt>
                <c:pt idx="20">
                  <c:v>-1.7506626787104351E-2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C97-0341-9A47-1A28975701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25346624"/>
        <c:axId val="1325343040"/>
      </c:lineChart>
      <c:catAx>
        <c:axId val="13253466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Day relative to event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325343040"/>
        <c:crosses val="autoZero"/>
        <c:auto val="1"/>
        <c:lblAlgn val="ctr"/>
        <c:lblOffset val="100"/>
        <c:noMultiLvlLbl val="0"/>
      </c:catAx>
      <c:valAx>
        <c:axId val="1325343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CAAR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0.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325346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406400</xdr:colOff>
      <xdr:row>40</xdr:row>
      <xdr:rowOff>38100</xdr:rowOff>
    </xdr:from>
    <xdr:to>
      <xdr:col>13</xdr:col>
      <xdr:colOff>368300</xdr:colOff>
      <xdr:row>44</xdr:row>
      <xdr:rowOff>38100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8147A02-054C-109A-43C1-1F843949AE5B}"/>
            </a:ext>
          </a:extLst>
        </xdr:cNvPr>
        <xdr:cNvSpPr txBox="1"/>
      </xdr:nvSpPr>
      <xdr:spPr>
        <a:xfrm>
          <a:off x="9766300" y="8191500"/>
          <a:ext cx="2438400" cy="812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NL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This</a:t>
          </a:r>
          <a:r>
            <a:rPr lang="en-NL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</a:t>
          </a:r>
          <a:r>
            <a:rPr lang="en-NL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 the abnormal return on this day large enough — relative to the stock's normal day-to-day noise — that we can call it real, rather than chance?</a:t>
          </a:r>
          <a:endParaRPr lang="en-GB" sz="1100" i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711200</xdr:colOff>
      <xdr:row>40</xdr:row>
      <xdr:rowOff>127000</xdr:rowOff>
    </xdr:from>
    <xdr:to>
      <xdr:col>13</xdr:col>
      <xdr:colOff>406400</xdr:colOff>
      <xdr:row>45</xdr:row>
      <xdr:rowOff>38100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3404CCB-476D-7C22-0C42-902353CD010C}"/>
            </a:ext>
          </a:extLst>
        </xdr:cNvPr>
        <xdr:cNvSpPr txBox="1"/>
      </xdr:nvSpPr>
      <xdr:spPr>
        <a:xfrm>
          <a:off x="8966200" y="8280400"/>
          <a:ext cx="2171700" cy="9271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NL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This</a:t>
          </a:r>
          <a:r>
            <a:rPr lang="en-NL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i</a:t>
          </a:r>
          <a:r>
            <a:rPr lang="en-NL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 the abnormal return on this day large enough — relative to the stock's normal day-to-day noise — that we can call it real, rather than chance?</a:t>
          </a:r>
          <a:endParaRPr lang="en-GB" sz="1100" i="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584200</xdr:colOff>
      <xdr:row>40</xdr:row>
      <xdr:rowOff>38100</xdr:rowOff>
    </xdr:from>
    <xdr:to>
      <xdr:col>13</xdr:col>
      <xdr:colOff>266700</xdr:colOff>
      <xdr:row>44</xdr:row>
      <xdr:rowOff>152400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CAB9691-B471-8E5E-E077-3055FB69F44B}"/>
            </a:ext>
          </a:extLst>
        </xdr:cNvPr>
        <xdr:cNvSpPr txBox="1"/>
      </xdr:nvSpPr>
      <xdr:spPr>
        <a:xfrm>
          <a:off x="8839200" y="8191500"/>
          <a:ext cx="2159000" cy="9271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NL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This is the abnormal return on this day large enough — relative to the stock's normal day-to-day noise — that we can call it real, rather than chance?</a:t>
          </a:r>
          <a:endParaRPr lang="en-GB" sz="1100" i="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144585</xdr:colOff>
      <xdr:row>4</xdr:row>
      <xdr:rowOff>64756</xdr:rowOff>
    </xdr:from>
    <xdr:to>
      <xdr:col>2</xdr:col>
      <xdr:colOff>533400</xdr:colOff>
      <xdr:row>10</xdr:row>
      <xdr:rowOff>165100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50CFE60-9C6C-3E16-DDF6-F6CD83D99EA3}"/>
            </a:ext>
          </a:extLst>
        </xdr:cNvPr>
        <xdr:cNvSpPr txBox="1"/>
      </xdr:nvSpPr>
      <xdr:spPr>
        <a:xfrm>
          <a:off x="1224085" y="1512556"/>
          <a:ext cx="3055815" cy="131954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NL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scale is signed so direction and magnitude are captured in one number: the sign marks the type of event (− = escalation, + = de-escalation) and the size marks how strong it is. Eleven steps (−5 … 0 … +5) give enough resolution to separate a major war outbreak from a minor incident without inventing false precision.</a:t>
          </a:r>
          <a:r>
            <a:rPr lang="en-NL">
              <a:effectLst/>
            </a:rPr>
            <a:t> </a:t>
          </a:r>
        </a:p>
        <a:p>
          <a:endParaRPr lang="en-GB" sz="1100"/>
        </a:p>
      </xdr:txBody>
    </xdr:sp>
    <xdr:clientData/>
  </xdr:twoCellAnchor>
  <xdr:twoCellAnchor>
    <xdr:from>
      <xdr:col>7</xdr:col>
      <xdr:colOff>40390</xdr:colOff>
      <xdr:row>2</xdr:row>
      <xdr:rowOff>44138</xdr:rowOff>
    </xdr:from>
    <xdr:to>
      <xdr:col>11</xdr:col>
      <xdr:colOff>166349</xdr:colOff>
      <xdr:row>10</xdr:row>
      <xdr:rowOff>64957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FE496F0-4792-337A-90DF-D354D9B740DC}"/>
            </a:ext>
          </a:extLst>
        </xdr:cNvPr>
        <xdr:cNvSpPr txBox="1"/>
      </xdr:nvSpPr>
      <xdr:spPr>
        <a:xfrm>
          <a:off x="9692390" y="1085538"/>
          <a:ext cx="3427959" cy="16464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The time-series event study (AR, CAR, AAR, CAAR on the Cross sectional sheet) works on its own. The cross-sectional regression on this sheet has a different job: it tests whether the type of event explains the abnormal return across events. That requires an event-level X variable — Severity is that X. Without it there is nothing to regress 36 CARs on.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57</xdr:row>
      <xdr:rowOff>0</xdr:rowOff>
    </xdr:from>
    <xdr:to>
      <xdr:col>4</xdr:col>
      <xdr:colOff>508000</xdr:colOff>
      <xdr:row>69</xdr:row>
      <xdr:rowOff>101600</xdr:rowOff>
    </xdr:to>
    <xdr:graphicFrame macro="">
      <xdr:nvGraphicFramePr>
        <xdr:cNvPr id="2" name="QQ_CAR">
          <a:extLst>
            <a:ext uri="{FF2B5EF4-FFF2-40B4-BE49-F238E27FC236}">
              <a16:creationId xmlns:a16="http://schemas.microsoft.com/office/drawing/2014/main" id="{F8C48DBD-4351-F96B-18E2-80173458C7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57</xdr:row>
      <xdr:rowOff>0</xdr:rowOff>
    </xdr:from>
    <xdr:to>
      <xdr:col>9</xdr:col>
      <xdr:colOff>508000</xdr:colOff>
      <xdr:row>69</xdr:row>
      <xdr:rowOff>101600</xdr:rowOff>
    </xdr:to>
    <xdr:graphicFrame macro="">
      <xdr:nvGraphicFramePr>
        <xdr:cNvPr id="3" name="QQ_Sev">
          <a:extLst>
            <a:ext uri="{FF2B5EF4-FFF2-40B4-BE49-F238E27FC236}">
              <a16:creationId xmlns:a16="http://schemas.microsoft.com/office/drawing/2014/main" id="{F58662EE-4299-2F54-F4EB-AC8BFC0923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73</xdr:row>
      <xdr:rowOff>0</xdr:rowOff>
    </xdr:from>
    <xdr:to>
      <xdr:col>4</xdr:col>
      <xdr:colOff>508000</xdr:colOff>
      <xdr:row>85</xdr:row>
      <xdr:rowOff>101600</xdr:rowOff>
    </xdr:to>
    <xdr:graphicFrame macro="">
      <xdr:nvGraphicFramePr>
        <xdr:cNvPr id="6" name="Hist_CAR">
          <a:extLst>
            <a:ext uri="{FF2B5EF4-FFF2-40B4-BE49-F238E27FC236}">
              <a16:creationId xmlns:a16="http://schemas.microsoft.com/office/drawing/2014/main" id="{5E1AA5EF-AEB4-BFCC-CEDE-239B61E263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0</xdr:colOff>
      <xdr:row>73</xdr:row>
      <xdr:rowOff>0</xdr:rowOff>
    </xdr:from>
    <xdr:to>
      <xdr:col>9</xdr:col>
      <xdr:colOff>508000</xdr:colOff>
      <xdr:row>85</xdr:row>
      <xdr:rowOff>101600</xdr:rowOff>
    </xdr:to>
    <xdr:graphicFrame macro="">
      <xdr:nvGraphicFramePr>
        <xdr:cNvPr id="7" name="Hist_Sev">
          <a:extLst>
            <a:ext uri="{FF2B5EF4-FFF2-40B4-BE49-F238E27FC236}">
              <a16:creationId xmlns:a16="http://schemas.microsoft.com/office/drawing/2014/main" id="{BB6E626E-CA05-ACEA-4190-743C01217C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</xdr:row>
      <xdr:rowOff>0</xdr:rowOff>
    </xdr:from>
    <xdr:to>
      <xdr:col>15</xdr:col>
      <xdr:colOff>698500</xdr:colOff>
      <xdr:row>25</xdr:row>
      <xdr:rowOff>101600</xdr:rowOff>
    </xdr:to>
    <xdr:graphicFrame macro="">
      <xdr:nvGraphicFramePr>
        <xdr:cNvPr id="2" name="CumReturns">
          <a:extLst>
            <a:ext uri="{FF2B5EF4-FFF2-40B4-BE49-F238E27FC236}">
              <a16:creationId xmlns:a16="http://schemas.microsoft.com/office/drawing/2014/main" id="{9FD2E3A4-5E75-5832-6469-9965413807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186266</xdr:colOff>
      <xdr:row>5</xdr:row>
      <xdr:rowOff>186267</xdr:rowOff>
    </xdr:from>
    <xdr:to>
      <xdr:col>14</xdr:col>
      <xdr:colOff>558799</xdr:colOff>
      <xdr:row>29</xdr:row>
      <xdr:rowOff>186267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EFA6711-13B8-49BD-DA43-5D53ED4A06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E12B3FA-A57A-1947-A15A-CAF01A511E5E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704f9848-d21a-4a45-ad38-5b8e0f1e1dfe&quot;"/>
  </we:properties>
  <we:bindings/>
  <we:snapshot xmlns:r="http://schemas.openxmlformats.org/officeDocument/2006/relationships"/>
</we:webextension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2B310-D9FD-EA41-8DA2-16CEE1A5380C}">
  <dimension ref="B3:B5"/>
  <sheetViews>
    <sheetView tabSelected="1" workbookViewId="0">
      <selection activeCell="B5" sqref="B5"/>
    </sheetView>
  </sheetViews>
  <sheetFormatPr baseColWidth="10" defaultRowHeight="16" x14ac:dyDescent="0.2"/>
  <cols>
    <col min="2" max="2" width="64.1640625" bestFit="1" customWidth="1"/>
  </cols>
  <sheetData>
    <row r="3" spans="2:2" ht="27" x14ac:dyDescent="0.35">
      <c r="B3" s="52" t="s">
        <v>210</v>
      </c>
    </row>
    <row r="5" spans="2:2" x14ac:dyDescent="0.2">
      <c r="B5" s="5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324DB-9035-2B47-AE6C-D2336E4DACB4}">
  <dimension ref="A1:J894"/>
  <sheetViews>
    <sheetView zoomScale="114" workbookViewId="0">
      <pane ySplit="1" topLeftCell="A2" activePane="bottomLeft" state="frozen"/>
      <selection pane="bottomLeft" activeCell="C23" sqref="C23"/>
    </sheetView>
  </sheetViews>
  <sheetFormatPr baseColWidth="10" defaultRowHeight="16" x14ac:dyDescent="0.2"/>
  <cols>
    <col min="1" max="1" width="13.33203125" customWidth="1"/>
    <col min="2" max="5" width="11.6640625" customWidth="1"/>
    <col min="6" max="9" width="13.6640625" customWidth="1"/>
  </cols>
  <sheetData>
    <row r="1" spans="1:9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 x14ac:dyDescent="0.2">
      <c r="A2" s="42">
        <v>46142</v>
      </c>
      <c r="B2" s="41">
        <v>4313.88</v>
      </c>
      <c r="C2" s="41">
        <v>73500</v>
      </c>
      <c r="D2" s="41">
        <v>15390</v>
      </c>
      <c r="E2" s="41">
        <v>2722</v>
      </c>
      <c r="F2" s="5">
        <f>B2/B3-1</f>
        <v>3.431963639737301E-4</v>
      </c>
      <c r="G2" s="5">
        <f>C2/C3-1</f>
        <v>2.7285129604366354E-3</v>
      </c>
      <c r="H2" s="5">
        <f>D2/D3-1</f>
        <v>-6.4935064935067732E-4</v>
      </c>
      <c r="I2" s="5">
        <f>E2/E3-1</f>
        <v>-4.1549295774647832E-2</v>
      </c>
    </row>
    <row r="3" spans="1:9" x14ac:dyDescent="0.2">
      <c r="A3" s="42">
        <v>46141</v>
      </c>
      <c r="B3" s="41">
        <v>4312.3999999999996</v>
      </c>
      <c r="C3" s="41">
        <v>73300</v>
      </c>
      <c r="D3" s="41">
        <v>15400</v>
      </c>
      <c r="E3" s="41">
        <v>2840</v>
      </c>
      <c r="F3" s="5">
        <f t="shared" ref="F3:F66" si="0">B3/B4-1</f>
        <v>1.2818766410980231E-2</v>
      </c>
      <c r="G3" s="5">
        <f t="shared" ref="G3:G66" si="1">C3/C4-1</f>
        <v>1.366120218579292E-3</v>
      </c>
      <c r="H3" s="5">
        <f t="shared" ref="H3:H66" si="2">D3/D4-1</f>
        <v>0</v>
      </c>
      <c r="I3" s="5">
        <f t="shared" ref="I3:I66" si="3">E3/E4-1</f>
        <v>-1.0452961672473893E-2</v>
      </c>
    </row>
    <row r="4" spans="1:9" x14ac:dyDescent="0.2">
      <c r="A4" s="42">
        <v>46140</v>
      </c>
      <c r="B4" s="41">
        <v>4257.82</v>
      </c>
      <c r="C4" s="41">
        <v>73200</v>
      </c>
      <c r="D4" s="41">
        <v>15400</v>
      </c>
      <c r="E4" s="41">
        <v>2870</v>
      </c>
      <c r="F4" s="5">
        <f t="shared" si="0"/>
        <v>-3.1139373279139848E-3</v>
      </c>
      <c r="G4" s="5">
        <f t="shared" si="1"/>
        <v>-3.4036759700476482E-3</v>
      </c>
      <c r="H4" s="5">
        <f t="shared" si="2"/>
        <v>-1.2820512820512775E-2</v>
      </c>
      <c r="I4" s="5">
        <f t="shared" si="3"/>
        <v>-1.0344827586206917E-2</v>
      </c>
    </row>
    <row r="5" spans="1:9" x14ac:dyDescent="0.2">
      <c r="A5" s="42">
        <v>46139</v>
      </c>
      <c r="B5" s="41">
        <v>4271.12</v>
      </c>
      <c r="C5" s="41">
        <v>73450</v>
      </c>
      <c r="D5" s="41">
        <v>15600</v>
      </c>
      <c r="E5" s="41">
        <v>2900</v>
      </c>
      <c r="F5" s="5">
        <f t="shared" si="0"/>
        <v>-8.0242364693361434E-4</v>
      </c>
      <c r="G5" s="5">
        <f t="shared" si="1"/>
        <v>3.5236081747709758E-2</v>
      </c>
      <c r="H5" s="5">
        <f t="shared" si="2"/>
        <v>1.1017498379779722E-2</v>
      </c>
      <c r="I5" s="5">
        <f t="shared" si="3"/>
        <v>0</v>
      </c>
    </row>
    <row r="6" spans="1:9" x14ac:dyDescent="0.2">
      <c r="A6" s="42">
        <v>46136</v>
      </c>
      <c r="B6" s="41">
        <v>4274.55</v>
      </c>
      <c r="C6" s="41">
        <v>70950</v>
      </c>
      <c r="D6" s="41">
        <v>15430</v>
      </c>
      <c r="E6" s="41">
        <v>2900</v>
      </c>
      <c r="F6" s="5">
        <f t="shared" si="0"/>
        <v>-1.2361225032058276E-2</v>
      </c>
      <c r="G6" s="5">
        <f t="shared" si="1"/>
        <v>-1.0460251046025104E-2</v>
      </c>
      <c r="H6" s="5">
        <f t="shared" si="2"/>
        <v>-1.9071837253655466E-2</v>
      </c>
      <c r="I6" s="5">
        <f t="shared" si="3"/>
        <v>1.7271157167531026E-3</v>
      </c>
    </row>
    <row r="7" spans="1:9" x14ac:dyDescent="0.2">
      <c r="A7" s="42">
        <v>46135</v>
      </c>
      <c r="B7" s="41">
        <v>4328.05</v>
      </c>
      <c r="C7" s="41">
        <v>71700</v>
      </c>
      <c r="D7" s="41">
        <v>15730</v>
      </c>
      <c r="E7" s="41">
        <v>2895</v>
      </c>
      <c r="F7" s="5">
        <f t="shared" si="0"/>
        <v>4.159089806310412E-5</v>
      </c>
      <c r="G7" s="5">
        <f t="shared" si="1"/>
        <v>1.9914651493598834E-2</v>
      </c>
      <c r="H7" s="5">
        <f t="shared" si="2"/>
        <v>-6.9444444444444198E-3</v>
      </c>
      <c r="I7" s="5">
        <f t="shared" si="3"/>
        <v>-6.9036934760091651E-4</v>
      </c>
    </row>
    <row r="8" spans="1:9" x14ac:dyDescent="0.2">
      <c r="A8" s="42">
        <v>46132</v>
      </c>
      <c r="B8" s="41">
        <v>4327.87</v>
      </c>
      <c r="C8" s="41">
        <v>70300</v>
      </c>
      <c r="D8" s="41">
        <v>15840</v>
      </c>
      <c r="E8" s="41">
        <v>2897</v>
      </c>
      <c r="F8" s="5">
        <f t="shared" si="0"/>
        <v>4.372213700067018E-3</v>
      </c>
      <c r="G8" s="5">
        <f t="shared" si="1"/>
        <v>1.2968299711815456E-2</v>
      </c>
      <c r="H8" s="5">
        <f t="shared" si="2"/>
        <v>1.0204081632652962E-2</v>
      </c>
      <c r="I8" s="5">
        <f t="shared" si="3"/>
        <v>0</v>
      </c>
    </row>
    <row r="9" spans="1:9" x14ac:dyDescent="0.2">
      <c r="A9" s="42">
        <v>46129</v>
      </c>
      <c r="B9" s="41">
        <v>4309.03</v>
      </c>
      <c r="C9" s="41">
        <v>69400</v>
      </c>
      <c r="D9" s="41">
        <v>15680</v>
      </c>
      <c r="E9" s="41">
        <v>2897</v>
      </c>
      <c r="F9" s="5">
        <f t="shared" si="0"/>
        <v>1.0591317277496737E-2</v>
      </c>
      <c r="G9" s="5">
        <f t="shared" si="1"/>
        <v>3.2738095238095344E-2</v>
      </c>
      <c r="H9" s="5">
        <f t="shared" si="2"/>
        <v>4.2553191489361764E-2</v>
      </c>
      <c r="I9" s="5">
        <f t="shared" si="3"/>
        <v>5.2047189451769338E-3</v>
      </c>
    </row>
    <row r="10" spans="1:9" x14ac:dyDescent="0.2">
      <c r="A10" s="42">
        <v>46128</v>
      </c>
      <c r="B10" s="41">
        <v>4263.87</v>
      </c>
      <c r="C10" s="41">
        <v>67200</v>
      </c>
      <c r="D10" s="41">
        <v>15040</v>
      </c>
      <c r="E10" s="41">
        <v>2882</v>
      </c>
      <c r="F10" s="5">
        <f t="shared" si="0"/>
        <v>-1.0895788291841124E-2</v>
      </c>
      <c r="G10" s="5">
        <f t="shared" si="1"/>
        <v>-9.8718137616030655E-3</v>
      </c>
      <c r="H10" s="5">
        <f t="shared" si="2"/>
        <v>-2.5906735751295318E-2</v>
      </c>
      <c r="I10" s="5">
        <f t="shared" si="3"/>
        <v>-4.2524916943521562E-2</v>
      </c>
    </row>
    <row r="11" spans="1:9" x14ac:dyDescent="0.2">
      <c r="A11" s="42">
        <v>46127</v>
      </c>
      <c r="B11" s="41">
        <v>4310.84</v>
      </c>
      <c r="C11" s="41">
        <v>67870</v>
      </c>
      <c r="D11" s="41">
        <v>15440</v>
      </c>
      <c r="E11" s="41">
        <v>3010</v>
      </c>
      <c r="F11" s="5">
        <f t="shared" si="0"/>
        <v>-5.5915923120218869E-3</v>
      </c>
      <c r="G11" s="5">
        <f t="shared" si="1"/>
        <v>2.9893778452200204E-2</v>
      </c>
      <c r="H11" s="5">
        <f t="shared" si="2"/>
        <v>-1.025641025641022E-2</v>
      </c>
      <c r="I11" s="5">
        <f t="shared" si="3"/>
        <v>0</v>
      </c>
    </row>
    <row r="12" spans="1:9" x14ac:dyDescent="0.2">
      <c r="A12" s="42">
        <v>46126</v>
      </c>
      <c r="B12" s="41">
        <v>4335.08</v>
      </c>
      <c r="C12" s="41">
        <v>65900</v>
      </c>
      <c r="D12" s="41">
        <v>15600</v>
      </c>
      <c r="E12" s="41">
        <v>3010</v>
      </c>
      <c r="F12" s="5">
        <f t="shared" si="0"/>
        <v>1.4518937337352211E-2</v>
      </c>
      <c r="G12" s="5">
        <f t="shared" si="1"/>
        <v>5.7784911717496001E-2</v>
      </c>
      <c r="H12" s="5">
        <f t="shared" si="2"/>
        <v>1.9607843137254832E-2</v>
      </c>
      <c r="I12" s="5">
        <f t="shared" si="3"/>
        <v>0</v>
      </c>
    </row>
    <row r="13" spans="1:9" x14ac:dyDescent="0.2">
      <c r="A13" s="42">
        <v>46125</v>
      </c>
      <c r="B13" s="41">
        <v>4273.04</v>
      </c>
      <c r="C13" s="41">
        <v>62300</v>
      </c>
      <c r="D13" s="41">
        <v>15300</v>
      </c>
      <c r="E13" s="41">
        <v>3010</v>
      </c>
      <c r="F13" s="5">
        <f t="shared" si="0"/>
        <v>-1.4456653104905404E-2</v>
      </c>
      <c r="G13" s="5">
        <f t="shared" si="1"/>
        <v>-1.7040075733669946E-2</v>
      </c>
      <c r="H13" s="5">
        <f t="shared" si="2"/>
        <v>-9.7087378640776656E-3</v>
      </c>
      <c r="I13" s="5">
        <f t="shared" si="3"/>
        <v>0</v>
      </c>
    </row>
    <row r="14" spans="1:9" x14ac:dyDescent="0.2">
      <c r="A14" s="42">
        <v>46122</v>
      </c>
      <c r="B14" s="41">
        <v>4335.72</v>
      </c>
      <c r="C14" s="41">
        <v>63380</v>
      </c>
      <c r="D14" s="41">
        <v>15450</v>
      </c>
      <c r="E14" s="41">
        <v>3010</v>
      </c>
      <c r="F14" s="5">
        <f t="shared" si="0"/>
        <v>1.8771896433833257E-2</v>
      </c>
      <c r="G14" s="5">
        <f t="shared" si="1"/>
        <v>2.4737267582861655E-2</v>
      </c>
      <c r="H14" s="5">
        <f t="shared" si="2"/>
        <v>3.2467532467532756E-3</v>
      </c>
      <c r="I14" s="5">
        <f t="shared" si="3"/>
        <v>0</v>
      </c>
    </row>
    <row r="15" spans="1:9" x14ac:dyDescent="0.2">
      <c r="A15" s="42">
        <v>46121</v>
      </c>
      <c r="B15" s="41">
        <v>4255.83</v>
      </c>
      <c r="C15" s="41">
        <v>61850</v>
      </c>
      <c r="D15" s="41">
        <v>15400</v>
      </c>
      <c r="E15" s="41">
        <v>3010</v>
      </c>
      <c r="F15" s="5">
        <f t="shared" si="0"/>
        <v>2.386056078813481E-2</v>
      </c>
      <c r="G15" s="5">
        <f t="shared" si="1"/>
        <v>3.3589572192513462E-2</v>
      </c>
      <c r="H15" s="5">
        <f t="shared" si="2"/>
        <v>1.5161502966380969E-2</v>
      </c>
      <c r="I15" s="5">
        <f t="shared" si="3"/>
        <v>0</v>
      </c>
    </row>
    <row r="16" spans="1:9" x14ac:dyDescent="0.2">
      <c r="A16" s="42">
        <v>46118</v>
      </c>
      <c r="B16" s="41">
        <v>4156.6499999999996</v>
      </c>
      <c r="C16" s="41">
        <v>59840</v>
      </c>
      <c r="D16" s="41">
        <v>15170</v>
      </c>
      <c r="E16" s="41">
        <v>3010</v>
      </c>
      <c r="F16" s="5">
        <f t="shared" si="0"/>
        <v>1.1862451070127733E-2</v>
      </c>
      <c r="G16" s="5">
        <f t="shared" si="1"/>
        <v>3.3506044905008636E-2</v>
      </c>
      <c r="H16" s="5">
        <f t="shared" si="2"/>
        <v>3.6202185792349795E-2</v>
      </c>
      <c r="I16" s="5">
        <f t="shared" si="3"/>
        <v>0</v>
      </c>
    </row>
    <row r="17" spans="1:9" x14ac:dyDescent="0.2">
      <c r="A17" s="42">
        <v>46115</v>
      </c>
      <c r="B17" s="41">
        <v>4107.92</v>
      </c>
      <c r="C17" s="41">
        <v>57900</v>
      </c>
      <c r="D17" s="41">
        <v>14640</v>
      </c>
      <c r="E17" s="41">
        <v>3010</v>
      </c>
      <c r="F17" s="5">
        <f t="shared" si="0"/>
        <v>2.2687270183405106E-2</v>
      </c>
      <c r="G17" s="5">
        <f t="shared" si="1"/>
        <v>1.1530398322851187E-2</v>
      </c>
      <c r="H17" s="5">
        <f t="shared" si="2"/>
        <v>-7.4576271186440612E-3</v>
      </c>
      <c r="I17" s="5">
        <f t="shared" si="3"/>
        <v>0</v>
      </c>
    </row>
    <row r="18" spans="1:9" x14ac:dyDescent="0.2">
      <c r="A18" s="42">
        <v>46112</v>
      </c>
      <c r="B18" s="41">
        <v>4016.79</v>
      </c>
      <c r="C18" s="41">
        <v>57240</v>
      </c>
      <c r="D18" s="41">
        <v>14750</v>
      </c>
      <c r="E18" s="41">
        <v>3010</v>
      </c>
      <c r="F18" s="5">
        <f t="shared" si="0"/>
        <v>1.9029473993982249E-2</v>
      </c>
      <c r="G18" s="5">
        <f t="shared" si="1"/>
        <v>1.3995801259623075E-3</v>
      </c>
      <c r="H18" s="5">
        <f t="shared" si="2"/>
        <v>3.8732394366197243E-2</v>
      </c>
      <c r="I18" s="5">
        <f t="shared" si="3"/>
        <v>0</v>
      </c>
    </row>
    <row r="19" spans="1:9" x14ac:dyDescent="0.2">
      <c r="A19" s="42">
        <v>46111</v>
      </c>
      <c r="B19" s="41">
        <v>3941.78</v>
      </c>
      <c r="C19" s="41">
        <v>57160</v>
      </c>
      <c r="D19" s="41">
        <v>14200</v>
      </c>
      <c r="E19" s="41">
        <v>3010</v>
      </c>
      <c r="F19" s="5">
        <f t="shared" si="0"/>
        <v>-1.9784449959466266E-2</v>
      </c>
      <c r="G19" s="5">
        <f t="shared" si="1"/>
        <v>2.6211849192100622E-2</v>
      </c>
      <c r="H19" s="5">
        <f t="shared" si="2"/>
        <v>-5.3333333333333344E-2</v>
      </c>
      <c r="I19" s="5">
        <f t="shared" si="3"/>
        <v>-1.051939513477973E-2</v>
      </c>
    </row>
    <row r="20" spans="1:9" x14ac:dyDescent="0.2">
      <c r="A20" s="42">
        <v>46108</v>
      </c>
      <c r="B20" s="41">
        <v>4021.34</v>
      </c>
      <c r="C20" s="41">
        <v>55700</v>
      </c>
      <c r="D20" s="41">
        <v>15000</v>
      </c>
      <c r="E20" s="41">
        <v>3042</v>
      </c>
      <c r="F20" s="5">
        <f t="shared" si="0"/>
        <v>-3.5335265218392586E-2</v>
      </c>
      <c r="G20" s="5">
        <f t="shared" si="1"/>
        <v>-5.2398775093569272E-2</v>
      </c>
      <c r="H20" s="5">
        <f t="shared" si="2"/>
        <v>-1.3157894736842146E-2</v>
      </c>
      <c r="I20" s="5">
        <f t="shared" si="3"/>
        <v>-2.9974489795918324E-2</v>
      </c>
    </row>
    <row r="21" spans="1:9" x14ac:dyDescent="0.2">
      <c r="A21" s="42">
        <v>46107</v>
      </c>
      <c r="B21" s="41">
        <v>4168.6400000000003</v>
      </c>
      <c r="C21" s="41">
        <v>58780</v>
      </c>
      <c r="D21" s="41">
        <v>15200</v>
      </c>
      <c r="E21" s="41">
        <v>3136</v>
      </c>
      <c r="F21" s="5">
        <f t="shared" si="0"/>
        <v>-8.7929960386339268E-3</v>
      </c>
      <c r="G21" s="5">
        <f t="shared" si="1"/>
        <v>-2.2067560685792298E-3</v>
      </c>
      <c r="H21" s="5">
        <f t="shared" si="2"/>
        <v>8.6264100862640802E-3</v>
      </c>
      <c r="I21" s="5">
        <f t="shared" si="3"/>
        <v>-8.3576855639976633E-2</v>
      </c>
    </row>
    <row r="22" spans="1:9" x14ac:dyDescent="0.2">
      <c r="A22" s="42">
        <v>46106</v>
      </c>
      <c r="B22" s="41">
        <v>4205.62</v>
      </c>
      <c r="C22" s="41">
        <v>58910</v>
      </c>
      <c r="D22" s="41">
        <v>15070</v>
      </c>
      <c r="E22" s="41">
        <v>3422</v>
      </c>
      <c r="F22" s="5">
        <f t="shared" si="0"/>
        <v>8.4379788175319437E-3</v>
      </c>
      <c r="G22" s="5">
        <f t="shared" si="1"/>
        <v>-9.583053127101504E-3</v>
      </c>
      <c r="H22" s="5">
        <f t="shared" si="2"/>
        <v>-1.888020833333337E-2</v>
      </c>
      <c r="I22" s="5">
        <f t="shared" si="3"/>
        <v>0</v>
      </c>
    </row>
    <row r="23" spans="1:9" x14ac:dyDescent="0.2">
      <c r="A23" s="42">
        <v>46105</v>
      </c>
      <c r="B23" s="41">
        <v>4170.43</v>
      </c>
      <c r="C23" s="41">
        <v>59480</v>
      </c>
      <c r="D23" s="41">
        <v>15360</v>
      </c>
      <c r="E23" s="41">
        <v>3422</v>
      </c>
      <c r="F23" s="5">
        <f t="shared" si="0"/>
        <v>-1.2266059087399528E-2</v>
      </c>
      <c r="G23" s="5">
        <f t="shared" si="1"/>
        <v>-2.1388614675880269E-2</v>
      </c>
      <c r="H23" s="5">
        <f t="shared" si="2"/>
        <v>-2.2900763358778664E-2</v>
      </c>
      <c r="I23" s="5">
        <f t="shared" si="3"/>
        <v>-9.8379629629629095E-3</v>
      </c>
    </row>
    <row r="24" spans="1:9" x14ac:dyDescent="0.2">
      <c r="A24" s="42">
        <v>46104</v>
      </c>
      <c r="B24" s="41">
        <v>4222.22</v>
      </c>
      <c r="C24" s="41">
        <v>60780</v>
      </c>
      <c r="D24" s="41">
        <v>15720</v>
      </c>
      <c r="E24" s="41">
        <v>3456</v>
      </c>
      <c r="F24" s="5">
        <f t="shared" si="0"/>
        <v>-4.9045139911807478E-3</v>
      </c>
      <c r="G24" s="5">
        <f t="shared" si="1"/>
        <v>1.3337779259753324E-2</v>
      </c>
      <c r="H24" s="5">
        <f t="shared" si="2"/>
        <v>1.9455252918287869E-2</v>
      </c>
      <c r="I24" s="5">
        <f t="shared" si="3"/>
        <v>0</v>
      </c>
    </row>
    <row r="25" spans="1:9" x14ac:dyDescent="0.2">
      <c r="A25" s="42">
        <v>46101</v>
      </c>
      <c r="B25" s="41">
        <v>4243.03</v>
      </c>
      <c r="C25" s="41">
        <v>59980</v>
      </c>
      <c r="D25" s="41">
        <v>15420</v>
      </c>
      <c r="E25" s="41">
        <v>3456</v>
      </c>
      <c r="F25" s="5">
        <f t="shared" si="0"/>
        <v>2.7864172204838944E-3</v>
      </c>
      <c r="G25" s="5">
        <f t="shared" si="1"/>
        <v>-8.2671957671958118E-3</v>
      </c>
      <c r="H25" s="5">
        <f t="shared" si="2"/>
        <v>4.5602605863193091E-3</v>
      </c>
      <c r="I25" s="5">
        <f t="shared" si="3"/>
        <v>-7.1818442976155916E-3</v>
      </c>
    </row>
    <row r="26" spans="1:9" x14ac:dyDescent="0.2">
      <c r="A26" s="42">
        <v>46100</v>
      </c>
      <c r="B26" s="41">
        <v>4231.24</v>
      </c>
      <c r="C26" s="41">
        <v>60480</v>
      </c>
      <c r="D26" s="41">
        <v>15350</v>
      </c>
      <c r="E26" s="41">
        <v>3481</v>
      </c>
      <c r="F26" s="5">
        <f t="shared" si="0"/>
        <v>4.799950818237253E-4</v>
      </c>
      <c r="G26" s="5">
        <f t="shared" si="1"/>
        <v>-1.5945330296127547E-2</v>
      </c>
      <c r="H26" s="5">
        <f t="shared" si="2"/>
        <v>1.655629139072845E-2</v>
      </c>
      <c r="I26" s="5">
        <f t="shared" si="3"/>
        <v>-5.7126535275635604E-3</v>
      </c>
    </row>
    <row r="27" spans="1:9" x14ac:dyDescent="0.2">
      <c r="A27" s="42">
        <v>46099</v>
      </c>
      <c r="B27" s="41">
        <v>4229.21</v>
      </c>
      <c r="C27" s="41">
        <v>61460</v>
      </c>
      <c r="D27" s="41">
        <v>15100</v>
      </c>
      <c r="E27" s="41">
        <v>3501</v>
      </c>
      <c r="F27" s="5">
        <f t="shared" si="0"/>
        <v>1.1930084821802245E-2</v>
      </c>
      <c r="G27" s="5">
        <f t="shared" si="1"/>
        <v>2.1948786165613576E-2</v>
      </c>
      <c r="H27" s="5">
        <f t="shared" si="2"/>
        <v>-2.1386908619572265E-2</v>
      </c>
      <c r="I27" s="5">
        <f t="shared" si="3"/>
        <v>-1.9327731092437017E-2</v>
      </c>
    </row>
    <row r="28" spans="1:9" x14ac:dyDescent="0.2">
      <c r="A28" s="42">
        <v>46098</v>
      </c>
      <c r="B28" s="41">
        <v>4179.3500000000004</v>
      </c>
      <c r="C28" s="41">
        <v>60140</v>
      </c>
      <c r="D28" s="41">
        <v>15430</v>
      </c>
      <c r="E28" s="41">
        <v>3570</v>
      </c>
      <c r="F28" s="5">
        <f t="shared" si="0"/>
        <v>1.5573742606785457E-2</v>
      </c>
      <c r="G28" s="5">
        <f t="shared" si="1"/>
        <v>1.966768396066465E-2</v>
      </c>
      <c r="H28" s="5">
        <f t="shared" si="2"/>
        <v>3.6265950302216243E-2</v>
      </c>
      <c r="I28" s="5">
        <f t="shared" si="3"/>
        <v>-9.7087378640776656E-3</v>
      </c>
    </row>
    <row r="29" spans="1:9" x14ac:dyDescent="0.2">
      <c r="A29" s="42">
        <v>46097</v>
      </c>
      <c r="B29" s="41">
        <v>4115.26</v>
      </c>
      <c r="C29" s="41">
        <v>58980</v>
      </c>
      <c r="D29" s="41">
        <v>14890</v>
      </c>
      <c r="E29" s="41">
        <v>3605</v>
      </c>
      <c r="F29" s="5">
        <f t="shared" si="0"/>
        <v>-6.8721178993169652E-4</v>
      </c>
      <c r="G29" s="5">
        <f t="shared" si="1"/>
        <v>-1.6016016016015988E-2</v>
      </c>
      <c r="H29" s="5">
        <f t="shared" si="2"/>
        <v>-3.9974210186976111E-2</v>
      </c>
      <c r="I29" s="5">
        <f t="shared" si="3"/>
        <v>0</v>
      </c>
    </row>
    <row r="30" spans="1:9" x14ac:dyDescent="0.2">
      <c r="A30" s="42">
        <v>46094</v>
      </c>
      <c r="B30" s="41">
        <v>4118.09</v>
      </c>
      <c r="C30" s="41">
        <v>59940</v>
      </c>
      <c r="D30" s="41">
        <v>15510</v>
      </c>
      <c r="E30" s="41">
        <v>3605</v>
      </c>
      <c r="F30" s="5">
        <f t="shared" si="0"/>
        <v>5.5354517973735806E-3</v>
      </c>
      <c r="G30" s="5">
        <f t="shared" si="1"/>
        <v>0</v>
      </c>
      <c r="H30" s="5">
        <f t="shared" si="2"/>
        <v>-5.1314945477870522E-3</v>
      </c>
      <c r="I30" s="5">
        <f t="shared" si="3"/>
        <v>2.7746947835738389E-4</v>
      </c>
    </row>
    <row r="31" spans="1:9" x14ac:dyDescent="0.2">
      <c r="A31" s="42">
        <v>46093</v>
      </c>
      <c r="B31" s="41">
        <v>4095.42</v>
      </c>
      <c r="C31" s="41">
        <v>59940</v>
      </c>
      <c r="D31" s="41">
        <v>15590</v>
      </c>
      <c r="E31" s="41">
        <v>3604</v>
      </c>
      <c r="F31" s="5">
        <f t="shared" si="0"/>
        <v>-1.6500445471202885E-2</v>
      </c>
      <c r="G31" s="5">
        <f t="shared" si="1"/>
        <v>-2.9940119760479056E-2</v>
      </c>
      <c r="H31" s="5">
        <f t="shared" si="2"/>
        <v>-3.6464771322620493E-2</v>
      </c>
      <c r="I31" s="5">
        <f t="shared" si="3"/>
        <v>0</v>
      </c>
    </row>
    <row r="32" spans="1:9" x14ac:dyDescent="0.2">
      <c r="A32" s="42">
        <v>46092</v>
      </c>
      <c r="B32" s="41">
        <v>4164.13</v>
      </c>
      <c r="C32" s="41">
        <v>61790</v>
      </c>
      <c r="D32" s="41">
        <v>16180</v>
      </c>
      <c r="E32" s="41">
        <v>3604</v>
      </c>
      <c r="F32" s="5">
        <f t="shared" si="0"/>
        <v>2.059885888097357E-3</v>
      </c>
      <c r="G32" s="5">
        <f t="shared" si="1"/>
        <v>-3.2566149992171556E-2</v>
      </c>
      <c r="H32" s="5">
        <f t="shared" si="2"/>
        <v>-1.8507094386180922E-3</v>
      </c>
      <c r="I32" s="5">
        <f t="shared" si="3"/>
        <v>0</v>
      </c>
    </row>
    <row r="33" spans="1:9" x14ac:dyDescent="0.2">
      <c r="A33" s="42">
        <v>46091</v>
      </c>
      <c r="B33" s="41">
        <v>4155.57</v>
      </c>
      <c r="C33" s="41">
        <v>63870</v>
      </c>
      <c r="D33" s="41">
        <v>16210</v>
      </c>
      <c r="E33" s="41">
        <v>3604</v>
      </c>
      <c r="F33" s="5">
        <f t="shared" si="0"/>
        <v>-1.1698646296102622E-2</v>
      </c>
      <c r="G33" s="5">
        <f t="shared" si="1"/>
        <v>-2.4885496183206124E-2</v>
      </c>
      <c r="H33" s="5">
        <f t="shared" si="2"/>
        <v>-1.6979987871437285E-2</v>
      </c>
      <c r="I33" s="5">
        <f t="shared" si="3"/>
        <v>5.552470849528035E-4</v>
      </c>
    </row>
    <row r="34" spans="1:9" x14ac:dyDescent="0.2">
      <c r="A34" s="42">
        <v>46090</v>
      </c>
      <c r="B34" s="41">
        <v>4204.76</v>
      </c>
      <c r="C34" s="41">
        <v>65500</v>
      </c>
      <c r="D34" s="41">
        <v>16490</v>
      </c>
      <c r="E34" s="41">
        <v>3602</v>
      </c>
      <c r="F34" s="5">
        <f t="shared" si="0"/>
        <v>-2.8820613737256084E-2</v>
      </c>
      <c r="G34" s="5">
        <f t="shared" si="1"/>
        <v>-6.3713592233010097E-3</v>
      </c>
      <c r="H34" s="5">
        <f t="shared" si="2"/>
        <v>-3.6236119228521324E-2</v>
      </c>
      <c r="I34" s="5">
        <f t="shared" si="3"/>
        <v>2.3295454545454453E-2</v>
      </c>
    </row>
    <row r="35" spans="1:9" x14ac:dyDescent="0.2">
      <c r="A35" s="42">
        <v>46087</v>
      </c>
      <c r="B35" s="41">
        <v>4329.54</v>
      </c>
      <c r="C35" s="41">
        <v>65920</v>
      </c>
      <c r="D35" s="41">
        <v>17110</v>
      </c>
      <c r="E35" s="41">
        <v>3520</v>
      </c>
      <c r="F35" s="5">
        <f t="shared" si="0"/>
        <v>-5.3325946189286544E-4</v>
      </c>
      <c r="G35" s="5">
        <f t="shared" si="1"/>
        <v>7.9510703363914192E-3</v>
      </c>
      <c r="H35" s="5">
        <f t="shared" si="2"/>
        <v>0</v>
      </c>
      <c r="I35" s="5">
        <f t="shared" si="3"/>
        <v>-2.3578363384188616E-2</v>
      </c>
    </row>
    <row r="36" spans="1:9" x14ac:dyDescent="0.2">
      <c r="A36" s="42">
        <v>46086</v>
      </c>
      <c r="B36" s="41">
        <v>4331.8500000000004</v>
      </c>
      <c r="C36" s="41">
        <v>65400</v>
      </c>
      <c r="D36" s="41">
        <v>17110</v>
      </c>
      <c r="E36" s="41">
        <v>3605</v>
      </c>
      <c r="F36" s="5">
        <f t="shared" si="0"/>
        <v>1.501724558081996E-2</v>
      </c>
      <c r="G36" s="5">
        <f t="shared" si="1"/>
        <v>5.5519690122659782E-2</v>
      </c>
      <c r="H36" s="5">
        <f t="shared" si="2"/>
        <v>1.3625592417061627E-2</v>
      </c>
      <c r="I36" s="5">
        <f t="shared" si="3"/>
        <v>-5.5447740504577236E-4</v>
      </c>
    </row>
    <row r="37" spans="1:9" x14ac:dyDescent="0.2">
      <c r="A37" s="42">
        <v>46085</v>
      </c>
      <c r="B37" s="41">
        <v>4267.76</v>
      </c>
      <c r="C37" s="41">
        <v>61960</v>
      </c>
      <c r="D37" s="41">
        <v>16880</v>
      </c>
      <c r="E37" s="41">
        <v>3607</v>
      </c>
      <c r="F37" s="5">
        <f t="shared" si="0"/>
        <v>-1.5696637873885422E-4</v>
      </c>
      <c r="G37" s="5">
        <f t="shared" si="1"/>
        <v>-1.4944356120826674E-2</v>
      </c>
      <c r="H37" s="5">
        <f t="shared" si="2"/>
        <v>5.3603335318641587E-3</v>
      </c>
      <c r="I37" s="5">
        <f t="shared" si="3"/>
        <v>0</v>
      </c>
    </row>
    <row r="38" spans="1:9" x14ac:dyDescent="0.2">
      <c r="A38" s="42">
        <v>46083</v>
      </c>
      <c r="B38" s="41">
        <v>4268.43</v>
      </c>
      <c r="C38" s="41">
        <v>62900</v>
      </c>
      <c r="D38" s="41">
        <v>16790</v>
      </c>
      <c r="E38" s="41">
        <v>3607</v>
      </c>
      <c r="F38" s="5">
        <f t="shared" si="0"/>
        <v>4.7508613835144375E-2</v>
      </c>
      <c r="G38" s="5">
        <f t="shared" si="1"/>
        <v>2.2764227642276369E-2</v>
      </c>
      <c r="H38" s="5">
        <f t="shared" si="2"/>
        <v>2.6911314984709556E-2</v>
      </c>
      <c r="I38" s="5">
        <f t="shared" si="3"/>
        <v>1.6662038322687867E-3</v>
      </c>
    </row>
    <row r="39" spans="1:9" x14ac:dyDescent="0.2">
      <c r="A39" s="42">
        <v>46080</v>
      </c>
      <c r="B39" s="41">
        <v>4074.84</v>
      </c>
      <c r="C39" s="41">
        <v>61500</v>
      </c>
      <c r="D39" s="41">
        <v>16350</v>
      </c>
      <c r="E39" s="41">
        <v>3601</v>
      </c>
      <c r="F39" s="5">
        <f t="shared" si="0"/>
        <v>5.081100280200479E-3</v>
      </c>
      <c r="G39" s="5">
        <f t="shared" si="1"/>
        <v>1.0515938218862875E-2</v>
      </c>
      <c r="H39" s="5">
        <f t="shared" si="2"/>
        <v>1.9962570180910744E-2</v>
      </c>
      <c r="I39" s="5">
        <f t="shared" si="3"/>
        <v>2.777777777778212E-4</v>
      </c>
    </row>
    <row r="40" spans="1:9" x14ac:dyDescent="0.2">
      <c r="A40" s="42">
        <v>46079</v>
      </c>
      <c r="B40" s="41">
        <v>4054.24</v>
      </c>
      <c r="C40" s="41">
        <v>60860</v>
      </c>
      <c r="D40" s="41">
        <v>16030</v>
      </c>
      <c r="E40" s="41">
        <v>3600</v>
      </c>
      <c r="F40" s="5">
        <f t="shared" si="0"/>
        <v>-1.1900844977053793E-2</v>
      </c>
      <c r="G40" s="5">
        <f t="shared" si="1"/>
        <v>0</v>
      </c>
      <c r="H40" s="5">
        <f t="shared" si="2"/>
        <v>3.1289111389236623E-3</v>
      </c>
      <c r="I40" s="5">
        <f t="shared" si="3"/>
        <v>0</v>
      </c>
    </row>
    <row r="41" spans="1:9" x14ac:dyDescent="0.2">
      <c r="A41" s="42">
        <v>46078</v>
      </c>
      <c r="B41" s="41">
        <v>4103.07</v>
      </c>
      <c r="C41" s="41">
        <v>60860</v>
      </c>
      <c r="D41" s="41">
        <v>15980</v>
      </c>
      <c r="E41" s="41">
        <v>3600</v>
      </c>
      <c r="F41" s="5">
        <f t="shared" si="0"/>
        <v>-3.2261590972586518E-3</v>
      </c>
      <c r="G41" s="5">
        <f t="shared" si="1"/>
        <v>-1.1210398050365611E-2</v>
      </c>
      <c r="H41" s="5">
        <f t="shared" si="2"/>
        <v>1.0113780025284402E-2</v>
      </c>
      <c r="I41" s="5">
        <f t="shared" si="3"/>
        <v>0</v>
      </c>
    </row>
    <row r="42" spans="1:9" x14ac:dyDescent="0.2">
      <c r="A42" s="42">
        <v>46077</v>
      </c>
      <c r="B42" s="41">
        <v>4116.3500000000004</v>
      </c>
      <c r="C42" s="41">
        <v>61550</v>
      </c>
      <c r="D42" s="41">
        <v>15820</v>
      </c>
      <c r="E42" s="41">
        <v>3600</v>
      </c>
      <c r="F42" s="5">
        <f t="shared" si="0"/>
        <v>-2.0995902136454303E-2</v>
      </c>
      <c r="G42" s="5">
        <f t="shared" si="1"/>
        <v>-6.4568200161420064E-3</v>
      </c>
      <c r="H42" s="5">
        <f t="shared" si="2"/>
        <v>-3.5365853658536617E-2</v>
      </c>
      <c r="I42" s="5">
        <f t="shared" si="3"/>
        <v>0</v>
      </c>
    </row>
    <row r="43" spans="1:9" x14ac:dyDescent="0.2">
      <c r="A43" s="42">
        <v>46076</v>
      </c>
      <c r="B43" s="41">
        <v>4204.63</v>
      </c>
      <c r="C43" s="41">
        <v>61950</v>
      </c>
      <c r="D43" s="41">
        <v>16400</v>
      </c>
      <c r="E43" s="41">
        <v>3600</v>
      </c>
      <c r="F43" s="5">
        <f t="shared" si="0"/>
        <v>4.6637018847550671E-4</v>
      </c>
      <c r="G43" s="5">
        <f t="shared" si="1"/>
        <v>-5.9370988446726392E-3</v>
      </c>
      <c r="H43" s="5">
        <f t="shared" si="2"/>
        <v>-3.0732860520094607E-2</v>
      </c>
      <c r="I43" s="5">
        <f t="shared" si="3"/>
        <v>0</v>
      </c>
    </row>
    <row r="44" spans="1:9" x14ac:dyDescent="0.2">
      <c r="A44" s="42">
        <v>46073</v>
      </c>
      <c r="B44" s="41">
        <v>4202.67</v>
      </c>
      <c r="C44" s="41">
        <v>62320</v>
      </c>
      <c r="D44" s="41">
        <v>16920</v>
      </c>
      <c r="E44" s="41">
        <v>3600</v>
      </c>
      <c r="F44" s="5">
        <f t="shared" si="0"/>
        <v>7.1099928109275012E-3</v>
      </c>
      <c r="G44" s="5">
        <f t="shared" si="1"/>
        <v>9.2307692307691536E-3</v>
      </c>
      <c r="H44" s="5">
        <f t="shared" si="2"/>
        <v>5.9453032104637149E-3</v>
      </c>
      <c r="I44" s="5">
        <f t="shared" si="3"/>
        <v>0</v>
      </c>
    </row>
    <row r="45" spans="1:9" x14ac:dyDescent="0.2">
      <c r="A45" s="42">
        <v>46072</v>
      </c>
      <c r="B45" s="41">
        <v>4173</v>
      </c>
      <c r="C45" s="41">
        <v>61750</v>
      </c>
      <c r="D45" s="41">
        <v>16820</v>
      </c>
      <c r="E45" s="41">
        <v>3600</v>
      </c>
      <c r="F45" s="5">
        <f t="shared" si="0"/>
        <v>-7.0219939988245272E-3</v>
      </c>
      <c r="G45" s="5">
        <f t="shared" si="1"/>
        <v>-1.1683738796414822E-2</v>
      </c>
      <c r="H45" s="5">
        <f t="shared" si="2"/>
        <v>-1.4645577035735213E-2</v>
      </c>
      <c r="I45" s="5">
        <f t="shared" si="3"/>
        <v>0</v>
      </c>
    </row>
    <row r="46" spans="1:9" x14ac:dyDescent="0.2">
      <c r="A46" s="42">
        <v>46071</v>
      </c>
      <c r="B46" s="41">
        <v>4202.51</v>
      </c>
      <c r="C46" s="41">
        <v>62480</v>
      </c>
      <c r="D46" s="41">
        <v>17070</v>
      </c>
      <c r="E46" s="41">
        <v>3600</v>
      </c>
      <c r="F46" s="5">
        <f t="shared" si="0"/>
        <v>8.2507221481147308E-3</v>
      </c>
      <c r="G46" s="5">
        <f t="shared" si="1"/>
        <v>9.6123037487982899E-4</v>
      </c>
      <c r="H46" s="5">
        <f t="shared" si="2"/>
        <v>-5.8548009367676013E-4</v>
      </c>
      <c r="I46" s="5">
        <f t="shared" si="3"/>
        <v>-1.1532125205930832E-2</v>
      </c>
    </row>
    <row r="47" spans="1:9" x14ac:dyDescent="0.2">
      <c r="A47" s="42">
        <v>46070</v>
      </c>
      <c r="B47" s="41">
        <v>4168.12</v>
      </c>
      <c r="C47" s="41">
        <v>62420</v>
      </c>
      <c r="D47" s="41">
        <v>17080</v>
      </c>
      <c r="E47" s="41">
        <v>3642</v>
      </c>
      <c r="F47" s="5">
        <f t="shared" si="0"/>
        <v>8.6204205516593468E-4</v>
      </c>
      <c r="G47" s="5">
        <f t="shared" si="1"/>
        <v>-3.0293615038061161E-2</v>
      </c>
      <c r="H47" s="5">
        <f t="shared" si="2"/>
        <v>1.4251781472684133E-2</v>
      </c>
      <c r="I47" s="5">
        <f t="shared" si="3"/>
        <v>-3.4208432776451914E-2</v>
      </c>
    </row>
    <row r="48" spans="1:9" x14ac:dyDescent="0.2">
      <c r="A48" s="42">
        <v>46069</v>
      </c>
      <c r="B48" s="41">
        <v>4164.53</v>
      </c>
      <c r="C48" s="41">
        <v>64370</v>
      </c>
      <c r="D48" s="41">
        <v>16840</v>
      </c>
      <c r="E48" s="41">
        <v>3771</v>
      </c>
      <c r="F48" s="5">
        <f t="shared" si="0"/>
        <v>4.6874623048900332E-3</v>
      </c>
      <c r="G48" s="5">
        <f t="shared" si="1"/>
        <v>1.5139567891499839E-2</v>
      </c>
      <c r="H48" s="5">
        <f t="shared" si="2"/>
        <v>1.8753781004234638E-2</v>
      </c>
      <c r="I48" s="5">
        <f t="shared" si="3"/>
        <v>-1.059602649006619E-3</v>
      </c>
    </row>
    <row r="49" spans="1:9" x14ac:dyDescent="0.2">
      <c r="A49" s="42">
        <v>46066</v>
      </c>
      <c r="B49" s="41">
        <v>4145.1000000000004</v>
      </c>
      <c r="C49" s="41">
        <v>63410</v>
      </c>
      <c r="D49" s="41">
        <v>16530</v>
      </c>
      <c r="E49" s="41">
        <v>3775</v>
      </c>
      <c r="F49" s="5">
        <f t="shared" si="0"/>
        <v>-5.310482022830354E-3</v>
      </c>
      <c r="G49" s="5">
        <f t="shared" si="1"/>
        <v>-1.7317380352644962E-3</v>
      </c>
      <c r="H49" s="5">
        <f t="shared" si="2"/>
        <v>-8.9928057553957386E-3</v>
      </c>
      <c r="I49" s="5">
        <f t="shared" si="3"/>
        <v>0</v>
      </c>
    </row>
    <row r="50" spans="1:9" x14ac:dyDescent="0.2">
      <c r="A50" s="42">
        <v>46065</v>
      </c>
      <c r="B50" s="41">
        <v>4167.2299999999996</v>
      </c>
      <c r="C50" s="41">
        <v>63520</v>
      </c>
      <c r="D50" s="41">
        <v>16680</v>
      </c>
      <c r="E50" s="41">
        <v>3775</v>
      </c>
      <c r="F50" s="5">
        <f t="shared" si="0"/>
        <v>7.5483376490868004E-3</v>
      </c>
      <c r="G50" s="5">
        <f t="shared" si="1"/>
        <v>-4.2326383445681071E-3</v>
      </c>
      <c r="H50" s="5">
        <f t="shared" si="2"/>
        <v>6.638503319251754E-3</v>
      </c>
      <c r="I50" s="5">
        <f t="shared" si="3"/>
        <v>0</v>
      </c>
    </row>
    <row r="51" spans="1:9" x14ac:dyDescent="0.2">
      <c r="A51" s="42">
        <v>46064</v>
      </c>
      <c r="B51" s="41">
        <v>4136.01</v>
      </c>
      <c r="C51" s="41">
        <v>63790</v>
      </c>
      <c r="D51" s="41">
        <v>16570</v>
      </c>
      <c r="E51" s="41">
        <v>3775</v>
      </c>
      <c r="F51" s="5">
        <f t="shared" si="0"/>
        <v>-6.213553042262121E-3</v>
      </c>
      <c r="G51" s="5">
        <f t="shared" si="1"/>
        <v>-4.7007207771854187E-4</v>
      </c>
      <c r="H51" s="5">
        <f t="shared" si="2"/>
        <v>1.5318627450980449E-2</v>
      </c>
      <c r="I51" s="5">
        <f t="shared" si="3"/>
        <v>0</v>
      </c>
    </row>
    <row r="52" spans="1:9" x14ac:dyDescent="0.2">
      <c r="A52" s="42">
        <v>46063</v>
      </c>
      <c r="B52" s="41">
        <v>4161.87</v>
      </c>
      <c r="C52" s="41">
        <v>63820</v>
      </c>
      <c r="D52" s="41">
        <v>16320</v>
      </c>
      <c r="E52" s="41">
        <v>3775</v>
      </c>
      <c r="F52" s="5">
        <f t="shared" si="0"/>
        <v>1.6888400219901012E-2</v>
      </c>
      <c r="G52" s="5">
        <f t="shared" si="1"/>
        <v>1.3015873015872925E-2</v>
      </c>
      <c r="H52" s="5">
        <f t="shared" si="2"/>
        <v>6.1312078479458521E-4</v>
      </c>
      <c r="I52" s="5">
        <f t="shared" si="3"/>
        <v>-5.3884711779448646E-2</v>
      </c>
    </row>
    <row r="53" spans="1:9" x14ac:dyDescent="0.2">
      <c r="A53" s="42">
        <v>46062</v>
      </c>
      <c r="B53" s="41">
        <v>4092.75</v>
      </c>
      <c r="C53" s="41">
        <v>63000</v>
      </c>
      <c r="D53" s="41">
        <v>16310</v>
      </c>
      <c r="E53" s="41">
        <v>3990</v>
      </c>
      <c r="F53" s="5">
        <f t="shared" si="0"/>
        <v>1.5858083924484845E-2</v>
      </c>
      <c r="G53" s="5">
        <f t="shared" si="1"/>
        <v>-1.4238773274917849E-2</v>
      </c>
      <c r="H53" s="5">
        <f t="shared" si="2"/>
        <v>8.0346106304078901E-3</v>
      </c>
      <c r="I53" s="5">
        <f t="shared" si="3"/>
        <v>-1.0907288051561714E-2</v>
      </c>
    </row>
    <row r="54" spans="1:9" x14ac:dyDescent="0.2">
      <c r="A54" s="42">
        <v>46059</v>
      </c>
      <c r="B54" s="41">
        <v>4028.86</v>
      </c>
      <c r="C54" s="41">
        <v>63910</v>
      </c>
      <c r="D54" s="41">
        <v>16180</v>
      </c>
      <c r="E54" s="41">
        <v>4034</v>
      </c>
      <c r="F54" s="5">
        <f t="shared" si="0"/>
        <v>4.0722880796195682E-4</v>
      </c>
      <c r="G54" s="5">
        <f t="shared" si="1"/>
        <v>-1.358234295415961E-2</v>
      </c>
      <c r="H54" s="5">
        <f t="shared" si="2"/>
        <v>-1.8203883495145678E-2</v>
      </c>
      <c r="I54" s="5">
        <f t="shared" si="3"/>
        <v>0</v>
      </c>
    </row>
    <row r="55" spans="1:9" x14ac:dyDescent="0.2">
      <c r="A55" s="42">
        <v>46058</v>
      </c>
      <c r="B55" s="41">
        <v>4027.22</v>
      </c>
      <c r="C55" s="41">
        <v>64790</v>
      </c>
      <c r="D55" s="41">
        <v>16480</v>
      </c>
      <c r="E55" s="41">
        <v>4034</v>
      </c>
      <c r="F55" s="5">
        <f t="shared" si="0"/>
        <v>-1.7981155631852097E-2</v>
      </c>
      <c r="G55" s="5">
        <f t="shared" si="1"/>
        <v>-3.2307692307692593E-3</v>
      </c>
      <c r="H55" s="5">
        <f t="shared" si="2"/>
        <v>-3.0588235294117694E-2</v>
      </c>
      <c r="I55" s="5">
        <f t="shared" si="3"/>
        <v>4.4820717131475174E-3</v>
      </c>
    </row>
    <row r="56" spans="1:9" x14ac:dyDescent="0.2">
      <c r="A56" s="42">
        <v>46057</v>
      </c>
      <c r="B56" s="41">
        <v>4100.96</v>
      </c>
      <c r="C56" s="41">
        <v>65000</v>
      </c>
      <c r="D56" s="41">
        <v>17000</v>
      </c>
      <c r="E56" s="41">
        <v>4016</v>
      </c>
      <c r="F56" s="5">
        <f t="shared" si="0"/>
        <v>-1.4633659364446938E-3</v>
      </c>
      <c r="G56" s="5">
        <f t="shared" si="1"/>
        <v>-1.3827008757105741E-3</v>
      </c>
      <c r="H56" s="5">
        <f t="shared" si="2"/>
        <v>0</v>
      </c>
      <c r="I56" s="5">
        <f t="shared" si="3"/>
        <v>1.6708860759493627E-2</v>
      </c>
    </row>
    <row r="57" spans="1:9" x14ac:dyDescent="0.2">
      <c r="A57" s="42">
        <v>46056</v>
      </c>
      <c r="B57" s="41">
        <v>4106.97</v>
      </c>
      <c r="C57" s="41">
        <v>65090</v>
      </c>
      <c r="D57" s="41">
        <v>17000</v>
      </c>
      <c r="E57" s="41">
        <v>3950</v>
      </c>
      <c r="F57" s="5">
        <f t="shared" si="0"/>
        <v>1.6544022098298861E-2</v>
      </c>
      <c r="G57" s="5">
        <f t="shared" si="1"/>
        <v>1.2916277622160077E-2</v>
      </c>
      <c r="H57" s="5">
        <f t="shared" si="2"/>
        <v>0</v>
      </c>
      <c r="I57" s="5">
        <f t="shared" si="3"/>
        <v>3.0524393425515273E-2</v>
      </c>
    </row>
    <row r="58" spans="1:9" x14ac:dyDescent="0.2">
      <c r="A58" s="42">
        <v>46055</v>
      </c>
      <c r="B58" s="41">
        <v>4040.13</v>
      </c>
      <c r="C58" s="41">
        <v>64260</v>
      </c>
      <c r="D58" s="41">
        <v>17000</v>
      </c>
      <c r="E58" s="41">
        <v>3833</v>
      </c>
      <c r="F58" s="5">
        <f t="shared" si="0"/>
        <v>1.11346367540619E-2</v>
      </c>
      <c r="G58" s="5">
        <f t="shared" si="1"/>
        <v>4.8475371383893684E-3</v>
      </c>
      <c r="H58" s="5">
        <f t="shared" si="2"/>
        <v>-1.7341040462427793E-2</v>
      </c>
      <c r="I58" s="5">
        <f t="shared" si="3"/>
        <v>0</v>
      </c>
    </row>
    <row r="59" spans="1:9" x14ac:dyDescent="0.2">
      <c r="A59" s="42">
        <v>46052</v>
      </c>
      <c r="B59" s="41">
        <v>3995.64</v>
      </c>
      <c r="C59" s="41">
        <v>63950</v>
      </c>
      <c r="D59" s="41">
        <v>17300</v>
      </c>
      <c r="E59" s="41">
        <v>3833</v>
      </c>
      <c r="F59" s="5">
        <f t="shared" si="0"/>
        <v>3.1986743327725442E-3</v>
      </c>
      <c r="G59" s="5">
        <f t="shared" si="1"/>
        <v>-2.3400936037440978E-3</v>
      </c>
      <c r="H59" s="5">
        <f t="shared" si="2"/>
        <v>1.8845700824499323E-2</v>
      </c>
      <c r="I59" s="5">
        <f t="shared" si="3"/>
        <v>0</v>
      </c>
    </row>
    <row r="60" spans="1:9" x14ac:dyDescent="0.2">
      <c r="A60" s="42">
        <v>46051</v>
      </c>
      <c r="B60" s="41">
        <v>3982.9</v>
      </c>
      <c r="C60" s="41">
        <v>64100</v>
      </c>
      <c r="D60" s="41">
        <v>16980</v>
      </c>
      <c r="E60" s="41">
        <v>3833</v>
      </c>
      <c r="F60" s="5">
        <f t="shared" si="0"/>
        <v>-2.1220783841137125E-3</v>
      </c>
      <c r="G60" s="5">
        <f t="shared" si="1"/>
        <v>-1.0802469135802517E-2</v>
      </c>
      <c r="H60" s="5">
        <f t="shared" si="2"/>
        <v>-1.1764705882353343E-3</v>
      </c>
      <c r="I60" s="5">
        <f t="shared" si="3"/>
        <v>0</v>
      </c>
    </row>
    <row r="61" spans="1:9" x14ac:dyDescent="0.2">
      <c r="A61" s="42">
        <v>46050</v>
      </c>
      <c r="B61" s="41">
        <v>3991.37</v>
      </c>
      <c r="C61" s="41">
        <v>64800</v>
      </c>
      <c r="D61" s="41">
        <v>17000</v>
      </c>
      <c r="E61" s="41">
        <v>3833</v>
      </c>
      <c r="F61" s="5">
        <f t="shared" si="0"/>
        <v>-8.655761483475799E-3</v>
      </c>
      <c r="G61" s="5">
        <f t="shared" si="1"/>
        <v>-2.9235266964148243E-3</v>
      </c>
      <c r="H61" s="5">
        <f t="shared" si="2"/>
        <v>-5.2924791086350953E-2</v>
      </c>
      <c r="I61" s="5">
        <f t="shared" si="3"/>
        <v>-1.2876641771825903E-2</v>
      </c>
    </row>
    <row r="62" spans="1:9" x14ac:dyDescent="0.2">
      <c r="A62" s="42">
        <v>46049</v>
      </c>
      <c r="B62" s="41">
        <v>4026.22</v>
      </c>
      <c r="C62" s="41">
        <v>64990</v>
      </c>
      <c r="D62" s="41">
        <v>17950</v>
      </c>
      <c r="E62" s="41">
        <v>3883</v>
      </c>
      <c r="F62" s="5">
        <f t="shared" si="0"/>
        <v>-5.585247004445959E-4</v>
      </c>
      <c r="G62" s="5">
        <f t="shared" si="1"/>
        <v>-1.961080102579571E-2</v>
      </c>
      <c r="H62" s="5">
        <f t="shared" si="2"/>
        <v>-7.7390823659480024E-3</v>
      </c>
      <c r="I62" s="5">
        <f t="shared" si="3"/>
        <v>3.0246749801008166E-2</v>
      </c>
    </row>
    <row r="63" spans="1:9" x14ac:dyDescent="0.2">
      <c r="A63" s="42">
        <v>46048</v>
      </c>
      <c r="B63" s="41">
        <v>4028.47</v>
      </c>
      <c r="C63" s="41">
        <v>66290</v>
      </c>
      <c r="D63" s="41">
        <v>18090</v>
      </c>
      <c r="E63" s="41">
        <v>3769</v>
      </c>
      <c r="F63" s="5">
        <f t="shared" si="0"/>
        <v>4.7763710554407091E-3</v>
      </c>
      <c r="G63" s="5">
        <f t="shared" si="1"/>
        <v>-3.6073951600781307E-3</v>
      </c>
      <c r="H63" s="5">
        <f t="shared" si="2"/>
        <v>1.0614525139664766E-2</v>
      </c>
      <c r="I63" s="5">
        <f t="shared" si="3"/>
        <v>0</v>
      </c>
    </row>
    <row r="64" spans="1:9" x14ac:dyDescent="0.2">
      <c r="A64" s="42">
        <v>46045</v>
      </c>
      <c r="B64" s="41">
        <v>4009.32</v>
      </c>
      <c r="C64" s="41">
        <v>66530</v>
      </c>
      <c r="D64" s="41">
        <v>17900</v>
      </c>
      <c r="E64" s="41">
        <v>3769</v>
      </c>
      <c r="F64" s="5">
        <f t="shared" si="0"/>
        <v>5.2628543776469527E-3</v>
      </c>
      <c r="G64" s="5">
        <f t="shared" si="1"/>
        <v>-1.5008254539996546E-3</v>
      </c>
      <c r="H64" s="5">
        <f t="shared" si="2"/>
        <v>-5.5555555555555358E-3</v>
      </c>
      <c r="I64" s="5">
        <f t="shared" si="3"/>
        <v>1.8648648648648569E-2</v>
      </c>
    </row>
    <row r="65" spans="1:9" x14ac:dyDescent="0.2">
      <c r="A65" s="42">
        <v>46044</v>
      </c>
      <c r="B65" s="41">
        <v>3988.33</v>
      </c>
      <c r="C65" s="41">
        <v>66630</v>
      </c>
      <c r="D65" s="41">
        <v>18000</v>
      </c>
      <c r="E65" s="41">
        <v>3700</v>
      </c>
      <c r="F65" s="5">
        <f t="shared" si="0"/>
        <v>1.1932611067414278E-2</v>
      </c>
      <c r="G65" s="5">
        <f t="shared" si="1"/>
        <v>2.6656394453004717E-2</v>
      </c>
      <c r="H65" s="5">
        <f t="shared" si="2"/>
        <v>-2.9126213592232997E-2</v>
      </c>
      <c r="I65" s="5">
        <f t="shared" si="3"/>
        <v>8.9991818925552192E-3</v>
      </c>
    </row>
    <row r="66" spans="1:9" x14ac:dyDescent="0.2">
      <c r="A66" s="42">
        <v>46043</v>
      </c>
      <c r="B66" s="41">
        <v>3941.3</v>
      </c>
      <c r="C66" s="41">
        <v>64900</v>
      </c>
      <c r="D66" s="41">
        <v>18540</v>
      </c>
      <c r="E66" s="41">
        <v>3667</v>
      </c>
      <c r="F66" s="5">
        <f t="shared" si="0"/>
        <v>-4.8177195117640181E-3</v>
      </c>
      <c r="G66" s="5">
        <f t="shared" si="1"/>
        <v>-2.1116138763197623E-2</v>
      </c>
      <c r="H66" s="5">
        <f t="shared" si="2"/>
        <v>4.2744656917885315E-2</v>
      </c>
      <c r="I66" s="5">
        <f t="shared" si="3"/>
        <v>0</v>
      </c>
    </row>
    <row r="67" spans="1:9" x14ac:dyDescent="0.2">
      <c r="A67" s="42">
        <v>46042</v>
      </c>
      <c r="B67" s="41">
        <v>3960.38</v>
      </c>
      <c r="C67" s="41">
        <v>66300</v>
      </c>
      <c r="D67" s="41">
        <v>17780</v>
      </c>
      <c r="E67" s="41">
        <v>3667</v>
      </c>
      <c r="F67" s="5">
        <f t="shared" ref="F67:F130" si="4">B67/B68-1</f>
        <v>-6.8884235866444321E-3</v>
      </c>
      <c r="G67" s="5">
        <f t="shared" ref="G67:G130" si="5">C67/C68-1</f>
        <v>-4.5045045045044585E-3</v>
      </c>
      <c r="H67" s="5">
        <f t="shared" ref="H67:H130" si="6">D67/D68-1</f>
        <v>0</v>
      </c>
      <c r="I67" s="5">
        <f t="shared" ref="I67:I130" si="7">E67/E68-1</f>
        <v>-2.3955283470854405E-2</v>
      </c>
    </row>
    <row r="68" spans="1:9" x14ac:dyDescent="0.2">
      <c r="A68" s="42">
        <v>46041</v>
      </c>
      <c r="B68" s="41">
        <v>3987.85</v>
      </c>
      <c r="C68" s="41">
        <v>66600</v>
      </c>
      <c r="D68" s="41">
        <v>17780</v>
      </c>
      <c r="E68" s="41">
        <v>3757</v>
      </c>
      <c r="F68" s="5">
        <f t="shared" si="4"/>
        <v>-3.5332422119994655E-3</v>
      </c>
      <c r="G68" s="5">
        <f t="shared" si="5"/>
        <v>-1.8422991893883522E-2</v>
      </c>
      <c r="H68" s="5">
        <f t="shared" si="6"/>
        <v>0</v>
      </c>
      <c r="I68" s="5">
        <f t="shared" si="7"/>
        <v>0</v>
      </c>
    </row>
    <row r="69" spans="1:9" x14ac:dyDescent="0.2">
      <c r="A69" s="42">
        <v>46038</v>
      </c>
      <c r="B69" s="41">
        <v>4001.99</v>
      </c>
      <c r="C69" s="41">
        <v>67850</v>
      </c>
      <c r="D69" s="41">
        <v>17780</v>
      </c>
      <c r="E69" s="41">
        <v>3757</v>
      </c>
      <c r="F69" s="5">
        <f t="shared" si="4"/>
        <v>3.2941825338128616E-3</v>
      </c>
      <c r="G69" s="5">
        <f t="shared" si="5"/>
        <v>9.5223925011158617E-3</v>
      </c>
      <c r="H69" s="5">
        <f t="shared" si="6"/>
        <v>4.5267489711934061E-2</v>
      </c>
      <c r="I69" s="5">
        <f t="shared" si="7"/>
        <v>0</v>
      </c>
    </row>
    <row r="70" spans="1:9" x14ac:dyDescent="0.2">
      <c r="A70" s="42">
        <v>46037</v>
      </c>
      <c r="B70" s="41">
        <v>3988.85</v>
      </c>
      <c r="C70" s="41">
        <v>67210</v>
      </c>
      <c r="D70" s="41">
        <v>17010</v>
      </c>
      <c r="E70" s="41">
        <v>3757</v>
      </c>
      <c r="F70" s="5">
        <f t="shared" si="4"/>
        <v>6.2714588079182398E-3</v>
      </c>
      <c r="G70" s="5">
        <f t="shared" si="5"/>
        <v>-8.7020648967551795E-3</v>
      </c>
      <c r="H70" s="5">
        <f t="shared" si="6"/>
        <v>-1.8465089440277027E-2</v>
      </c>
      <c r="I70" s="5">
        <f t="shared" si="7"/>
        <v>0</v>
      </c>
    </row>
    <row r="71" spans="1:9" x14ac:dyDescent="0.2">
      <c r="A71" s="42">
        <v>46036</v>
      </c>
      <c r="B71" s="41">
        <v>3963.99</v>
      </c>
      <c r="C71" s="41">
        <v>67800</v>
      </c>
      <c r="D71" s="41">
        <v>17330</v>
      </c>
      <c r="E71" s="41">
        <v>3757</v>
      </c>
      <c r="F71" s="5">
        <f t="shared" si="4"/>
        <v>1.2929966090780676E-2</v>
      </c>
      <c r="G71" s="5">
        <f t="shared" si="5"/>
        <v>1.3291980505094614E-3</v>
      </c>
      <c r="H71" s="5">
        <f t="shared" si="6"/>
        <v>2.1213906894519852E-2</v>
      </c>
      <c r="I71" s="5">
        <f t="shared" si="7"/>
        <v>0</v>
      </c>
    </row>
    <row r="72" spans="1:9" x14ac:dyDescent="0.2">
      <c r="A72" s="42">
        <v>46035</v>
      </c>
      <c r="B72" s="41">
        <v>3913.39</v>
      </c>
      <c r="C72" s="41">
        <v>67710</v>
      </c>
      <c r="D72" s="41">
        <v>16970</v>
      </c>
      <c r="E72" s="41">
        <v>3757</v>
      </c>
      <c r="F72" s="5">
        <f t="shared" si="4"/>
        <v>-3.3083909351616647E-3</v>
      </c>
      <c r="G72" s="5">
        <f t="shared" si="5"/>
        <v>-2.9525584061917742E-2</v>
      </c>
      <c r="H72" s="5">
        <f t="shared" si="6"/>
        <v>1.3739545997610403E-2</v>
      </c>
      <c r="I72" s="5">
        <f t="shared" si="7"/>
        <v>7.0370370370370416E-2</v>
      </c>
    </row>
    <row r="73" spans="1:9" x14ac:dyDescent="0.2">
      <c r="A73" s="42">
        <v>46034</v>
      </c>
      <c r="B73" s="41">
        <v>3926.38</v>
      </c>
      <c r="C73" s="41">
        <v>69770</v>
      </c>
      <c r="D73" s="41">
        <v>16740</v>
      </c>
      <c r="E73" s="41">
        <v>3510</v>
      </c>
      <c r="F73" s="5">
        <f t="shared" si="4"/>
        <v>4.8934547483401314E-3</v>
      </c>
      <c r="G73" s="5">
        <f t="shared" si="5"/>
        <v>-1.8568012378674892E-2</v>
      </c>
      <c r="H73" s="5">
        <f t="shared" si="6"/>
        <v>-5.9701492537311829E-4</v>
      </c>
      <c r="I73" s="5">
        <f t="shared" si="7"/>
        <v>0</v>
      </c>
    </row>
    <row r="74" spans="1:9" x14ac:dyDescent="0.2">
      <c r="A74" s="42">
        <v>46031</v>
      </c>
      <c r="B74" s="41">
        <v>3907.26</v>
      </c>
      <c r="C74" s="41">
        <v>71090</v>
      </c>
      <c r="D74" s="41">
        <v>16750</v>
      </c>
      <c r="E74" s="41">
        <v>3510</v>
      </c>
      <c r="F74" s="5">
        <f t="shared" si="4"/>
        <v>7.3243358211843024E-3</v>
      </c>
      <c r="G74" s="5">
        <f t="shared" si="5"/>
        <v>-2.1055586749016975E-3</v>
      </c>
      <c r="H74" s="5">
        <f t="shared" si="6"/>
        <v>1.5151515151515138E-2</v>
      </c>
      <c r="I74" s="5">
        <f t="shared" si="7"/>
        <v>0</v>
      </c>
    </row>
    <row r="75" spans="1:9" x14ac:dyDescent="0.2">
      <c r="A75" s="42">
        <v>46030</v>
      </c>
      <c r="B75" s="41">
        <v>3878.85</v>
      </c>
      <c r="C75" s="41">
        <v>71240</v>
      </c>
      <c r="D75" s="41">
        <v>16500</v>
      </c>
      <c r="E75" s="41">
        <v>3510</v>
      </c>
      <c r="F75" s="5">
        <f t="shared" si="4"/>
        <v>-3.857345006381796E-3</v>
      </c>
      <c r="G75" s="5">
        <f t="shared" si="5"/>
        <v>9.3510909606120407E-3</v>
      </c>
      <c r="H75" s="5">
        <f t="shared" si="6"/>
        <v>-2.424600827912482E-2</v>
      </c>
      <c r="I75" s="5">
        <f t="shared" si="7"/>
        <v>1.5625E-2</v>
      </c>
    </row>
    <row r="76" spans="1:9" x14ac:dyDescent="0.2">
      <c r="A76" s="42">
        <v>46029</v>
      </c>
      <c r="B76" s="41">
        <v>3893.87</v>
      </c>
      <c r="C76" s="41">
        <v>70580</v>
      </c>
      <c r="D76" s="41">
        <v>16910</v>
      </c>
      <c r="E76" s="41">
        <v>3456</v>
      </c>
      <c r="F76" s="5">
        <f t="shared" si="4"/>
        <v>7.8904081422837002E-4</v>
      </c>
      <c r="G76" s="5">
        <f t="shared" si="5"/>
        <v>1.2625538020086147E-2</v>
      </c>
      <c r="H76" s="5">
        <f t="shared" si="6"/>
        <v>1.561561561561553E-2</v>
      </c>
      <c r="I76" s="5">
        <f t="shared" si="7"/>
        <v>-2.5974025974025983E-3</v>
      </c>
    </row>
    <row r="77" spans="1:9" x14ac:dyDescent="0.2">
      <c r="A77" s="42">
        <v>46028</v>
      </c>
      <c r="B77" s="41">
        <v>3890.8</v>
      </c>
      <c r="C77" s="41">
        <v>69700</v>
      </c>
      <c r="D77" s="41">
        <v>16650</v>
      </c>
      <c r="E77" s="41">
        <v>3465</v>
      </c>
      <c r="F77" s="5">
        <f t="shared" si="4"/>
        <v>2.5470723427583497E-2</v>
      </c>
      <c r="G77" s="5">
        <f t="shared" si="5"/>
        <v>1.3081395348837122E-2</v>
      </c>
      <c r="H77" s="5">
        <f t="shared" si="6"/>
        <v>-1.5375517445298637E-2</v>
      </c>
      <c r="I77" s="5">
        <f t="shared" si="7"/>
        <v>1.7346053772766545E-3</v>
      </c>
    </row>
    <row r="78" spans="1:9" x14ac:dyDescent="0.2">
      <c r="A78" s="42">
        <v>46027</v>
      </c>
      <c r="B78" s="41">
        <v>3794.16</v>
      </c>
      <c r="C78" s="41">
        <v>68800</v>
      </c>
      <c r="D78" s="41">
        <v>16910</v>
      </c>
      <c r="E78" s="41">
        <v>3459</v>
      </c>
      <c r="F78" s="5">
        <f t="shared" si="4"/>
        <v>1.6361824552380222E-2</v>
      </c>
      <c r="G78" s="5">
        <f t="shared" si="5"/>
        <v>6.1073411474398487E-2</v>
      </c>
      <c r="H78" s="5">
        <f t="shared" si="6"/>
        <v>5.3582554517134007E-2</v>
      </c>
      <c r="I78" s="5">
        <f t="shared" si="7"/>
        <v>2.6086956521738092E-3</v>
      </c>
    </row>
    <row r="79" spans="1:9" x14ac:dyDescent="0.2">
      <c r="A79" s="42">
        <v>46023</v>
      </c>
      <c r="B79" s="41">
        <v>3733.08</v>
      </c>
      <c r="C79" s="41">
        <v>64840</v>
      </c>
      <c r="D79" s="41">
        <v>16050</v>
      </c>
      <c r="E79" s="41">
        <v>3450</v>
      </c>
      <c r="F79" s="5">
        <f t="shared" si="4"/>
        <v>1.8981640708167546E-2</v>
      </c>
      <c r="G79" s="5">
        <f t="shared" si="5"/>
        <v>-4.7582501918649323E-3</v>
      </c>
      <c r="H79" s="5">
        <f t="shared" si="6"/>
        <v>2.3596938775510168E-2</v>
      </c>
      <c r="I79" s="5">
        <f t="shared" si="7"/>
        <v>-3.1782721756717924E-3</v>
      </c>
    </row>
    <row r="80" spans="1:9" x14ac:dyDescent="0.2">
      <c r="A80" s="42">
        <v>46022</v>
      </c>
      <c r="B80" s="41">
        <v>3663.54</v>
      </c>
      <c r="C80" s="41">
        <v>65150</v>
      </c>
      <c r="D80" s="41">
        <v>15680</v>
      </c>
      <c r="E80" s="41">
        <v>3461</v>
      </c>
      <c r="F80" s="5">
        <f t="shared" si="4"/>
        <v>-7.3832431539047061E-3</v>
      </c>
      <c r="G80" s="5">
        <f t="shared" si="5"/>
        <v>6.1434495469203654E-4</v>
      </c>
      <c r="H80" s="5">
        <f t="shared" si="6"/>
        <v>-7.5949367088608E-3</v>
      </c>
      <c r="I80" s="5">
        <f t="shared" si="7"/>
        <v>2.8901734104036514E-4</v>
      </c>
    </row>
    <row r="81" spans="1:9" x14ac:dyDescent="0.2">
      <c r="A81" s="42">
        <v>46021</v>
      </c>
      <c r="B81" s="41">
        <v>3690.79</v>
      </c>
      <c r="C81" s="41">
        <v>65110</v>
      </c>
      <c r="D81" s="41">
        <v>15800</v>
      </c>
      <c r="E81" s="41">
        <v>3460</v>
      </c>
      <c r="F81" s="5">
        <f t="shared" si="4"/>
        <v>1.0165177288464999E-2</v>
      </c>
      <c r="G81" s="5">
        <f t="shared" si="5"/>
        <v>4.783950617283983E-3</v>
      </c>
      <c r="H81" s="5">
        <f t="shared" si="6"/>
        <v>1.2820512820512775E-2</v>
      </c>
      <c r="I81" s="5">
        <f t="shared" si="7"/>
        <v>0</v>
      </c>
    </row>
    <row r="82" spans="1:9" x14ac:dyDescent="0.2">
      <c r="A82" s="42">
        <v>46020</v>
      </c>
      <c r="B82" s="41">
        <v>3653.65</v>
      </c>
      <c r="C82" s="41">
        <v>64800</v>
      </c>
      <c r="D82" s="41">
        <v>15600</v>
      </c>
      <c r="E82" s="41">
        <v>3460</v>
      </c>
      <c r="F82" s="5">
        <f t="shared" si="4"/>
        <v>1.7547467269860562E-3</v>
      </c>
      <c r="G82" s="5">
        <f t="shared" si="5"/>
        <v>8.0896079651524566E-3</v>
      </c>
      <c r="H82" s="5">
        <f t="shared" si="6"/>
        <v>1.9607843137254832E-2</v>
      </c>
      <c r="I82" s="5">
        <f t="shared" si="7"/>
        <v>0</v>
      </c>
    </row>
    <row r="83" spans="1:9" x14ac:dyDescent="0.2">
      <c r="A83" s="42">
        <v>46019</v>
      </c>
      <c r="B83" s="41">
        <v>3647.25</v>
      </c>
      <c r="C83" s="41">
        <v>64280</v>
      </c>
      <c r="D83" s="41">
        <v>15300</v>
      </c>
      <c r="E83" s="41">
        <v>3460</v>
      </c>
      <c r="F83" s="5">
        <f t="shared" si="4"/>
        <v>5.6163975648491071E-3</v>
      </c>
      <c r="G83" s="5">
        <f t="shared" si="5"/>
        <v>2.031746031746029E-2</v>
      </c>
      <c r="H83" s="5">
        <f t="shared" si="6"/>
        <v>6.5789473684210176E-3</v>
      </c>
      <c r="I83" s="5">
        <f t="shared" si="7"/>
        <v>0</v>
      </c>
    </row>
    <row r="84" spans="1:9" x14ac:dyDescent="0.2">
      <c r="A84" s="42">
        <v>46016</v>
      </c>
      <c r="B84" s="41">
        <v>3626.88</v>
      </c>
      <c r="C84" s="41">
        <v>63000</v>
      </c>
      <c r="D84" s="41">
        <v>15200</v>
      </c>
      <c r="E84" s="41">
        <v>3460</v>
      </c>
      <c r="F84" s="5">
        <f t="shared" si="4"/>
        <v>-3.0481888096746457E-2</v>
      </c>
      <c r="G84" s="5">
        <f t="shared" si="5"/>
        <v>-5.7732575530960228E-2</v>
      </c>
      <c r="H84" s="5">
        <f t="shared" si="6"/>
        <v>-2.0618556701030966E-2</v>
      </c>
      <c r="I84" s="5">
        <f t="shared" si="7"/>
        <v>1.2287887653598561E-2</v>
      </c>
    </row>
    <row r="85" spans="1:9" x14ac:dyDescent="0.2">
      <c r="A85" s="42">
        <v>46015</v>
      </c>
      <c r="B85" s="41">
        <v>3740.91</v>
      </c>
      <c r="C85" s="41">
        <v>66860</v>
      </c>
      <c r="D85" s="41">
        <v>15520</v>
      </c>
      <c r="E85" s="41">
        <v>3418</v>
      </c>
      <c r="F85" s="5">
        <f t="shared" si="4"/>
        <v>3.4979760560320816E-3</v>
      </c>
      <c r="G85" s="5">
        <f t="shared" si="5"/>
        <v>1.4875531268973896E-2</v>
      </c>
      <c r="H85" s="5">
        <f t="shared" si="6"/>
        <v>1.5042511445389151E-2</v>
      </c>
      <c r="I85" s="5">
        <f t="shared" si="7"/>
        <v>1.8777943368107231E-2</v>
      </c>
    </row>
    <row r="86" spans="1:9" x14ac:dyDescent="0.2">
      <c r="A86" s="42">
        <v>46014</v>
      </c>
      <c r="B86" s="41">
        <v>3727.87</v>
      </c>
      <c r="C86" s="41">
        <v>65880</v>
      </c>
      <c r="D86" s="41">
        <v>15290</v>
      </c>
      <c r="E86" s="41">
        <v>3355</v>
      </c>
      <c r="F86" s="5">
        <f t="shared" si="4"/>
        <v>1.243540572189783E-3</v>
      </c>
      <c r="G86" s="5">
        <f t="shared" si="5"/>
        <v>1.9025522041763443E-2</v>
      </c>
      <c r="H86" s="5">
        <f t="shared" si="6"/>
        <v>-1.3063357282822041E-3</v>
      </c>
      <c r="I86" s="5">
        <f t="shared" si="7"/>
        <v>1.7591750075826473E-2</v>
      </c>
    </row>
    <row r="87" spans="1:9" x14ac:dyDescent="0.2">
      <c r="A87" s="42">
        <v>46013</v>
      </c>
      <c r="B87" s="41">
        <v>3723.24</v>
      </c>
      <c r="C87" s="41">
        <v>64650</v>
      </c>
      <c r="D87" s="41">
        <v>15310</v>
      </c>
      <c r="E87" s="41">
        <v>3297</v>
      </c>
      <c r="F87" s="5">
        <f t="shared" si="4"/>
        <v>5.0912703340368903E-3</v>
      </c>
      <c r="G87" s="5">
        <f t="shared" si="5"/>
        <v>-1.5465511908441254E-4</v>
      </c>
      <c r="H87" s="5">
        <f t="shared" si="6"/>
        <v>2.9589778076664519E-2</v>
      </c>
      <c r="I87" s="5">
        <f t="shared" si="7"/>
        <v>0</v>
      </c>
    </row>
    <row r="88" spans="1:9" x14ac:dyDescent="0.2">
      <c r="A88" s="42">
        <v>46012</v>
      </c>
      <c r="B88" s="41">
        <v>3704.38</v>
      </c>
      <c r="C88" s="41">
        <v>64660</v>
      </c>
      <c r="D88" s="41">
        <v>14870</v>
      </c>
      <c r="E88" s="41">
        <v>3297</v>
      </c>
      <c r="F88" s="5">
        <f t="shared" si="4"/>
        <v>5.4910902107676574E-3</v>
      </c>
      <c r="G88" s="5">
        <f t="shared" si="5"/>
        <v>-1.0814151089139079E-3</v>
      </c>
      <c r="H88" s="5">
        <f t="shared" si="6"/>
        <v>2.2696011004126548E-2</v>
      </c>
      <c r="I88" s="5">
        <f t="shared" si="7"/>
        <v>0</v>
      </c>
    </row>
    <row r="89" spans="1:9" x14ac:dyDescent="0.2">
      <c r="A89" s="42">
        <v>46009</v>
      </c>
      <c r="B89" s="41">
        <v>3684.15</v>
      </c>
      <c r="C89" s="41">
        <v>64730</v>
      </c>
      <c r="D89" s="41">
        <v>14540</v>
      </c>
      <c r="E89" s="41">
        <v>3297</v>
      </c>
      <c r="F89" s="5">
        <f t="shared" si="4"/>
        <v>7.6390370382526385E-3</v>
      </c>
      <c r="G89" s="5">
        <f t="shared" si="5"/>
        <v>3.435602428891027E-2</v>
      </c>
      <c r="H89" s="5">
        <f t="shared" si="6"/>
        <v>3.3404406538734888E-2</v>
      </c>
      <c r="I89" s="5">
        <f t="shared" si="7"/>
        <v>6.0698027314121106E-4</v>
      </c>
    </row>
    <row r="90" spans="1:9" x14ac:dyDescent="0.2">
      <c r="A90" s="42">
        <v>46008</v>
      </c>
      <c r="B90" s="41">
        <v>3656.22</v>
      </c>
      <c r="C90" s="41">
        <v>62580</v>
      </c>
      <c r="D90" s="41">
        <v>14070</v>
      </c>
      <c r="E90" s="41">
        <v>3295</v>
      </c>
      <c r="F90" s="5">
        <f t="shared" si="4"/>
        <v>7.7922793864304563E-3</v>
      </c>
      <c r="G90" s="5">
        <f t="shared" si="5"/>
        <v>2.4026910139356428E-3</v>
      </c>
      <c r="H90" s="5">
        <f t="shared" si="6"/>
        <v>-7.0571630204657732E-3</v>
      </c>
      <c r="I90" s="5">
        <f t="shared" si="7"/>
        <v>0</v>
      </c>
    </row>
    <row r="91" spans="1:9" x14ac:dyDescent="0.2">
      <c r="A91" s="42">
        <v>46007</v>
      </c>
      <c r="B91" s="41">
        <v>3627.95</v>
      </c>
      <c r="C91" s="41">
        <v>62430</v>
      </c>
      <c r="D91" s="41">
        <v>14170</v>
      </c>
      <c r="E91" s="41">
        <v>3295</v>
      </c>
      <c r="F91" s="5">
        <f t="shared" si="4"/>
        <v>5.8193048994166219E-3</v>
      </c>
      <c r="G91" s="5">
        <f t="shared" si="5"/>
        <v>2.7304850626406196E-3</v>
      </c>
      <c r="H91" s="5">
        <f t="shared" si="6"/>
        <v>2.606806661839256E-2</v>
      </c>
      <c r="I91" s="5">
        <f t="shared" si="7"/>
        <v>2.7388922702373808E-3</v>
      </c>
    </row>
    <row r="92" spans="1:9" x14ac:dyDescent="0.2">
      <c r="A92" s="42">
        <v>46006</v>
      </c>
      <c r="B92" s="41">
        <v>3606.96</v>
      </c>
      <c r="C92" s="41">
        <v>62260</v>
      </c>
      <c r="D92" s="41">
        <v>13810</v>
      </c>
      <c r="E92" s="41">
        <v>3286</v>
      </c>
      <c r="F92" s="5">
        <f t="shared" si="4"/>
        <v>-6.9434884835002375E-3</v>
      </c>
      <c r="G92" s="5">
        <f t="shared" si="5"/>
        <v>-3.2113037893388707E-4</v>
      </c>
      <c r="H92" s="5">
        <f t="shared" si="6"/>
        <v>2.9048656499637282E-3</v>
      </c>
      <c r="I92" s="5">
        <f t="shared" si="7"/>
        <v>-4.7536231884057978E-2</v>
      </c>
    </row>
    <row r="93" spans="1:9" x14ac:dyDescent="0.2">
      <c r="A93" s="42">
        <v>46005</v>
      </c>
      <c r="B93" s="41">
        <v>3632.18</v>
      </c>
      <c r="C93" s="41">
        <v>62280</v>
      </c>
      <c r="D93" s="41">
        <v>13770</v>
      </c>
      <c r="E93" s="41">
        <v>3450</v>
      </c>
      <c r="F93" s="5">
        <f t="shared" si="4"/>
        <v>-4.3639154628436483E-3</v>
      </c>
      <c r="G93" s="5">
        <f t="shared" si="5"/>
        <v>3.8684719535784229E-3</v>
      </c>
      <c r="H93" s="5">
        <f t="shared" si="6"/>
        <v>-5.776173285198527E-3</v>
      </c>
      <c r="I93" s="5">
        <f t="shared" si="7"/>
        <v>0</v>
      </c>
    </row>
    <row r="94" spans="1:9" x14ac:dyDescent="0.2">
      <c r="A94" s="42">
        <v>46002</v>
      </c>
      <c r="B94" s="41">
        <v>3648.1</v>
      </c>
      <c r="C94" s="41">
        <v>62040</v>
      </c>
      <c r="D94" s="41">
        <v>13850</v>
      </c>
      <c r="E94" s="41">
        <v>3450</v>
      </c>
      <c r="F94" s="5">
        <f t="shared" si="4"/>
        <v>1.051202858606981E-2</v>
      </c>
      <c r="G94" s="5">
        <f t="shared" si="5"/>
        <v>1.7049180327868951E-2</v>
      </c>
      <c r="H94" s="5">
        <f t="shared" si="6"/>
        <v>2.8964518464880129E-3</v>
      </c>
      <c r="I94" s="5">
        <f t="shared" si="7"/>
        <v>0</v>
      </c>
    </row>
    <row r="95" spans="1:9" x14ac:dyDescent="0.2">
      <c r="A95" s="42">
        <v>46001</v>
      </c>
      <c r="B95" s="41">
        <v>3610.15</v>
      </c>
      <c r="C95" s="41">
        <v>61000</v>
      </c>
      <c r="D95" s="41">
        <v>13810</v>
      </c>
      <c r="E95" s="41">
        <v>3450</v>
      </c>
      <c r="F95" s="5">
        <f t="shared" si="4"/>
        <v>6.2743196084333874E-3</v>
      </c>
      <c r="G95" s="5">
        <f t="shared" si="5"/>
        <v>-1.5970317793192468E-2</v>
      </c>
      <c r="H95" s="5">
        <f t="shared" si="6"/>
        <v>1.0241404535479059E-2</v>
      </c>
      <c r="I95" s="5">
        <f t="shared" si="7"/>
        <v>0</v>
      </c>
    </row>
    <row r="96" spans="1:9" x14ac:dyDescent="0.2">
      <c r="A96" s="42">
        <v>46000</v>
      </c>
      <c r="B96" s="41">
        <v>3587.64</v>
      </c>
      <c r="C96" s="41">
        <v>61990</v>
      </c>
      <c r="D96" s="41">
        <v>13670</v>
      </c>
      <c r="E96" s="41">
        <v>3450</v>
      </c>
      <c r="F96" s="5">
        <f t="shared" si="4"/>
        <v>4.1311211123797875E-3</v>
      </c>
      <c r="G96" s="5">
        <f t="shared" si="5"/>
        <v>4.3745949449125465E-3</v>
      </c>
      <c r="H96" s="5">
        <f t="shared" si="6"/>
        <v>-4.0028089887640395E-2</v>
      </c>
      <c r="I96" s="5">
        <f t="shared" si="7"/>
        <v>0</v>
      </c>
    </row>
    <row r="97" spans="1:9" x14ac:dyDescent="0.2">
      <c r="A97" s="42">
        <v>45999</v>
      </c>
      <c r="B97" s="41">
        <v>3572.88</v>
      </c>
      <c r="C97" s="41">
        <v>61720</v>
      </c>
      <c r="D97" s="41">
        <v>14240</v>
      </c>
      <c r="E97" s="41">
        <v>3450</v>
      </c>
      <c r="F97" s="5">
        <f t="shared" si="4"/>
        <v>1.5473627556512604E-3</v>
      </c>
      <c r="G97" s="5">
        <f t="shared" si="5"/>
        <v>-1.0104250200481113E-2</v>
      </c>
      <c r="H97" s="5">
        <f t="shared" si="6"/>
        <v>2.8901734104046284E-2</v>
      </c>
      <c r="I97" s="5">
        <f t="shared" si="7"/>
        <v>0</v>
      </c>
    </row>
    <row r="98" spans="1:9" x14ac:dyDescent="0.2">
      <c r="A98" s="42">
        <v>45998</v>
      </c>
      <c r="B98" s="41">
        <v>3567.36</v>
      </c>
      <c r="C98" s="41">
        <v>62350</v>
      </c>
      <c r="D98" s="41">
        <v>13840</v>
      </c>
      <c r="E98" s="41">
        <v>3450</v>
      </c>
      <c r="F98" s="5">
        <f t="shared" si="4"/>
        <v>8.9543796136550835E-3</v>
      </c>
      <c r="G98" s="5">
        <f t="shared" si="5"/>
        <v>-1.1885895404120439E-2</v>
      </c>
      <c r="H98" s="5">
        <f t="shared" si="6"/>
        <v>1.4662756598240456E-2</v>
      </c>
      <c r="I98" s="5">
        <f t="shared" si="7"/>
        <v>0</v>
      </c>
    </row>
    <row r="99" spans="1:9" x14ac:dyDescent="0.2">
      <c r="A99" s="42">
        <v>45995</v>
      </c>
      <c r="B99" s="41">
        <v>3535.7</v>
      </c>
      <c r="C99" s="41">
        <v>63100</v>
      </c>
      <c r="D99" s="41">
        <v>13640</v>
      </c>
      <c r="E99" s="41">
        <v>3450</v>
      </c>
      <c r="F99" s="5">
        <f t="shared" si="4"/>
        <v>6.9776714513556382E-3</v>
      </c>
      <c r="G99" s="5">
        <f t="shared" si="5"/>
        <v>7.022023619533968E-3</v>
      </c>
      <c r="H99" s="5">
        <f t="shared" si="6"/>
        <v>-9.4408133623820056E-3</v>
      </c>
      <c r="I99" s="5">
        <f t="shared" si="7"/>
        <v>0</v>
      </c>
    </row>
    <row r="100" spans="1:9" x14ac:dyDescent="0.2">
      <c r="A100" s="42">
        <v>45994</v>
      </c>
      <c r="B100" s="41">
        <v>3511.2</v>
      </c>
      <c r="C100" s="41">
        <v>62660</v>
      </c>
      <c r="D100" s="41">
        <v>13770</v>
      </c>
      <c r="E100" s="41">
        <v>3450</v>
      </c>
      <c r="F100" s="5">
        <f t="shared" si="4"/>
        <v>-7.6197797725371386E-3</v>
      </c>
      <c r="G100" s="5">
        <f t="shared" si="5"/>
        <v>1.8861788617886122E-2</v>
      </c>
      <c r="H100" s="5">
        <f t="shared" si="6"/>
        <v>2.0000000000000018E-2</v>
      </c>
      <c r="I100" s="5">
        <f t="shared" si="7"/>
        <v>-3.1782721756717924E-3</v>
      </c>
    </row>
    <row r="101" spans="1:9" x14ac:dyDescent="0.2">
      <c r="A101" s="42">
        <v>45993</v>
      </c>
      <c r="B101" s="41">
        <v>3538.16</v>
      </c>
      <c r="C101" s="41">
        <v>61500</v>
      </c>
      <c r="D101" s="41">
        <v>13500</v>
      </c>
      <c r="E101" s="41">
        <v>3461</v>
      </c>
      <c r="F101" s="5">
        <f t="shared" si="4"/>
        <v>1.750501108621938E-2</v>
      </c>
      <c r="G101" s="5">
        <f t="shared" si="5"/>
        <v>3.0495978552278924E-2</v>
      </c>
      <c r="H101" s="5">
        <f t="shared" si="6"/>
        <v>4.7323506594259213E-2</v>
      </c>
      <c r="I101" s="5">
        <f t="shared" si="7"/>
        <v>3.2826022082960371E-2</v>
      </c>
    </row>
    <row r="102" spans="1:9" x14ac:dyDescent="0.2">
      <c r="A102" s="42">
        <v>45992</v>
      </c>
      <c r="B102" s="41">
        <v>3477.29</v>
      </c>
      <c r="C102" s="41">
        <v>59680</v>
      </c>
      <c r="D102" s="41">
        <v>12890</v>
      </c>
      <c r="E102" s="41">
        <v>3351</v>
      </c>
      <c r="F102" s="5">
        <f t="shared" si="4"/>
        <v>-6.868447673349376E-4</v>
      </c>
      <c r="G102" s="5">
        <f t="shared" si="5"/>
        <v>1.3422818791946067E-3</v>
      </c>
      <c r="H102" s="5">
        <f t="shared" si="6"/>
        <v>-3.1555221637866282E-2</v>
      </c>
      <c r="I102" s="5">
        <f t="shared" si="7"/>
        <v>0</v>
      </c>
    </row>
    <row r="103" spans="1:9" x14ac:dyDescent="0.2">
      <c r="A103" s="42">
        <v>45991</v>
      </c>
      <c r="B103" s="41">
        <v>3479.68</v>
      </c>
      <c r="C103" s="41">
        <v>59600</v>
      </c>
      <c r="D103" s="41">
        <v>13310</v>
      </c>
      <c r="E103" s="41">
        <v>3351</v>
      </c>
      <c r="F103" s="5">
        <f t="shared" si="4"/>
        <v>1.1949665415184718E-2</v>
      </c>
      <c r="G103" s="5">
        <f t="shared" si="5"/>
        <v>1.1369421347361186E-2</v>
      </c>
      <c r="H103" s="5">
        <f t="shared" si="6"/>
        <v>2.4634334103156297E-2</v>
      </c>
      <c r="I103" s="5">
        <f t="shared" si="7"/>
        <v>-3.3737024221453304E-2</v>
      </c>
    </row>
    <row r="104" spans="1:9" x14ac:dyDescent="0.2">
      <c r="A104" s="42">
        <v>45988</v>
      </c>
      <c r="B104" s="41">
        <v>3438.59</v>
      </c>
      <c r="C104" s="41">
        <v>58930</v>
      </c>
      <c r="D104" s="41">
        <v>12990</v>
      </c>
      <c r="E104" s="41">
        <v>3468</v>
      </c>
      <c r="F104" s="5">
        <f t="shared" si="4"/>
        <v>5.5973913933529129E-3</v>
      </c>
      <c r="G104" s="5">
        <f t="shared" si="5"/>
        <v>1.3587891296869659E-2</v>
      </c>
      <c r="H104" s="5">
        <f t="shared" si="6"/>
        <v>1.5637216575449475E-2</v>
      </c>
      <c r="I104" s="5">
        <f t="shared" si="7"/>
        <v>8.658008658009031E-4</v>
      </c>
    </row>
    <row r="105" spans="1:9" x14ac:dyDescent="0.2">
      <c r="A105" s="42">
        <v>45987</v>
      </c>
      <c r="B105" s="41">
        <v>3419.45</v>
      </c>
      <c r="C105" s="41">
        <v>58140</v>
      </c>
      <c r="D105" s="41">
        <v>12790</v>
      </c>
      <c r="E105" s="41">
        <v>3465</v>
      </c>
      <c r="F105" s="5">
        <f t="shared" si="4"/>
        <v>8.8777822361743031E-3</v>
      </c>
      <c r="G105" s="5">
        <f t="shared" si="5"/>
        <v>-1.8237082066869248E-2</v>
      </c>
      <c r="H105" s="5">
        <f t="shared" si="6"/>
        <v>3.8149350649350655E-2</v>
      </c>
      <c r="I105" s="5">
        <f t="shared" si="7"/>
        <v>-1.7578678763821909E-2</v>
      </c>
    </row>
    <row r="106" spans="1:9" x14ac:dyDescent="0.2">
      <c r="A106" s="42">
        <v>45986</v>
      </c>
      <c r="B106" s="41">
        <v>3389.36</v>
      </c>
      <c r="C106" s="41">
        <v>59220</v>
      </c>
      <c r="D106" s="41">
        <v>12320</v>
      </c>
      <c r="E106" s="41">
        <v>3527</v>
      </c>
      <c r="F106" s="5">
        <f t="shared" si="4"/>
        <v>-6.3383543732299374E-3</v>
      </c>
      <c r="G106" s="5">
        <f t="shared" si="5"/>
        <v>1.9277108433734869E-2</v>
      </c>
      <c r="H106" s="5">
        <f t="shared" si="6"/>
        <v>-3.4482758620689613E-2</v>
      </c>
      <c r="I106" s="5">
        <f t="shared" si="7"/>
        <v>-3.7915984724495311E-2</v>
      </c>
    </row>
    <row r="107" spans="1:9" x14ac:dyDescent="0.2">
      <c r="A107" s="42">
        <v>45985</v>
      </c>
      <c r="B107" s="41">
        <v>3410.98</v>
      </c>
      <c r="C107" s="41">
        <v>58100</v>
      </c>
      <c r="D107" s="41">
        <v>12760</v>
      </c>
      <c r="E107" s="41">
        <v>3666</v>
      </c>
      <c r="F107" s="5">
        <f t="shared" si="4"/>
        <v>1.5332775705691803E-2</v>
      </c>
      <c r="G107" s="5">
        <f t="shared" si="5"/>
        <v>1.2018812053649297E-2</v>
      </c>
      <c r="H107" s="5">
        <f t="shared" si="6"/>
        <v>-1.0852713178294615E-2</v>
      </c>
      <c r="I107" s="5">
        <f t="shared" si="7"/>
        <v>0</v>
      </c>
    </row>
    <row r="108" spans="1:9" x14ac:dyDescent="0.2">
      <c r="A108" s="42">
        <v>45984</v>
      </c>
      <c r="B108" s="41">
        <v>3359.47</v>
      </c>
      <c r="C108" s="41">
        <v>57410</v>
      </c>
      <c r="D108" s="41">
        <v>12900</v>
      </c>
      <c r="E108" s="41">
        <v>3666</v>
      </c>
      <c r="F108" s="5">
        <f t="shared" si="4"/>
        <v>-1.2007764020821821E-2</v>
      </c>
      <c r="G108" s="5">
        <f t="shared" si="5"/>
        <v>-1.3743343068201352E-2</v>
      </c>
      <c r="H108" s="5">
        <f t="shared" si="6"/>
        <v>3.6977491961414755E-2</v>
      </c>
      <c r="I108" s="5">
        <f t="shared" si="7"/>
        <v>-2.83593957063345E-2</v>
      </c>
    </row>
    <row r="109" spans="1:9" x14ac:dyDescent="0.2">
      <c r="A109" s="42">
        <v>45981</v>
      </c>
      <c r="B109" s="41">
        <v>3400.3</v>
      </c>
      <c r="C109" s="41">
        <v>58210</v>
      </c>
      <c r="D109" s="41">
        <v>12440</v>
      </c>
      <c r="E109" s="41">
        <v>3773</v>
      </c>
      <c r="F109" s="5">
        <f t="shared" si="4"/>
        <v>-1.1057725866120638E-2</v>
      </c>
      <c r="G109" s="5">
        <f t="shared" si="5"/>
        <v>-1.0875106202208995E-2</v>
      </c>
      <c r="H109" s="5">
        <f t="shared" si="6"/>
        <v>1.6339869281045694E-2</v>
      </c>
      <c r="I109" s="5">
        <f t="shared" si="7"/>
        <v>0</v>
      </c>
    </row>
    <row r="110" spans="1:9" x14ac:dyDescent="0.2">
      <c r="A110" s="42">
        <v>45980</v>
      </c>
      <c r="B110" s="41">
        <v>3438.32</v>
      </c>
      <c r="C110" s="41">
        <v>58850</v>
      </c>
      <c r="D110" s="41">
        <v>12240</v>
      </c>
      <c r="E110" s="41">
        <v>3773</v>
      </c>
      <c r="F110" s="5">
        <f t="shared" si="4"/>
        <v>2.0020690961548571E-3</v>
      </c>
      <c r="G110" s="5">
        <f t="shared" si="5"/>
        <v>-1.0758110606824633E-2</v>
      </c>
      <c r="H110" s="5">
        <f t="shared" si="6"/>
        <v>1.3245033112582849E-2</v>
      </c>
      <c r="I110" s="5">
        <f t="shared" si="7"/>
        <v>-1.7447916666666674E-2</v>
      </c>
    </row>
    <row r="111" spans="1:9" x14ac:dyDescent="0.2">
      <c r="A111" s="42">
        <v>45979</v>
      </c>
      <c r="B111" s="41">
        <v>3431.45</v>
      </c>
      <c r="C111" s="41">
        <v>59490</v>
      </c>
      <c r="D111" s="41">
        <v>12080</v>
      </c>
      <c r="E111" s="41">
        <v>3840</v>
      </c>
      <c r="F111" s="5">
        <f t="shared" si="4"/>
        <v>-1.8985894232473655E-2</v>
      </c>
      <c r="G111" s="5">
        <f t="shared" si="5"/>
        <v>-2.0579519262430068E-2</v>
      </c>
      <c r="H111" s="5">
        <f t="shared" si="6"/>
        <v>-3.5143769968051131E-2</v>
      </c>
      <c r="I111" s="5">
        <f t="shared" si="7"/>
        <v>1.1857707509881354E-2</v>
      </c>
    </row>
    <row r="112" spans="1:9" x14ac:dyDescent="0.2">
      <c r="A112" s="42">
        <v>45978</v>
      </c>
      <c r="B112" s="41">
        <v>3497.86</v>
      </c>
      <c r="C112" s="41">
        <v>60740</v>
      </c>
      <c r="D112" s="41">
        <v>12520</v>
      </c>
      <c r="E112" s="41">
        <v>3795</v>
      </c>
      <c r="F112" s="5">
        <f t="shared" si="4"/>
        <v>-2.2448962127716854E-3</v>
      </c>
      <c r="G112" s="5">
        <f t="shared" si="5"/>
        <v>-1.0265602085709591E-2</v>
      </c>
      <c r="H112" s="5">
        <f t="shared" si="6"/>
        <v>-7.1371927042029881E-3</v>
      </c>
      <c r="I112" s="5">
        <f t="shared" si="7"/>
        <v>3.125E-2</v>
      </c>
    </row>
    <row r="113" spans="1:9" x14ac:dyDescent="0.2">
      <c r="A113" s="42">
        <v>45977</v>
      </c>
      <c r="B113" s="41">
        <v>3505.73</v>
      </c>
      <c r="C113" s="41">
        <v>61370</v>
      </c>
      <c r="D113" s="41">
        <v>12610</v>
      </c>
      <c r="E113" s="41">
        <v>3680</v>
      </c>
      <c r="F113" s="5">
        <f t="shared" si="4"/>
        <v>4.1388831603308418E-3</v>
      </c>
      <c r="G113" s="5">
        <f t="shared" si="5"/>
        <v>1.1537827591890482E-2</v>
      </c>
      <c r="H113" s="5">
        <f t="shared" si="6"/>
        <v>1.2851405622489986E-2</v>
      </c>
      <c r="I113" s="5">
        <f t="shared" si="7"/>
        <v>-6.7476383265856477E-3</v>
      </c>
    </row>
    <row r="114" spans="1:9" x14ac:dyDescent="0.2">
      <c r="A114" s="42">
        <v>45974</v>
      </c>
      <c r="B114" s="41">
        <v>3491.28</v>
      </c>
      <c r="C114" s="41">
        <v>60670</v>
      </c>
      <c r="D114" s="41">
        <v>12450</v>
      </c>
      <c r="E114" s="41">
        <v>3705</v>
      </c>
      <c r="F114" s="5">
        <f t="shared" si="4"/>
        <v>1.531868018382454E-3</v>
      </c>
      <c r="G114" s="5">
        <f t="shared" si="5"/>
        <v>2.9526556931953163E-2</v>
      </c>
      <c r="H114" s="5">
        <f t="shared" si="6"/>
        <v>0</v>
      </c>
      <c r="I114" s="5">
        <f t="shared" si="7"/>
        <v>1.3957307060755264E-2</v>
      </c>
    </row>
    <row r="115" spans="1:9" x14ac:dyDescent="0.2">
      <c r="A115" s="42">
        <v>45973</v>
      </c>
      <c r="B115" s="41">
        <v>3485.94</v>
      </c>
      <c r="C115" s="41">
        <v>58930</v>
      </c>
      <c r="D115" s="41">
        <v>12450</v>
      </c>
      <c r="E115" s="41">
        <v>3654</v>
      </c>
      <c r="F115" s="5">
        <f t="shared" si="4"/>
        <v>1.3481336329831839E-2</v>
      </c>
      <c r="G115" s="5">
        <f t="shared" si="5"/>
        <v>5.0933786078100063E-4</v>
      </c>
      <c r="H115" s="5">
        <f t="shared" si="6"/>
        <v>5.6542810985460434E-3</v>
      </c>
      <c r="I115" s="5">
        <f t="shared" si="7"/>
        <v>3.2203389830508522E-2</v>
      </c>
    </row>
    <row r="116" spans="1:9" x14ac:dyDescent="0.2">
      <c r="A116" s="42">
        <v>45972</v>
      </c>
      <c r="B116" s="41">
        <v>3439.57</v>
      </c>
      <c r="C116" s="41">
        <v>58900</v>
      </c>
      <c r="D116" s="41">
        <v>12380</v>
      </c>
      <c r="E116" s="41">
        <v>3540</v>
      </c>
      <c r="F116" s="5">
        <f t="shared" si="4"/>
        <v>3.138114972833117E-3</v>
      </c>
      <c r="G116" s="5">
        <f t="shared" si="5"/>
        <v>2.0443520443520491E-2</v>
      </c>
      <c r="H116" s="5">
        <f t="shared" si="6"/>
        <v>-2.2888713496448276E-2</v>
      </c>
      <c r="I116" s="5">
        <f t="shared" si="7"/>
        <v>1.5781922525107683E-2</v>
      </c>
    </row>
    <row r="117" spans="1:9" x14ac:dyDescent="0.2">
      <c r="A117" s="42">
        <v>45971</v>
      </c>
      <c r="B117" s="41">
        <v>3428.81</v>
      </c>
      <c r="C117" s="41">
        <v>57720</v>
      </c>
      <c r="D117" s="41">
        <v>12670</v>
      </c>
      <c r="E117" s="41">
        <v>3485</v>
      </c>
      <c r="F117" s="5">
        <f t="shared" si="4"/>
        <v>1.0890747581717486E-2</v>
      </c>
      <c r="G117" s="5">
        <f t="shared" si="5"/>
        <v>6.4516129032257119E-3</v>
      </c>
      <c r="H117" s="5">
        <f t="shared" si="6"/>
        <v>2.6742301458670958E-2</v>
      </c>
      <c r="I117" s="5">
        <f t="shared" si="7"/>
        <v>1.7815420560747697E-2</v>
      </c>
    </row>
    <row r="118" spans="1:9" x14ac:dyDescent="0.2">
      <c r="A118" s="42">
        <v>45970</v>
      </c>
      <c r="B118" s="41">
        <v>3391.87</v>
      </c>
      <c r="C118" s="41">
        <v>57350</v>
      </c>
      <c r="D118" s="41">
        <v>12340</v>
      </c>
      <c r="E118" s="41">
        <v>3424</v>
      </c>
      <c r="F118" s="5">
        <f t="shared" si="4"/>
        <v>7.4645801247430477E-4</v>
      </c>
      <c r="G118" s="5">
        <f t="shared" si="5"/>
        <v>-1.6295025728988E-2</v>
      </c>
      <c r="H118" s="5">
        <f t="shared" si="6"/>
        <v>-1.0425020048115519E-2</v>
      </c>
      <c r="I118" s="5">
        <f t="shared" si="7"/>
        <v>1.904761904761898E-2</v>
      </c>
    </row>
    <row r="119" spans="1:9" x14ac:dyDescent="0.2">
      <c r="A119" s="42">
        <v>45967</v>
      </c>
      <c r="B119" s="41">
        <v>3389.34</v>
      </c>
      <c r="C119" s="41">
        <v>58300</v>
      </c>
      <c r="D119" s="41">
        <v>12470</v>
      </c>
      <c r="E119" s="41">
        <v>3360</v>
      </c>
      <c r="F119" s="5">
        <f t="shared" si="4"/>
        <v>-6.0819687514661602E-3</v>
      </c>
      <c r="G119" s="5">
        <f t="shared" si="5"/>
        <v>1.7155601303819878E-4</v>
      </c>
      <c r="H119" s="5">
        <f t="shared" si="6"/>
        <v>-3.7065637065637036E-2</v>
      </c>
      <c r="I119" s="5">
        <f t="shared" si="7"/>
        <v>-1.2345679012345734E-2</v>
      </c>
    </row>
    <row r="120" spans="1:9" x14ac:dyDescent="0.2">
      <c r="A120" s="42">
        <v>45966</v>
      </c>
      <c r="B120" s="41">
        <v>3410.08</v>
      </c>
      <c r="C120" s="41">
        <v>58290</v>
      </c>
      <c r="D120" s="41">
        <v>12950</v>
      </c>
      <c r="E120" s="41">
        <v>3402</v>
      </c>
      <c r="F120" s="5">
        <f t="shared" si="4"/>
        <v>8.2371933227289862E-3</v>
      </c>
      <c r="G120" s="5">
        <f t="shared" si="5"/>
        <v>1.1101474414570767E-2</v>
      </c>
      <c r="H120" s="5">
        <f t="shared" si="6"/>
        <v>-2.3112480739599928E-3</v>
      </c>
      <c r="I120" s="5">
        <f t="shared" si="7"/>
        <v>2.1621621621621623E-2</v>
      </c>
    </row>
    <row r="121" spans="1:9" x14ac:dyDescent="0.2">
      <c r="A121" s="42">
        <v>45965</v>
      </c>
      <c r="B121" s="41">
        <v>3382.22</v>
      </c>
      <c r="C121" s="41">
        <v>57650</v>
      </c>
      <c r="D121" s="41">
        <v>12980</v>
      </c>
      <c r="E121" s="41">
        <v>3330</v>
      </c>
      <c r="F121" s="5">
        <f t="shared" si="4"/>
        <v>-1.9711410782260463E-3</v>
      </c>
      <c r="G121" s="5">
        <f t="shared" si="5"/>
        <v>-1.7887563884156688E-2</v>
      </c>
      <c r="H121" s="5">
        <f t="shared" si="6"/>
        <v>6.2015503875969546E-3</v>
      </c>
      <c r="I121" s="5">
        <f t="shared" si="7"/>
        <v>-2.0588235294117685E-2</v>
      </c>
    </row>
    <row r="122" spans="1:9" x14ac:dyDescent="0.2">
      <c r="A122" s="42">
        <v>45964</v>
      </c>
      <c r="B122" s="41">
        <v>3388.9</v>
      </c>
      <c r="C122" s="41">
        <v>58700</v>
      </c>
      <c r="D122" s="41">
        <v>12900</v>
      </c>
      <c r="E122" s="41">
        <v>3400</v>
      </c>
      <c r="F122" s="5">
        <f t="shared" si="4"/>
        <v>7.5876053255949927E-3</v>
      </c>
      <c r="G122" s="5">
        <f t="shared" si="5"/>
        <v>-1.8722835172183205E-2</v>
      </c>
      <c r="H122" s="5">
        <f t="shared" si="6"/>
        <v>-2.3201856148491462E-3</v>
      </c>
      <c r="I122" s="5">
        <f t="shared" si="7"/>
        <v>-1.1750881316098249E-3</v>
      </c>
    </row>
    <row r="123" spans="1:9" x14ac:dyDescent="0.2">
      <c r="A123" s="42">
        <v>45963</v>
      </c>
      <c r="B123" s="41">
        <v>3363.38</v>
      </c>
      <c r="C123" s="41">
        <v>59820</v>
      </c>
      <c r="D123" s="41">
        <v>12930</v>
      </c>
      <c r="E123" s="41">
        <v>3404</v>
      </c>
      <c r="F123" s="5">
        <f t="shared" si="4"/>
        <v>7.3709779349879767E-3</v>
      </c>
      <c r="G123" s="5">
        <f t="shared" si="5"/>
        <v>1.1669203450025423E-2</v>
      </c>
      <c r="H123" s="5">
        <f t="shared" si="6"/>
        <v>2.3255813953488857E-3</v>
      </c>
      <c r="I123" s="5">
        <f t="shared" si="7"/>
        <v>4.4260843906758218E-3</v>
      </c>
    </row>
    <row r="124" spans="1:9" x14ac:dyDescent="0.2">
      <c r="A124" s="42">
        <v>45960</v>
      </c>
      <c r="B124" s="41">
        <v>3338.77</v>
      </c>
      <c r="C124" s="41">
        <v>59130</v>
      </c>
      <c r="D124" s="41">
        <v>12900</v>
      </c>
      <c r="E124" s="41">
        <v>3389</v>
      </c>
      <c r="F124" s="5">
        <f t="shared" si="4"/>
        <v>2.6697658774490485E-3</v>
      </c>
      <c r="G124" s="5">
        <f t="shared" si="5"/>
        <v>7.8404636100222191E-3</v>
      </c>
      <c r="H124" s="5">
        <f t="shared" si="6"/>
        <v>-7.7459333849727585E-4</v>
      </c>
      <c r="I124" s="5">
        <f t="shared" si="7"/>
        <v>-4.3465989274625971E-2</v>
      </c>
    </row>
    <row r="125" spans="1:9" x14ac:dyDescent="0.2">
      <c r="A125" s="42">
        <v>45959</v>
      </c>
      <c r="B125" s="41">
        <v>3329.88</v>
      </c>
      <c r="C125" s="41">
        <v>58670</v>
      </c>
      <c r="D125" s="41">
        <v>12910</v>
      </c>
      <c r="E125" s="41">
        <v>3543</v>
      </c>
      <c r="F125" s="5">
        <f t="shared" si="4"/>
        <v>1.5439505984600199E-2</v>
      </c>
      <c r="G125" s="5">
        <f t="shared" si="5"/>
        <v>9.6368955429357861E-3</v>
      </c>
      <c r="H125" s="5">
        <f t="shared" si="6"/>
        <v>1.9747235387045814E-2</v>
      </c>
      <c r="I125" s="5">
        <f t="shared" si="7"/>
        <v>3.778558875219673E-2</v>
      </c>
    </row>
    <row r="126" spans="1:9" x14ac:dyDescent="0.2">
      <c r="A126" s="42">
        <v>45958</v>
      </c>
      <c r="B126" s="41">
        <v>3279.25</v>
      </c>
      <c r="C126" s="41">
        <v>58110</v>
      </c>
      <c r="D126" s="41">
        <v>12660</v>
      </c>
      <c r="E126" s="41">
        <v>3414</v>
      </c>
      <c r="F126" s="5">
        <f t="shared" si="4"/>
        <v>-9.3708368199573178E-3</v>
      </c>
      <c r="G126" s="5">
        <f t="shared" si="5"/>
        <v>-3.2590051457975777E-3</v>
      </c>
      <c r="H126" s="5">
        <f t="shared" si="6"/>
        <v>-8.6139389193422566E-3</v>
      </c>
      <c r="I126" s="5">
        <f t="shared" si="7"/>
        <v>2.2461814914645162E-2</v>
      </c>
    </row>
    <row r="127" spans="1:9" x14ac:dyDescent="0.2">
      <c r="A127" s="42">
        <v>45957</v>
      </c>
      <c r="B127" s="41">
        <v>3310.27</v>
      </c>
      <c r="C127" s="41">
        <v>58300</v>
      </c>
      <c r="D127" s="41">
        <v>12770</v>
      </c>
      <c r="E127" s="41">
        <v>3339</v>
      </c>
      <c r="F127" s="5">
        <f t="shared" si="4"/>
        <v>-1.7216174747203272E-4</v>
      </c>
      <c r="G127" s="5">
        <f t="shared" si="5"/>
        <v>-3.5891300632370227E-3</v>
      </c>
      <c r="H127" s="5">
        <f t="shared" si="6"/>
        <v>0</v>
      </c>
      <c r="I127" s="5">
        <f t="shared" si="7"/>
        <v>1.1818181818181728E-2</v>
      </c>
    </row>
    <row r="128" spans="1:9" x14ac:dyDescent="0.2">
      <c r="A128" s="42">
        <v>45956</v>
      </c>
      <c r="B128" s="41">
        <v>3310.84</v>
      </c>
      <c r="C128" s="41">
        <v>58510</v>
      </c>
      <c r="D128" s="41">
        <v>12770</v>
      </c>
      <c r="E128" s="41">
        <v>3300</v>
      </c>
      <c r="F128" s="5">
        <f t="shared" si="4"/>
        <v>1.0320352027146651E-2</v>
      </c>
      <c r="G128" s="5">
        <f t="shared" si="5"/>
        <v>6.7102546455608536E-3</v>
      </c>
      <c r="H128" s="5">
        <f t="shared" si="6"/>
        <v>-2.5190839694656519E-2</v>
      </c>
      <c r="I128" s="5">
        <f t="shared" si="7"/>
        <v>6.4516129032258007E-2</v>
      </c>
    </row>
    <row r="129" spans="1:9" x14ac:dyDescent="0.2">
      <c r="A129" s="42">
        <v>45953</v>
      </c>
      <c r="B129" s="41">
        <v>3277.02</v>
      </c>
      <c r="C129" s="41">
        <v>58120</v>
      </c>
      <c r="D129" s="41">
        <v>13100</v>
      </c>
      <c r="E129" s="41">
        <v>3100</v>
      </c>
      <c r="F129" s="5">
        <f t="shared" si="4"/>
        <v>6.8887113623794516E-3</v>
      </c>
      <c r="G129" s="5">
        <f t="shared" si="5"/>
        <v>2.1441124780316345E-2</v>
      </c>
      <c r="H129" s="5">
        <f t="shared" si="6"/>
        <v>6.9177555726365192E-3</v>
      </c>
      <c r="I129" s="5">
        <f t="shared" si="7"/>
        <v>-7.6824583866836882E-3</v>
      </c>
    </row>
    <row r="130" spans="1:9" x14ac:dyDescent="0.2">
      <c r="A130" s="42">
        <v>45952</v>
      </c>
      <c r="B130" s="41">
        <v>3254.6</v>
      </c>
      <c r="C130" s="41">
        <v>56900</v>
      </c>
      <c r="D130" s="41">
        <v>13010</v>
      </c>
      <c r="E130" s="41">
        <v>3124</v>
      </c>
      <c r="F130" s="5">
        <f t="shared" si="4"/>
        <v>1.5355688836506953E-3</v>
      </c>
      <c r="G130" s="5">
        <f t="shared" si="5"/>
        <v>-1.7543859649122862E-3</v>
      </c>
      <c r="H130" s="5">
        <f t="shared" si="6"/>
        <v>1.2451361867704236E-2</v>
      </c>
      <c r="I130" s="5">
        <f t="shared" si="7"/>
        <v>7.7419354838710319E-3</v>
      </c>
    </row>
    <row r="131" spans="1:9" x14ac:dyDescent="0.2">
      <c r="A131" s="42">
        <v>45951</v>
      </c>
      <c r="B131" s="41">
        <v>3249.61</v>
      </c>
      <c r="C131" s="41">
        <v>57000</v>
      </c>
      <c r="D131" s="41">
        <v>12850</v>
      </c>
      <c r="E131" s="41">
        <v>3100</v>
      </c>
      <c r="F131" s="5">
        <f t="shared" ref="F131:F194" si="8">B131/B132-1</f>
        <v>-9.766398712846458E-3</v>
      </c>
      <c r="G131" s="5">
        <f t="shared" ref="G131:G194" si="9">C131/C132-1</f>
        <v>-1.6223679668622704E-2</v>
      </c>
      <c r="H131" s="5">
        <f t="shared" ref="H131:H194" si="10">D131/D132-1</f>
        <v>1.1811023622047223E-2</v>
      </c>
      <c r="I131" s="5">
        <f t="shared" ref="I131:I194" si="11">E131/E132-1</f>
        <v>2.7510772290354701E-2</v>
      </c>
    </row>
    <row r="132" spans="1:9" x14ac:dyDescent="0.2">
      <c r="A132" s="42">
        <v>45950</v>
      </c>
      <c r="B132" s="41">
        <v>3281.66</v>
      </c>
      <c r="C132" s="41">
        <v>57940</v>
      </c>
      <c r="D132" s="41">
        <v>12700</v>
      </c>
      <c r="E132" s="41">
        <v>3017</v>
      </c>
      <c r="F132" s="5">
        <f t="shared" si="8"/>
        <v>8.0139576172528759E-3</v>
      </c>
      <c r="G132" s="5">
        <f t="shared" si="9"/>
        <v>1.0111576011157641E-2</v>
      </c>
      <c r="H132" s="5">
        <f t="shared" si="10"/>
        <v>1.195219123505975E-2</v>
      </c>
      <c r="I132" s="5">
        <f t="shared" si="11"/>
        <v>1.7881241565452122E-2</v>
      </c>
    </row>
    <row r="133" spans="1:9" x14ac:dyDescent="0.2">
      <c r="A133" s="42">
        <v>45949</v>
      </c>
      <c r="B133" s="41">
        <v>3255.57</v>
      </c>
      <c r="C133" s="41">
        <v>57360</v>
      </c>
      <c r="D133" s="41">
        <v>12550</v>
      </c>
      <c r="E133" s="41">
        <v>2964</v>
      </c>
      <c r="F133" s="5">
        <f t="shared" si="8"/>
        <v>-1.3023983410792139E-2</v>
      </c>
      <c r="G133" s="5">
        <f t="shared" si="9"/>
        <v>-6.5812261863525956E-3</v>
      </c>
      <c r="H133" s="5">
        <f t="shared" si="10"/>
        <v>-7.9617834394907216E-4</v>
      </c>
      <c r="I133" s="5">
        <f t="shared" si="11"/>
        <v>0</v>
      </c>
    </row>
    <row r="134" spans="1:9" x14ac:dyDescent="0.2">
      <c r="A134" s="42">
        <v>45946</v>
      </c>
      <c r="B134" s="41">
        <v>3298.53</v>
      </c>
      <c r="C134" s="41">
        <v>57740</v>
      </c>
      <c r="D134" s="41">
        <v>12560</v>
      </c>
      <c r="E134" s="41">
        <v>2964</v>
      </c>
      <c r="F134" s="5">
        <f t="shared" si="8"/>
        <v>-8.044435355819668E-3</v>
      </c>
      <c r="G134" s="5">
        <f t="shared" si="9"/>
        <v>-4.3110881186411154E-3</v>
      </c>
      <c r="H134" s="5">
        <f t="shared" si="10"/>
        <v>-2.3828435266084469E-3</v>
      </c>
      <c r="I134" s="5">
        <f t="shared" si="11"/>
        <v>-1.2000000000000011E-2</v>
      </c>
    </row>
    <row r="135" spans="1:9" x14ac:dyDescent="0.2">
      <c r="A135" s="42">
        <v>45945</v>
      </c>
      <c r="B135" s="41">
        <v>3325.28</v>
      </c>
      <c r="C135" s="41">
        <v>57990</v>
      </c>
      <c r="D135" s="41">
        <v>12590</v>
      </c>
      <c r="E135" s="41">
        <v>3000</v>
      </c>
      <c r="F135" s="5">
        <f t="shared" si="8"/>
        <v>-2.7058066610941012E-4</v>
      </c>
      <c r="G135" s="5">
        <f t="shared" si="9"/>
        <v>-4.8408270429931122E-2</v>
      </c>
      <c r="H135" s="5">
        <f t="shared" si="10"/>
        <v>1.6142050040355072E-2</v>
      </c>
      <c r="I135" s="5">
        <f t="shared" si="11"/>
        <v>0</v>
      </c>
    </row>
    <row r="136" spans="1:9" x14ac:dyDescent="0.2">
      <c r="A136" s="42">
        <v>45942</v>
      </c>
      <c r="B136" s="41">
        <v>3326.18</v>
      </c>
      <c r="C136" s="41">
        <v>60940</v>
      </c>
      <c r="D136" s="41">
        <v>12390</v>
      </c>
      <c r="E136" s="41">
        <v>3000</v>
      </c>
      <c r="F136" s="5">
        <f t="shared" si="8"/>
        <v>-9.514223689970347E-3</v>
      </c>
      <c r="G136" s="5">
        <f t="shared" si="9"/>
        <v>3.5514018691588767E-2</v>
      </c>
      <c r="H136" s="5">
        <f t="shared" si="10"/>
        <v>-1.6666666666666718E-2</v>
      </c>
      <c r="I136" s="5">
        <f t="shared" si="11"/>
        <v>6.6711140760511434E-4</v>
      </c>
    </row>
    <row r="137" spans="1:9" x14ac:dyDescent="0.2">
      <c r="A137" s="42">
        <v>45939</v>
      </c>
      <c r="B137" s="41">
        <v>3358.13</v>
      </c>
      <c r="C137" s="41">
        <v>58850</v>
      </c>
      <c r="D137" s="41">
        <v>12600</v>
      </c>
      <c r="E137" s="41">
        <v>2998</v>
      </c>
      <c r="F137" s="5">
        <f t="shared" si="8"/>
        <v>2.862455125770369E-2</v>
      </c>
      <c r="G137" s="5">
        <f t="shared" si="9"/>
        <v>4.7898860398860377E-2</v>
      </c>
      <c r="H137" s="5">
        <f t="shared" si="10"/>
        <v>-7.2847682119205337E-2</v>
      </c>
      <c r="I137" s="5">
        <f t="shared" si="11"/>
        <v>6.5766086029150461E-2</v>
      </c>
    </row>
    <row r="138" spans="1:9" x14ac:dyDescent="0.2">
      <c r="A138" s="42">
        <v>45938</v>
      </c>
      <c r="B138" s="41">
        <v>3264.68</v>
      </c>
      <c r="C138" s="41">
        <v>56160</v>
      </c>
      <c r="D138" s="41">
        <v>13590</v>
      </c>
      <c r="E138" s="41">
        <v>2813</v>
      </c>
      <c r="F138" s="5">
        <f t="shared" si="8"/>
        <v>-1.6940756279394398E-3</v>
      </c>
      <c r="G138" s="5">
        <f t="shared" si="9"/>
        <v>-1.4909664971057723E-2</v>
      </c>
      <c r="H138" s="5">
        <f t="shared" si="10"/>
        <v>7.5158227848101333E-2</v>
      </c>
      <c r="I138" s="5">
        <f t="shared" si="11"/>
        <v>3.9926062846580512E-2</v>
      </c>
    </row>
    <row r="139" spans="1:9" x14ac:dyDescent="0.2">
      <c r="A139" s="42">
        <v>45935</v>
      </c>
      <c r="B139" s="41">
        <v>3270.22</v>
      </c>
      <c r="C139" s="41">
        <v>57010</v>
      </c>
      <c r="D139" s="41">
        <v>12640</v>
      </c>
      <c r="E139" s="41">
        <v>2705</v>
      </c>
      <c r="F139" s="5">
        <f t="shared" si="8"/>
        <v>6.2122503484582925E-3</v>
      </c>
      <c r="G139" s="5">
        <f t="shared" si="9"/>
        <v>2.999096657633249E-2</v>
      </c>
      <c r="H139" s="5">
        <f t="shared" si="10"/>
        <v>1.5261044176706928E-2</v>
      </c>
      <c r="I139" s="5">
        <f t="shared" si="11"/>
        <v>2.3071104387291985E-2</v>
      </c>
    </row>
    <row r="140" spans="1:9" x14ac:dyDescent="0.2">
      <c r="A140" s="42">
        <v>45930</v>
      </c>
      <c r="B140" s="41">
        <v>3250.03</v>
      </c>
      <c r="C140" s="41">
        <v>55350</v>
      </c>
      <c r="D140" s="41">
        <v>12450</v>
      </c>
      <c r="E140" s="41">
        <v>2644</v>
      </c>
      <c r="F140" s="5">
        <f t="shared" si="8"/>
        <v>3.0518932836152146E-2</v>
      </c>
      <c r="G140" s="5">
        <f t="shared" si="9"/>
        <v>4.6313799621928275E-2</v>
      </c>
      <c r="H140" s="5">
        <f t="shared" si="10"/>
        <v>7.6989619377162644E-2</v>
      </c>
      <c r="I140" s="5">
        <f t="shared" si="11"/>
        <v>1.6923076923076819E-2</v>
      </c>
    </row>
    <row r="141" spans="1:9" x14ac:dyDescent="0.2">
      <c r="A141" s="42">
        <v>45929</v>
      </c>
      <c r="B141" s="41">
        <v>3153.78</v>
      </c>
      <c r="C141" s="41">
        <v>52900</v>
      </c>
      <c r="D141" s="41">
        <v>11560</v>
      </c>
      <c r="E141" s="41">
        <v>2600</v>
      </c>
      <c r="F141" s="5">
        <f t="shared" si="8"/>
        <v>-2.3882353313320337E-3</v>
      </c>
      <c r="G141" s="5">
        <f t="shared" si="9"/>
        <v>-2.639517345399689E-3</v>
      </c>
      <c r="H141" s="5">
        <f t="shared" si="10"/>
        <v>-5.1635111876076056E-3</v>
      </c>
      <c r="I141" s="5">
        <f t="shared" si="11"/>
        <v>-1.8867924528301883E-2</v>
      </c>
    </row>
    <row r="142" spans="1:9" x14ac:dyDescent="0.2">
      <c r="A142" s="42">
        <v>45928</v>
      </c>
      <c r="B142" s="41">
        <v>3161.33</v>
      </c>
      <c r="C142" s="41">
        <v>53040</v>
      </c>
      <c r="D142" s="41">
        <v>11620</v>
      </c>
      <c r="E142" s="41">
        <v>2650</v>
      </c>
      <c r="F142" s="5">
        <f t="shared" si="8"/>
        <v>2.9994102832269443E-2</v>
      </c>
      <c r="G142" s="5">
        <f t="shared" si="9"/>
        <v>2.6911907066795804E-2</v>
      </c>
      <c r="H142" s="5">
        <f t="shared" si="10"/>
        <v>-9.377664109121886E-3</v>
      </c>
      <c r="I142" s="5">
        <f t="shared" si="11"/>
        <v>1.7665130568356391E-2</v>
      </c>
    </row>
    <row r="143" spans="1:9" x14ac:dyDescent="0.2">
      <c r="A143" s="42">
        <v>45925</v>
      </c>
      <c r="B143" s="41">
        <v>3069.27</v>
      </c>
      <c r="C143" s="41">
        <v>51650</v>
      </c>
      <c r="D143" s="41">
        <v>11730</v>
      </c>
      <c r="E143" s="41">
        <v>2604</v>
      </c>
      <c r="F143" s="5">
        <f t="shared" si="8"/>
        <v>1.2602810228730998E-2</v>
      </c>
      <c r="G143" s="5">
        <f t="shared" si="9"/>
        <v>1.1951410658307182E-2</v>
      </c>
      <c r="H143" s="5">
        <f t="shared" si="10"/>
        <v>1.8229166666666741E-2</v>
      </c>
      <c r="I143" s="5">
        <f t="shared" si="11"/>
        <v>-1.5128593040847238E-2</v>
      </c>
    </row>
    <row r="144" spans="1:9" x14ac:dyDescent="0.2">
      <c r="A144" s="42">
        <v>45921</v>
      </c>
      <c r="B144" s="41">
        <v>3031.07</v>
      </c>
      <c r="C144" s="41">
        <v>51040</v>
      </c>
      <c r="D144" s="41">
        <v>11520</v>
      </c>
      <c r="E144" s="41">
        <v>2644</v>
      </c>
      <c r="F144" s="5">
        <f t="shared" si="8"/>
        <v>-1.633348477964558E-2</v>
      </c>
      <c r="G144" s="5">
        <f t="shared" si="9"/>
        <v>-2.9842235316479782E-2</v>
      </c>
      <c r="H144" s="5">
        <f t="shared" si="10"/>
        <v>-3.4367141659681466E-2</v>
      </c>
      <c r="I144" s="5">
        <f t="shared" si="11"/>
        <v>6.0882800608828003E-3</v>
      </c>
    </row>
    <row r="145" spans="1:9" x14ac:dyDescent="0.2">
      <c r="A145" s="42">
        <v>45918</v>
      </c>
      <c r="B145" s="41">
        <v>3081.4</v>
      </c>
      <c r="C145" s="41">
        <v>52610</v>
      </c>
      <c r="D145" s="41">
        <v>11930</v>
      </c>
      <c r="E145" s="41">
        <v>2628</v>
      </c>
      <c r="F145" s="5">
        <f t="shared" si="8"/>
        <v>1.3225129719385276E-2</v>
      </c>
      <c r="G145" s="5">
        <f t="shared" si="9"/>
        <v>2.2943807116468928E-2</v>
      </c>
      <c r="H145" s="5">
        <f t="shared" si="10"/>
        <v>-9.9585062240663547E-3</v>
      </c>
      <c r="I145" s="5">
        <f t="shared" si="11"/>
        <v>0</v>
      </c>
    </row>
    <row r="146" spans="1:9" x14ac:dyDescent="0.2">
      <c r="A146" s="42">
        <v>45917</v>
      </c>
      <c r="B146" s="41">
        <v>3041.18</v>
      </c>
      <c r="C146" s="41">
        <v>51430</v>
      </c>
      <c r="D146" s="41">
        <v>12050</v>
      </c>
      <c r="E146" s="41">
        <v>2628</v>
      </c>
      <c r="F146" s="5">
        <f t="shared" si="8"/>
        <v>-1.9875275955975935E-2</v>
      </c>
      <c r="G146" s="5">
        <f t="shared" si="9"/>
        <v>-1.4939666730511392E-2</v>
      </c>
      <c r="H146" s="5">
        <f t="shared" si="10"/>
        <v>-2.7441485068603666E-2</v>
      </c>
      <c r="I146" s="5">
        <f t="shared" si="11"/>
        <v>0</v>
      </c>
    </row>
    <row r="147" spans="1:9" x14ac:dyDescent="0.2">
      <c r="A147" s="42">
        <v>45916</v>
      </c>
      <c r="B147" s="41">
        <v>3102.85</v>
      </c>
      <c r="C147" s="41">
        <v>52210</v>
      </c>
      <c r="D147" s="41">
        <v>12390</v>
      </c>
      <c r="E147" s="41">
        <v>2628</v>
      </c>
      <c r="F147" s="5">
        <f t="shared" si="8"/>
        <v>-3.8748988738074308E-3</v>
      </c>
      <c r="G147" s="5">
        <f t="shared" si="9"/>
        <v>-1.1735756199129255E-2</v>
      </c>
      <c r="H147" s="5">
        <f t="shared" si="10"/>
        <v>4.0518638573743271E-3</v>
      </c>
      <c r="I147" s="5">
        <f t="shared" si="11"/>
        <v>0</v>
      </c>
    </row>
    <row r="148" spans="1:9" x14ac:dyDescent="0.2">
      <c r="A148" s="42">
        <v>45915</v>
      </c>
      <c r="B148" s="41">
        <v>3114.92</v>
      </c>
      <c r="C148" s="41">
        <v>52830</v>
      </c>
      <c r="D148" s="41">
        <v>12340</v>
      </c>
      <c r="E148" s="41">
        <v>2628</v>
      </c>
      <c r="F148" s="5">
        <f t="shared" si="8"/>
        <v>-5.5232391083639421E-3</v>
      </c>
      <c r="G148" s="5">
        <f t="shared" si="9"/>
        <v>-2.0941438102297982E-2</v>
      </c>
      <c r="H148" s="5">
        <f t="shared" si="10"/>
        <v>-9.6308186195827039E-3</v>
      </c>
      <c r="I148" s="5">
        <f t="shared" si="11"/>
        <v>0</v>
      </c>
    </row>
    <row r="149" spans="1:9" x14ac:dyDescent="0.2">
      <c r="A149" s="42">
        <v>45914</v>
      </c>
      <c r="B149" s="41">
        <v>3132.22</v>
      </c>
      <c r="C149" s="41">
        <v>53960</v>
      </c>
      <c r="D149" s="41">
        <v>12460</v>
      </c>
      <c r="E149" s="41">
        <v>2628</v>
      </c>
      <c r="F149" s="5">
        <f t="shared" si="8"/>
        <v>-9.5934938783770463E-3</v>
      </c>
      <c r="G149" s="5">
        <f t="shared" si="9"/>
        <v>-1.8528812303131303E-4</v>
      </c>
      <c r="H149" s="5">
        <f t="shared" si="10"/>
        <v>-1.1111111111111072E-2</v>
      </c>
      <c r="I149" s="5">
        <f t="shared" si="11"/>
        <v>4.203286205578971E-3</v>
      </c>
    </row>
    <row r="150" spans="1:9" x14ac:dyDescent="0.2">
      <c r="A150" s="42">
        <v>45911</v>
      </c>
      <c r="B150" s="41">
        <v>3162.56</v>
      </c>
      <c r="C150" s="41">
        <v>53970</v>
      </c>
      <c r="D150" s="41">
        <v>12600</v>
      </c>
      <c r="E150" s="41">
        <v>2617</v>
      </c>
      <c r="F150" s="5">
        <f t="shared" si="8"/>
        <v>-1.0698332061212068E-2</v>
      </c>
      <c r="G150" s="5">
        <f t="shared" si="9"/>
        <v>5.9645852749301564E-3</v>
      </c>
      <c r="H150" s="5">
        <f t="shared" si="10"/>
        <v>-7.0921985815602939E-3</v>
      </c>
      <c r="I150" s="5">
        <f t="shared" si="11"/>
        <v>0</v>
      </c>
    </row>
    <row r="151" spans="1:9" x14ac:dyDescent="0.2">
      <c r="A151" s="42">
        <v>45910</v>
      </c>
      <c r="B151" s="41">
        <v>3196.76</v>
      </c>
      <c r="C151" s="41">
        <v>53650</v>
      </c>
      <c r="D151" s="41">
        <v>12690</v>
      </c>
      <c r="E151" s="41">
        <v>2617</v>
      </c>
      <c r="F151" s="5">
        <f t="shared" si="8"/>
        <v>-2.306383908368792E-3</v>
      </c>
      <c r="G151" s="5">
        <f t="shared" si="9"/>
        <v>-1.1059907834101379E-2</v>
      </c>
      <c r="H151" s="5">
        <f t="shared" si="10"/>
        <v>-7.8740157480317041E-4</v>
      </c>
      <c r="I151" s="5">
        <f t="shared" si="11"/>
        <v>0</v>
      </c>
    </row>
    <row r="152" spans="1:9" x14ac:dyDescent="0.2">
      <c r="A152" s="42">
        <v>45909</v>
      </c>
      <c r="B152" s="41">
        <v>3204.15</v>
      </c>
      <c r="C152" s="41">
        <v>54250</v>
      </c>
      <c r="D152" s="41">
        <v>12700</v>
      </c>
      <c r="E152" s="41">
        <v>2617</v>
      </c>
      <c r="F152" s="5">
        <f t="shared" si="8"/>
        <v>1.698062304603809E-2</v>
      </c>
      <c r="G152" s="5">
        <f t="shared" si="9"/>
        <v>3.6690235046818342E-2</v>
      </c>
      <c r="H152" s="5">
        <f t="shared" si="10"/>
        <v>1.7628205128205066E-2</v>
      </c>
      <c r="I152" s="5">
        <f t="shared" si="11"/>
        <v>0</v>
      </c>
    </row>
    <row r="153" spans="1:9" x14ac:dyDescent="0.2">
      <c r="A153" s="42">
        <v>45908</v>
      </c>
      <c r="B153" s="41">
        <v>3150.65</v>
      </c>
      <c r="C153" s="41">
        <v>52330</v>
      </c>
      <c r="D153" s="41">
        <v>12480</v>
      </c>
      <c r="E153" s="41">
        <v>2617</v>
      </c>
      <c r="F153" s="5">
        <f t="shared" si="8"/>
        <v>-1.7331406917353576E-3</v>
      </c>
      <c r="G153" s="5">
        <f t="shared" si="9"/>
        <v>-1.5057406361754233E-2</v>
      </c>
      <c r="H153" s="5">
        <f t="shared" si="10"/>
        <v>-9.52380952380949E-3</v>
      </c>
      <c r="I153" s="5">
        <f t="shared" si="11"/>
        <v>0</v>
      </c>
    </row>
    <row r="154" spans="1:9" x14ac:dyDescent="0.2">
      <c r="A154" s="42">
        <v>45907</v>
      </c>
      <c r="B154" s="41">
        <v>3156.12</v>
      </c>
      <c r="C154" s="41">
        <v>53130</v>
      </c>
      <c r="D154" s="41">
        <v>12600</v>
      </c>
      <c r="E154" s="41">
        <v>2617</v>
      </c>
      <c r="F154" s="5">
        <f t="shared" si="8"/>
        <v>1.4911166492483252E-2</v>
      </c>
      <c r="G154" s="5">
        <f t="shared" si="9"/>
        <v>-7.2869955156951161E-3</v>
      </c>
      <c r="H154" s="5">
        <f t="shared" si="10"/>
        <v>1.7770597738287597E-2</v>
      </c>
      <c r="I154" s="5">
        <f t="shared" si="11"/>
        <v>0</v>
      </c>
    </row>
    <row r="155" spans="1:9" x14ac:dyDescent="0.2">
      <c r="A155" s="42">
        <v>45904</v>
      </c>
      <c r="B155" s="41">
        <v>3109.75</v>
      </c>
      <c r="C155" s="41">
        <v>53520</v>
      </c>
      <c r="D155" s="41">
        <v>12380</v>
      </c>
      <c r="E155" s="41">
        <v>2617</v>
      </c>
      <c r="F155" s="5">
        <f t="shared" si="8"/>
        <v>1.0850450368453668E-2</v>
      </c>
      <c r="G155" s="5">
        <f t="shared" si="9"/>
        <v>2.0205871139916232E-2</v>
      </c>
      <c r="H155" s="5">
        <f t="shared" si="10"/>
        <v>6.2660944206008651E-2</v>
      </c>
      <c r="I155" s="5">
        <f t="shared" si="11"/>
        <v>0</v>
      </c>
    </row>
    <row r="156" spans="1:9" x14ac:dyDescent="0.2">
      <c r="A156" s="42">
        <v>45903</v>
      </c>
      <c r="B156" s="41">
        <v>3076.37</v>
      </c>
      <c r="C156" s="41">
        <v>52460</v>
      </c>
      <c r="D156" s="41">
        <v>11650</v>
      </c>
      <c r="E156" s="41">
        <v>2617</v>
      </c>
      <c r="F156" s="5">
        <f t="shared" si="8"/>
        <v>8.3946295349355271E-3</v>
      </c>
      <c r="G156" s="5">
        <f t="shared" si="9"/>
        <v>-1.0188679245282994E-2</v>
      </c>
      <c r="H156" s="5">
        <f t="shared" si="10"/>
        <v>5.0495942290351703E-2</v>
      </c>
      <c r="I156" s="5">
        <f t="shared" si="11"/>
        <v>0</v>
      </c>
    </row>
    <row r="157" spans="1:9" x14ac:dyDescent="0.2">
      <c r="A157" s="42">
        <v>45902</v>
      </c>
      <c r="B157" s="41">
        <v>3050.76</v>
      </c>
      <c r="C157" s="41">
        <v>53000</v>
      </c>
      <c r="D157" s="41">
        <v>11090</v>
      </c>
      <c r="E157" s="41">
        <v>2617</v>
      </c>
      <c r="F157" s="5">
        <f t="shared" si="8"/>
        <v>-1.5353432332901873E-2</v>
      </c>
      <c r="G157" s="5">
        <f t="shared" si="9"/>
        <v>-2.9304029304029311E-2</v>
      </c>
      <c r="H157" s="5">
        <f t="shared" si="10"/>
        <v>-3.5652173913043428E-2</v>
      </c>
      <c r="I157" s="5">
        <f t="shared" si="11"/>
        <v>0</v>
      </c>
    </row>
    <row r="158" spans="1:9" x14ac:dyDescent="0.2">
      <c r="A158" s="42">
        <v>45901</v>
      </c>
      <c r="B158" s="41">
        <v>3098.33</v>
      </c>
      <c r="C158" s="41">
        <v>54600</v>
      </c>
      <c r="D158" s="41">
        <v>11500</v>
      </c>
      <c r="E158" s="41">
        <v>2617</v>
      </c>
      <c r="F158" s="5">
        <f t="shared" si="8"/>
        <v>-5.3802618864945417E-3</v>
      </c>
      <c r="G158" s="5">
        <f t="shared" si="9"/>
        <v>-1.645639056500281E-3</v>
      </c>
      <c r="H158" s="5">
        <f t="shared" si="10"/>
        <v>1.3215859030837107E-2</v>
      </c>
      <c r="I158" s="5">
        <f t="shared" si="11"/>
        <v>8.0893682588598637E-3</v>
      </c>
    </row>
    <row r="159" spans="1:9" x14ac:dyDescent="0.2">
      <c r="A159" s="42">
        <v>45900</v>
      </c>
      <c r="B159" s="41">
        <v>3115.09</v>
      </c>
      <c r="C159" s="41">
        <v>54690</v>
      </c>
      <c r="D159" s="41">
        <v>11350</v>
      </c>
      <c r="E159" s="41">
        <v>2596</v>
      </c>
      <c r="F159" s="5">
        <f t="shared" si="8"/>
        <v>-4.6427361788331512E-3</v>
      </c>
      <c r="G159" s="5">
        <f t="shared" si="9"/>
        <v>5.330882352941213E-3</v>
      </c>
      <c r="H159" s="5">
        <f t="shared" si="10"/>
        <v>-6.1295971978984065E-3</v>
      </c>
      <c r="I159" s="5">
        <f t="shared" si="11"/>
        <v>2.3659305993690927E-2</v>
      </c>
    </row>
    <row r="160" spans="1:9" x14ac:dyDescent="0.2">
      <c r="A160" s="42">
        <v>45897</v>
      </c>
      <c r="B160" s="41">
        <v>3129.62</v>
      </c>
      <c r="C160" s="41">
        <v>54400</v>
      </c>
      <c r="D160" s="41">
        <v>11420</v>
      </c>
      <c r="E160" s="41">
        <v>2536</v>
      </c>
      <c r="F160" s="5">
        <f t="shared" si="8"/>
        <v>-1.2669174971837727E-3</v>
      </c>
      <c r="G160" s="5">
        <f t="shared" si="9"/>
        <v>-7.2992700729926918E-3</v>
      </c>
      <c r="H160" s="5">
        <f t="shared" si="10"/>
        <v>1.873327386262269E-2</v>
      </c>
      <c r="I160" s="5">
        <f t="shared" si="11"/>
        <v>-1.8195896244676768E-2</v>
      </c>
    </row>
    <row r="161" spans="1:9" x14ac:dyDescent="0.2">
      <c r="A161" s="42">
        <v>45896</v>
      </c>
      <c r="B161" s="41">
        <v>3133.59</v>
      </c>
      <c r="C161" s="41">
        <v>54800</v>
      </c>
      <c r="D161" s="41">
        <v>11210</v>
      </c>
      <c r="E161" s="41">
        <v>2583</v>
      </c>
      <c r="F161" s="5">
        <f t="shared" si="8"/>
        <v>1.6045669427247056E-3</v>
      </c>
      <c r="G161" s="5">
        <f t="shared" si="9"/>
        <v>-5.922746781115884E-2</v>
      </c>
      <c r="H161" s="5">
        <f t="shared" si="10"/>
        <v>-5.8774139378673373E-2</v>
      </c>
      <c r="I161" s="5">
        <f t="shared" si="11"/>
        <v>-1.7123287671232834E-2</v>
      </c>
    </row>
    <row r="162" spans="1:9" x14ac:dyDescent="0.2">
      <c r="A162" s="42">
        <v>45895</v>
      </c>
      <c r="B162" s="41">
        <v>3128.57</v>
      </c>
      <c r="C162" s="41">
        <v>58250</v>
      </c>
      <c r="D162" s="41">
        <v>11910</v>
      </c>
      <c r="E162" s="41">
        <v>2628</v>
      </c>
      <c r="F162" s="5">
        <f t="shared" si="8"/>
        <v>4.2499510485245473E-3</v>
      </c>
      <c r="G162" s="5">
        <f t="shared" si="9"/>
        <v>-9.3537414965986221E-3</v>
      </c>
      <c r="H162" s="5">
        <f t="shared" si="10"/>
        <v>5.7726465364120738E-2</v>
      </c>
      <c r="I162" s="5">
        <f t="shared" si="11"/>
        <v>-1.8989745537409952E-3</v>
      </c>
    </row>
    <row r="163" spans="1:9" x14ac:dyDescent="0.2">
      <c r="A163" s="42">
        <v>45894</v>
      </c>
      <c r="B163" s="41">
        <v>3115.33</v>
      </c>
      <c r="C163" s="41">
        <v>58800</v>
      </c>
      <c r="D163" s="41">
        <v>11260</v>
      </c>
      <c r="E163" s="41">
        <v>2633</v>
      </c>
      <c r="F163" s="5">
        <f t="shared" si="8"/>
        <v>-6.0951549933763172E-4</v>
      </c>
      <c r="G163" s="5">
        <f t="shared" si="9"/>
        <v>-2.5445292620864812E-3</v>
      </c>
      <c r="H163" s="5">
        <f t="shared" si="10"/>
        <v>-3.7606837606837584E-2</v>
      </c>
      <c r="I163" s="5">
        <f t="shared" si="11"/>
        <v>1.6602316602316591E-2</v>
      </c>
    </row>
    <row r="164" spans="1:9" x14ac:dyDescent="0.2">
      <c r="A164" s="42">
        <v>45893</v>
      </c>
      <c r="B164" s="41">
        <v>3117.23</v>
      </c>
      <c r="C164" s="41">
        <v>58950</v>
      </c>
      <c r="D164" s="41">
        <v>11700</v>
      </c>
      <c r="E164" s="41">
        <v>2590</v>
      </c>
      <c r="F164" s="5">
        <f t="shared" si="8"/>
        <v>1.732955194459751E-2</v>
      </c>
      <c r="G164" s="5">
        <f t="shared" si="9"/>
        <v>1.4804613530728261E-2</v>
      </c>
      <c r="H164" s="5">
        <f t="shared" si="10"/>
        <v>-8.4745762711864181E-3</v>
      </c>
      <c r="I164" s="5">
        <f t="shared" si="11"/>
        <v>-4.6118370484242721E-3</v>
      </c>
    </row>
    <row r="165" spans="1:9" x14ac:dyDescent="0.2">
      <c r="A165" s="42">
        <v>45890</v>
      </c>
      <c r="B165" s="41">
        <v>3064.13</v>
      </c>
      <c r="C165" s="41">
        <v>58090</v>
      </c>
      <c r="D165" s="41">
        <v>11800</v>
      </c>
      <c r="E165" s="41">
        <v>2602</v>
      </c>
      <c r="F165" s="5">
        <f t="shared" si="8"/>
        <v>6.8776288117771145E-3</v>
      </c>
      <c r="G165" s="5">
        <f t="shared" si="9"/>
        <v>-2.2876366694701389E-2</v>
      </c>
      <c r="H165" s="5">
        <f t="shared" si="10"/>
        <v>-5.0590219224283528E-3</v>
      </c>
      <c r="I165" s="5">
        <f t="shared" si="11"/>
        <v>0</v>
      </c>
    </row>
    <row r="166" spans="1:9" x14ac:dyDescent="0.2">
      <c r="A166" s="42">
        <v>45889</v>
      </c>
      <c r="B166" s="41">
        <v>3043.2</v>
      </c>
      <c r="C166" s="41">
        <v>59450</v>
      </c>
      <c r="D166" s="41">
        <v>11860</v>
      </c>
      <c r="E166" s="41">
        <v>2602</v>
      </c>
      <c r="F166" s="5">
        <f t="shared" si="8"/>
        <v>-8.710267953119688E-3</v>
      </c>
      <c r="G166" s="5">
        <f t="shared" si="9"/>
        <v>-4.1876046901172526E-3</v>
      </c>
      <c r="H166" s="5">
        <f t="shared" si="10"/>
        <v>9.3617021276595214E-3</v>
      </c>
      <c r="I166" s="5">
        <f t="shared" si="11"/>
        <v>0</v>
      </c>
    </row>
    <row r="167" spans="1:9" x14ac:dyDescent="0.2">
      <c r="A167" s="42">
        <v>45888</v>
      </c>
      <c r="B167" s="41">
        <v>3069.94</v>
      </c>
      <c r="C167" s="41">
        <v>59700</v>
      </c>
      <c r="D167" s="41">
        <v>11750</v>
      </c>
      <c r="E167" s="41">
        <v>2602</v>
      </c>
      <c r="F167" s="5">
        <f t="shared" si="8"/>
        <v>6.5146045828456955E-3</v>
      </c>
      <c r="G167" s="5">
        <f t="shared" si="9"/>
        <v>1.0152284263959421E-2</v>
      </c>
      <c r="H167" s="5">
        <f t="shared" si="10"/>
        <v>8.2949308755760454E-2</v>
      </c>
      <c r="I167" s="5">
        <f t="shared" si="11"/>
        <v>0</v>
      </c>
    </row>
    <row r="168" spans="1:9" x14ac:dyDescent="0.2">
      <c r="A168" s="42">
        <v>45887</v>
      </c>
      <c r="B168" s="41">
        <v>3050.07</v>
      </c>
      <c r="C168" s="41">
        <v>59100</v>
      </c>
      <c r="D168" s="41">
        <v>10850</v>
      </c>
      <c r="E168" s="41">
        <v>2602</v>
      </c>
      <c r="F168" s="5">
        <f t="shared" si="8"/>
        <v>-1.9698372757346316E-3</v>
      </c>
      <c r="G168" s="5">
        <f t="shared" si="9"/>
        <v>-1.0050251256281451E-2</v>
      </c>
      <c r="H168" s="5">
        <f t="shared" si="10"/>
        <v>3.728489483747599E-2</v>
      </c>
      <c r="I168" s="5">
        <f t="shared" si="11"/>
        <v>0</v>
      </c>
    </row>
    <row r="169" spans="1:9" x14ac:dyDescent="0.2">
      <c r="A169" s="42">
        <v>45886</v>
      </c>
      <c r="B169" s="41">
        <v>3056.09</v>
      </c>
      <c r="C169" s="41">
        <v>59700</v>
      </c>
      <c r="D169" s="41">
        <v>10460</v>
      </c>
      <c r="E169" s="41">
        <v>2602</v>
      </c>
      <c r="F169" s="5">
        <f t="shared" si="8"/>
        <v>7.8488535067555709E-3</v>
      </c>
      <c r="G169" s="5">
        <f t="shared" si="9"/>
        <v>-6.4902646030953193E-3</v>
      </c>
      <c r="H169" s="5">
        <f t="shared" si="10"/>
        <v>9.6525096525097442E-3</v>
      </c>
      <c r="I169" s="5">
        <f t="shared" si="11"/>
        <v>1.9592476489028288E-2</v>
      </c>
    </row>
    <row r="170" spans="1:9" x14ac:dyDescent="0.2">
      <c r="A170" s="42">
        <v>45883</v>
      </c>
      <c r="B170" s="41">
        <v>3032.29</v>
      </c>
      <c r="C170" s="41">
        <v>60090</v>
      </c>
      <c r="D170" s="41">
        <v>10360</v>
      </c>
      <c r="E170" s="41">
        <v>2552</v>
      </c>
      <c r="F170" s="5">
        <f t="shared" si="8"/>
        <v>8.5680169497726055E-3</v>
      </c>
      <c r="G170" s="5">
        <f t="shared" si="9"/>
        <v>3.9080062251426684E-2</v>
      </c>
      <c r="H170" s="5">
        <f t="shared" si="10"/>
        <v>2.0689655172413834E-2</v>
      </c>
      <c r="I170" s="5">
        <f t="shared" si="11"/>
        <v>3.9200313602516523E-4</v>
      </c>
    </row>
    <row r="171" spans="1:9" x14ac:dyDescent="0.2">
      <c r="A171" s="42">
        <v>45882</v>
      </c>
      <c r="B171" s="41">
        <v>3006.53</v>
      </c>
      <c r="C171" s="41">
        <v>57830</v>
      </c>
      <c r="D171" s="41">
        <v>10150</v>
      </c>
      <c r="E171" s="41">
        <v>2551</v>
      </c>
      <c r="F171" s="5">
        <f t="shared" si="8"/>
        <v>2.2260681522988435E-2</v>
      </c>
      <c r="G171" s="5">
        <f t="shared" si="9"/>
        <v>1.4561403508771997E-2</v>
      </c>
      <c r="H171" s="5">
        <f t="shared" si="10"/>
        <v>1.2974051896207595E-2</v>
      </c>
      <c r="I171" s="5">
        <f t="shared" si="11"/>
        <v>4.3307086614172707E-3</v>
      </c>
    </row>
    <row r="172" spans="1:9" x14ac:dyDescent="0.2">
      <c r="A172" s="42">
        <v>45881</v>
      </c>
      <c r="B172" s="41">
        <v>2941.06</v>
      </c>
      <c r="C172" s="41">
        <v>57000</v>
      </c>
      <c r="D172" s="41">
        <v>10020</v>
      </c>
      <c r="E172" s="41">
        <v>2540</v>
      </c>
      <c r="F172" s="5">
        <f t="shared" si="8"/>
        <v>-1.7586873812092674E-2</v>
      </c>
      <c r="G172" s="5">
        <f t="shared" si="9"/>
        <v>-1.0931806350858886E-2</v>
      </c>
      <c r="H172" s="5">
        <f t="shared" si="10"/>
        <v>-4.5714285714285707E-2</v>
      </c>
      <c r="I172" s="5">
        <f t="shared" si="11"/>
        <v>-1.5503875968992276E-2</v>
      </c>
    </row>
    <row r="173" spans="1:9" x14ac:dyDescent="0.2">
      <c r="A173" s="42">
        <v>45880</v>
      </c>
      <c r="B173" s="41">
        <v>2993.71</v>
      </c>
      <c r="C173" s="41">
        <v>57630</v>
      </c>
      <c r="D173" s="41">
        <v>10500</v>
      </c>
      <c r="E173" s="41">
        <v>2580</v>
      </c>
      <c r="F173" s="5">
        <f t="shared" si="8"/>
        <v>-8.9350150627337532E-3</v>
      </c>
      <c r="G173" s="5">
        <f t="shared" si="9"/>
        <v>-2.7341772151898702E-2</v>
      </c>
      <c r="H173" s="5">
        <f t="shared" si="10"/>
        <v>-2.0522388059701524E-2</v>
      </c>
      <c r="I173" s="5">
        <f t="shared" si="11"/>
        <v>0</v>
      </c>
    </row>
    <row r="174" spans="1:9" x14ac:dyDescent="0.2">
      <c r="A174" s="42">
        <v>45879</v>
      </c>
      <c r="B174" s="41">
        <v>3020.7</v>
      </c>
      <c r="C174" s="41">
        <v>59250</v>
      </c>
      <c r="D174" s="41">
        <v>10720</v>
      </c>
      <c r="E174" s="41">
        <v>2580</v>
      </c>
      <c r="F174" s="5">
        <f t="shared" si="8"/>
        <v>1.4079684163880168E-2</v>
      </c>
      <c r="G174" s="5">
        <f t="shared" si="9"/>
        <v>1.4728549409145364E-2</v>
      </c>
      <c r="H174" s="5">
        <f t="shared" si="10"/>
        <v>-1.1070110701106972E-2</v>
      </c>
      <c r="I174" s="5">
        <f t="shared" si="11"/>
        <v>7.8125E-3</v>
      </c>
    </row>
    <row r="175" spans="1:9" x14ac:dyDescent="0.2">
      <c r="A175" s="42">
        <v>45876</v>
      </c>
      <c r="B175" s="41">
        <v>2978.76</v>
      </c>
      <c r="C175" s="41">
        <v>58390</v>
      </c>
      <c r="D175" s="41">
        <v>10840</v>
      </c>
      <c r="E175" s="41">
        <v>2560</v>
      </c>
      <c r="F175" s="5">
        <f t="shared" si="8"/>
        <v>7.8954176339962601E-4</v>
      </c>
      <c r="G175" s="5">
        <f t="shared" si="9"/>
        <v>2.8536198696494708E-2</v>
      </c>
      <c r="H175" s="5">
        <f t="shared" si="10"/>
        <v>1.0251630941286116E-2</v>
      </c>
      <c r="I175" s="5">
        <f t="shared" si="11"/>
        <v>-1.0436799381522976E-2</v>
      </c>
    </row>
    <row r="176" spans="1:9" x14ac:dyDescent="0.2">
      <c r="A176" s="42">
        <v>45875</v>
      </c>
      <c r="B176" s="41">
        <v>2976.41</v>
      </c>
      <c r="C176" s="41">
        <v>56770</v>
      </c>
      <c r="D176" s="41">
        <v>10730</v>
      </c>
      <c r="E176" s="41">
        <v>2587</v>
      </c>
      <c r="F176" s="5">
        <f t="shared" si="8"/>
        <v>-5.5960924240602283E-3</v>
      </c>
      <c r="G176" s="5">
        <f t="shared" si="9"/>
        <v>-1.9854972375690561E-2</v>
      </c>
      <c r="H176" s="5">
        <f t="shared" si="10"/>
        <v>0</v>
      </c>
      <c r="I176" s="5">
        <f t="shared" si="11"/>
        <v>2.4960380348652889E-2</v>
      </c>
    </row>
    <row r="177" spans="1:9" x14ac:dyDescent="0.2">
      <c r="A177" s="42">
        <v>45874</v>
      </c>
      <c r="B177" s="41">
        <v>2993.16</v>
      </c>
      <c r="C177" s="41">
        <v>57920</v>
      </c>
      <c r="D177" s="41">
        <v>10730</v>
      </c>
      <c r="E177" s="41">
        <v>2524</v>
      </c>
      <c r="F177" s="5">
        <f t="shared" si="8"/>
        <v>-1.8909484242096486E-2</v>
      </c>
      <c r="G177" s="5">
        <f t="shared" si="9"/>
        <v>-2.7045187300520745E-2</v>
      </c>
      <c r="H177" s="5">
        <f t="shared" si="10"/>
        <v>-2.4545454545454537E-2</v>
      </c>
      <c r="I177" s="5">
        <f t="shared" si="11"/>
        <v>-6.3450834879406282E-2</v>
      </c>
    </row>
    <row r="178" spans="1:9" x14ac:dyDescent="0.2">
      <c r="A178" s="42">
        <v>45873</v>
      </c>
      <c r="B178" s="41">
        <v>3050.85</v>
      </c>
      <c r="C178" s="41">
        <v>59530</v>
      </c>
      <c r="D178" s="41">
        <v>11000</v>
      </c>
      <c r="E178" s="41">
        <v>2695</v>
      </c>
      <c r="F178" s="5">
        <f t="shared" si="8"/>
        <v>-9.5575416600385266E-3</v>
      </c>
      <c r="G178" s="5">
        <f t="shared" si="9"/>
        <v>-3.0613906529881163E-2</v>
      </c>
      <c r="H178" s="5">
        <f t="shared" si="10"/>
        <v>-1.1680143755615435E-2</v>
      </c>
      <c r="I178" s="5">
        <f t="shared" si="11"/>
        <v>3.7119524870088405E-4</v>
      </c>
    </row>
    <row r="179" spans="1:9" x14ac:dyDescent="0.2">
      <c r="A179" s="42">
        <v>45869</v>
      </c>
      <c r="B179" s="41">
        <v>3080.29</v>
      </c>
      <c r="C179" s="41">
        <v>61410</v>
      </c>
      <c r="D179" s="41">
        <v>11130</v>
      </c>
      <c r="E179" s="41">
        <v>2694</v>
      </c>
      <c r="F179" s="5">
        <f t="shared" si="8"/>
        <v>-2.0895831848486424E-3</v>
      </c>
      <c r="G179" s="5">
        <f t="shared" si="9"/>
        <v>5.8968058968058568E-3</v>
      </c>
      <c r="H179" s="5">
        <f t="shared" si="10"/>
        <v>7.2398190045248612E-3</v>
      </c>
      <c r="I179" s="5">
        <f t="shared" si="11"/>
        <v>8.9887640449437534E-3</v>
      </c>
    </row>
    <row r="180" spans="1:9" x14ac:dyDescent="0.2">
      <c r="A180" s="42">
        <v>45868</v>
      </c>
      <c r="B180" s="41">
        <v>3086.74</v>
      </c>
      <c r="C180" s="41">
        <v>61050</v>
      </c>
      <c r="D180" s="41">
        <v>11050</v>
      </c>
      <c r="E180" s="41">
        <v>2670</v>
      </c>
      <c r="F180" s="5">
        <f t="shared" si="8"/>
        <v>-5.8840390208084736E-3</v>
      </c>
      <c r="G180" s="5">
        <f t="shared" si="9"/>
        <v>-8.9285714285713969E-3</v>
      </c>
      <c r="H180" s="5">
        <f t="shared" si="10"/>
        <v>-1.3392857142857095E-2</v>
      </c>
      <c r="I180" s="5">
        <f t="shared" si="11"/>
        <v>-2.1978021978022011E-2</v>
      </c>
    </row>
    <row r="181" spans="1:9" x14ac:dyDescent="0.2">
      <c r="A181" s="42">
        <v>45867</v>
      </c>
      <c r="B181" s="41">
        <v>3105.01</v>
      </c>
      <c r="C181" s="41">
        <v>61600</v>
      </c>
      <c r="D181" s="41">
        <v>11200</v>
      </c>
      <c r="E181" s="41">
        <v>2730</v>
      </c>
      <c r="F181" s="5">
        <f t="shared" si="8"/>
        <v>6.4416180056259265E-5</v>
      </c>
      <c r="G181" s="5">
        <f t="shared" si="9"/>
        <v>3.2573289902280145E-3</v>
      </c>
      <c r="H181" s="5">
        <f t="shared" si="10"/>
        <v>3.9925719591457742E-2</v>
      </c>
      <c r="I181" s="5">
        <f t="shared" si="11"/>
        <v>0</v>
      </c>
    </row>
    <row r="182" spans="1:9" x14ac:dyDescent="0.2">
      <c r="A182" s="42">
        <v>45866</v>
      </c>
      <c r="B182" s="41">
        <v>3104.81</v>
      </c>
      <c r="C182" s="41">
        <v>61400</v>
      </c>
      <c r="D182" s="41">
        <v>10770</v>
      </c>
      <c r="E182" s="41">
        <v>2730</v>
      </c>
      <c r="F182" s="5">
        <f t="shared" si="8"/>
        <v>6.3007029951027693E-3</v>
      </c>
      <c r="G182" s="5">
        <f t="shared" si="9"/>
        <v>-7.115135834411368E-3</v>
      </c>
      <c r="H182" s="5">
        <f t="shared" si="10"/>
        <v>-1.1019283746556474E-2</v>
      </c>
      <c r="I182" s="5">
        <f t="shared" si="11"/>
        <v>0</v>
      </c>
    </row>
    <row r="183" spans="1:9" x14ac:dyDescent="0.2">
      <c r="A183" s="42">
        <v>45865</v>
      </c>
      <c r="B183" s="41">
        <v>3085.37</v>
      </c>
      <c r="C183" s="41">
        <v>61840</v>
      </c>
      <c r="D183" s="41">
        <v>10890</v>
      </c>
      <c r="E183" s="41">
        <v>2730</v>
      </c>
      <c r="F183" s="5">
        <f t="shared" si="8"/>
        <v>-9.5183979557114107E-3</v>
      </c>
      <c r="G183" s="5">
        <f t="shared" si="9"/>
        <v>-1.5286624203821653E-2</v>
      </c>
      <c r="H183" s="5">
        <f t="shared" si="10"/>
        <v>-1.0899182561307952E-2</v>
      </c>
      <c r="I183" s="5">
        <f t="shared" si="11"/>
        <v>-7.9941860465115866E-3</v>
      </c>
    </row>
    <row r="184" spans="1:9" x14ac:dyDescent="0.2">
      <c r="A184" s="42">
        <v>45862</v>
      </c>
      <c r="B184" s="41">
        <v>3115.02</v>
      </c>
      <c r="C184" s="41">
        <v>62800</v>
      </c>
      <c r="D184" s="41">
        <v>11010</v>
      </c>
      <c r="E184" s="41">
        <v>2752</v>
      </c>
      <c r="F184" s="5">
        <f t="shared" si="8"/>
        <v>-1.1876439352125012E-2</v>
      </c>
      <c r="G184" s="5">
        <f t="shared" si="9"/>
        <v>-1.4901960784313717E-2</v>
      </c>
      <c r="H184" s="5">
        <f t="shared" si="10"/>
        <v>-2.393617021276595E-2</v>
      </c>
      <c r="I184" s="5">
        <f t="shared" si="11"/>
        <v>-1.7142857142857126E-2</v>
      </c>
    </row>
    <row r="185" spans="1:9" x14ac:dyDescent="0.2">
      <c r="A185" s="42">
        <v>45861</v>
      </c>
      <c r="B185" s="41">
        <v>3152.46</v>
      </c>
      <c r="C185" s="41">
        <v>63750</v>
      </c>
      <c r="D185" s="41">
        <v>11280</v>
      </c>
      <c r="E185" s="41">
        <v>2800</v>
      </c>
      <c r="F185" s="5">
        <f t="shared" si="8"/>
        <v>1.1668431693462988E-2</v>
      </c>
      <c r="G185" s="5">
        <f t="shared" si="9"/>
        <v>4.508196721311486E-2</v>
      </c>
      <c r="H185" s="5">
        <f t="shared" si="10"/>
        <v>7.1428571428571175E-3</v>
      </c>
      <c r="I185" s="5">
        <f t="shared" si="11"/>
        <v>3.5727045373357136E-4</v>
      </c>
    </row>
    <row r="186" spans="1:9" x14ac:dyDescent="0.2">
      <c r="A186" s="42">
        <v>45860</v>
      </c>
      <c r="B186" s="41">
        <v>3116.1</v>
      </c>
      <c r="C186" s="41">
        <v>61000</v>
      </c>
      <c r="D186" s="41">
        <v>11200</v>
      </c>
      <c r="E186" s="41">
        <v>2799</v>
      </c>
      <c r="F186" s="5">
        <f t="shared" si="8"/>
        <v>-4.0418815921172691E-4</v>
      </c>
      <c r="G186" s="5">
        <f t="shared" si="9"/>
        <v>1.27843267474681E-2</v>
      </c>
      <c r="H186" s="5">
        <f t="shared" si="10"/>
        <v>1.8181818181818077E-2</v>
      </c>
      <c r="I186" s="5">
        <f t="shared" si="11"/>
        <v>3.6666666666666625E-2</v>
      </c>
    </row>
    <row r="187" spans="1:9" x14ac:dyDescent="0.2">
      <c r="A187" s="42">
        <v>45859</v>
      </c>
      <c r="B187" s="41">
        <v>3117.36</v>
      </c>
      <c r="C187" s="41">
        <v>60230</v>
      </c>
      <c r="D187" s="41">
        <v>11000</v>
      </c>
      <c r="E187" s="41">
        <v>2700</v>
      </c>
      <c r="F187" s="5">
        <f t="shared" si="8"/>
        <v>9.2887877306413458E-3</v>
      </c>
      <c r="G187" s="5">
        <f t="shared" si="9"/>
        <v>2.9975020815986575E-3</v>
      </c>
      <c r="H187" s="5">
        <f t="shared" si="10"/>
        <v>4.5627376425855459E-2</v>
      </c>
      <c r="I187" s="5">
        <f t="shared" si="11"/>
        <v>1.1235955056179803E-2</v>
      </c>
    </row>
    <row r="188" spans="1:9" x14ac:dyDescent="0.2">
      <c r="A188" s="42">
        <v>45858</v>
      </c>
      <c r="B188" s="41">
        <v>3088.67</v>
      </c>
      <c r="C188" s="41">
        <v>60050</v>
      </c>
      <c r="D188" s="41">
        <v>10520</v>
      </c>
      <c r="E188" s="41">
        <v>2670</v>
      </c>
      <c r="F188" s="5">
        <f t="shared" si="8"/>
        <v>2.6879631068954524E-4</v>
      </c>
      <c r="G188" s="5">
        <f t="shared" si="9"/>
        <v>-1.3304506901713475E-3</v>
      </c>
      <c r="H188" s="5">
        <f t="shared" si="10"/>
        <v>8.6289549376796781E-3</v>
      </c>
      <c r="I188" s="5">
        <f t="shared" si="11"/>
        <v>-6.3267584666915067E-3</v>
      </c>
    </row>
    <row r="189" spans="1:9" x14ac:dyDescent="0.2">
      <c r="A189" s="42">
        <v>45855</v>
      </c>
      <c r="B189" s="41">
        <v>3087.84</v>
      </c>
      <c r="C189" s="41">
        <v>60130</v>
      </c>
      <c r="D189" s="41">
        <v>10430</v>
      </c>
      <c r="E189" s="41">
        <v>2687</v>
      </c>
      <c r="F189" s="5">
        <f t="shared" si="8"/>
        <v>7.7872570969785837E-3</v>
      </c>
      <c r="G189" s="5">
        <f t="shared" si="9"/>
        <v>8.8926174496644084E-3</v>
      </c>
      <c r="H189" s="5">
        <f t="shared" si="10"/>
        <v>5.3535353535353547E-2</v>
      </c>
      <c r="I189" s="5">
        <f t="shared" si="11"/>
        <v>-1.4668133480014722E-2</v>
      </c>
    </row>
    <row r="190" spans="1:9" x14ac:dyDescent="0.2">
      <c r="A190" s="42">
        <v>45854</v>
      </c>
      <c r="B190" s="41">
        <v>3063.98</v>
      </c>
      <c r="C190" s="41">
        <v>59600</v>
      </c>
      <c r="D190" s="41">
        <v>9900</v>
      </c>
      <c r="E190" s="41">
        <v>2727</v>
      </c>
      <c r="F190" s="5">
        <f t="shared" si="8"/>
        <v>-3.1363668898561903E-3</v>
      </c>
      <c r="G190" s="5">
        <f t="shared" si="9"/>
        <v>-7.9893475366178413E-3</v>
      </c>
      <c r="H190" s="5">
        <f t="shared" si="10"/>
        <v>2.3286423002935042E-3</v>
      </c>
      <c r="I190" s="5">
        <f t="shared" si="11"/>
        <v>-1.7297297297297343E-2</v>
      </c>
    </row>
    <row r="191" spans="1:9" x14ac:dyDescent="0.2">
      <c r="A191" s="42">
        <v>45853</v>
      </c>
      <c r="B191" s="41">
        <v>3073.62</v>
      </c>
      <c r="C191" s="41">
        <v>60080</v>
      </c>
      <c r="D191" s="41">
        <v>9877</v>
      </c>
      <c r="E191" s="41">
        <v>2775</v>
      </c>
      <c r="F191" s="5">
        <f t="shared" si="8"/>
        <v>6.5001620947222616E-3</v>
      </c>
      <c r="G191" s="5">
        <f t="shared" si="9"/>
        <v>0</v>
      </c>
      <c r="H191" s="5">
        <f t="shared" si="10"/>
        <v>-1.0122268991781924E-2</v>
      </c>
      <c r="I191" s="5">
        <f t="shared" si="11"/>
        <v>0</v>
      </c>
    </row>
    <row r="192" spans="1:9" x14ac:dyDescent="0.2">
      <c r="A192" s="42">
        <v>45852</v>
      </c>
      <c r="B192" s="41">
        <v>3053.77</v>
      </c>
      <c r="C192" s="41">
        <v>60080</v>
      </c>
      <c r="D192" s="41">
        <v>9978</v>
      </c>
      <c r="E192" s="41">
        <v>2775</v>
      </c>
      <c r="F192" s="5">
        <f t="shared" si="8"/>
        <v>7.7669266566160466E-4</v>
      </c>
      <c r="G192" s="5">
        <f t="shared" si="9"/>
        <v>9.7478991596637865E-3</v>
      </c>
      <c r="H192" s="5">
        <f t="shared" si="10"/>
        <v>-1.207920792079209E-2</v>
      </c>
      <c r="I192" s="5">
        <f t="shared" si="11"/>
        <v>1.8050541516245744E-3</v>
      </c>
    </row>
    <row r="193" spans="1:9" x14ac:dyDescent="0.2">
      <c r="A193" s="42">
        <v>45851</v>
      </c>
      <c r="B193" s="41">
        <v>3051.4</v>
      </c>
      <c r="C193" s="41">
        <v>59500</v>
      </c>
      <c r="D193" s="41">
        <v>10100</v>
      </c>
      <c r="E193" s="41">
        <v>2770</v>
      </c>
      <c r="F193" s="5">
        <f t="shared" si="8"/>
        <v>-2.3308217731145553E-2</v>
      </c>
      <c r="G193" s="5">
        <f t="shared" si="9"/>
        <v>-1.8151815181518205E-2</v>
      </c>
      <c r="H193" s="5">
        <f t="shared" si="10"/>
        <v>-3.8095238095238071E-2</v>
      </c>
      <c r="I193" s="5">
        <f t="shared" si="11"/>
        <v>-3.819444444444442E-2</v>
      </c>
    </row>
    <row r="194" spans="1:9" x14ac:dyDescent="0.2">
      <c r="A194" s="42">
        <v>45848</v>
      </c>
      <c r="B194" s="41">
        <v>3124.22</v>
      </c>
      <c r="C194" s="41">
        <v>60600</v>
      </c>
      <c r="D194" s="41">
        <v>10500</v>
      </c>
      <c r="E194" s="41">
        <v>2880</v>
      </c>
      <c r="F194" s="5">
        <f t="shared" si="8"/>
        <v>-2.114448518608536E-3</v>
      </c>
      <c r="G194" s="5">
        <f t="shared" si="9"/>
        <v>-3.1255140648133173E-3</v>
      </c>
      <c r="H194" s="5">
        <f t="shared" si="10"/>
        <v>-2.3255813953488413E-2</v>
      </c>
      <c r="I194" s="5">
        <f t="shared" si="11"/>
        <v>0</v>
      </c>
    </row>
    <row r="195" spans="1:9" x14ac:dyDescent="0.2">
      <c r="A195" s="42">
        <v>45847</v>
      </c>
      <c r="B195" s="41">
        <v>3130.84</v>
      </c>
      <c r="C195" s="41">
        <v>60790</v>
      </c>
      <c r="D195" s="41">
        <v>10750</v>
      </c>
      <c r="E195" s="41">
        <v>2880</v>
      </c>
      <c r="F195" s="5">
        <f t="shared" ref="F195:F258" si="12">B195/B196-1</f>
        <v>1.6905992289178551E-2</v>
      </c>
      <c r="G195" s="5">
        <f t="shared" ref="G195:G258" si="13">C195/C196-1</f>
        <v>1.6555183946488361E-2</v>
      </c>
      <c r="H195" s="5">
        <f t="shared" ref="H195:H258" si="14">D195/D196-1</f>
        <v>-1.1039558417663242E-2</v>
      </c>
      <c r="I195" s="5">
        <f t="shared" ref="I195:I258" si="15">E195/E196-1</f>
        <v>0</v>
      </c>
    </row>
    <row r="196" spans="1:9" x14ac:dyDescent="0.2">
      <c r="A196" s="42">
        <v>45846</v>
      </c>
      <c r="B196" s="41">
        <v>3078.79</v>
      </c>
      <c r="C196" s="41">
        <v>59800</v>
      </c>
      <c r="D196" s="41">
        <v>10870</v>
      </c>
      <c r="E196" s="41">
        <v>2880</v>
      </c>
      <c r="F196" s="5">
        <f t="shared" si="12"/>
        <v>-6.1334047821188786E-3</v>
      </c>
      <c r="G196" s="5">
        <f t="shared" si="13"/>
        <v>-1.1570247933884281E-2</v>
      </c>
      <c r="H196" s="5">
        <f t="shared" si="14"/>
        <v>-1.9837691614066677E-2</v>
      </c>
      <c r="I196" s="5">
        <f t="shared" si="15"/>
        <v>-5.5248618784530246E-3</v>
      </c>
    </row>
    <row r="197" spans="1:9" x14ac:dyDescent="0.2">
      <c r="A197" s="42">
        <v>45845</v>
      </c>
      <c r="B197" s="41">
        <v>3097.79</v>
      </c>
      <c r="C197" s="41">
        <v>60500</v>
      </c>
      <c r="D197" s="41">
        <v>11090</v>
      </c>
      <c r="E197" s="41">
        <v>2896</v>
      </c>
      <c r="F197" s="5">
        <f t="shared" si="12"/>
        <v>-5.0968956148069733E-3</v>
      </c>
      <c r="G197" s="5">
        <f t="shared" si="13"/>
        <v>8.2712985938782069E-4</v>
      </c>
      <c r="H197" s="5">
        <f t="shared" si="14"/>
        <v>2.7124773960216508E-3</v>
      </c>
      <c r="I197" s="5">
        <f t="shared" si="15"/>
        <v>2.7700831024930483E-3</v>
      </c>
    </row>
    <row r="198" spans="1:9" x14ac:dyDescent="0.2">
      <c r="A198" s="42">
        <v>45844</v>
      </c>
      <c r="B198" s="41">
        <v>3113.66</v>
      </c>
      <c r="C198" s="41">
        <v>60450</v>
      </c>
      <c r="D198" s="41">
        <v>11060</v>
      </c>
      <c r="E198" s="41">
        <v>2888</v>
      </c>
      <c r="F198" s="5">
        <f t="shared" si="12"/>
        <v>2.2080597399252166E-3</v>
      </c>
      <c r="G198" s="5">
        <f t="shared" si="13"/>
        <v>-4.610571381524764E-3</v>
      </c>
      <c r="H198" s="5">
        <f t="shared" si="14"/>
        <v>0.11717171717171726</v>
      </c>
      <c r="I198" s="5">
        <f t="shared" si="15"/>
        <v>1.4401123990165132E-2</v>
      </c>
    </row>
    <row r="199" spans="1:9" x14ac:dyDescent="0.2">
      <c r="A199" s="42">
        <v>45841</v>
      </c>
      <c r="B199" s="41">
        <v>3106.8</v>
      </c>
      <c r="C199" s="41">
        <v>60730</v>
      </c>
      <c r="D199" s="41">
        <v>9900</v>
      </c>
      <c r="E199" s="41">
        <v>2847</v>
      </c>
      <c r="F199" s="5">
        <f t="shared" si="12"/>
        <v>9.1239512653027433E-3</v>
      </c>
      <c r="G199" s="5">
        <f t="shared" si="13"/>
        <v>1.2504168056018727E-2</v>
      </c>
      <c r="H199" s="5">
        <f t="shared" si="14"/>
        <v>1.2135922330096527E-3</v>
      </c>
      <c r="I199" s="5">
        <f t="shared" si="15"/>
        <v>3.9810080350620947E-2</v>
      </c>
    </row>
    <row r="200" spans="1:9" x14ac:dyDescent="0.2">
      <c r="A200" s="42">
        <v>45840</v>
      </c>
      <c r="B200" s="41">
        <v>3078.71</v>
      </c>
      <c r="C200" s="41">
        <v>59980</v>
      </c>
      <c r="D200" s="41">
        <v>9888</v>
      </c>
      <c r="E200" s="41">
        <v>2738</v>
      </c>
      <c r="F200" s="5">
        <f t="shared" si="12"/>
        <v>1.7745278559220923E-2</v>
      </c>
      <c r="G200" s="5">
        <f t="shared" si="13"/>
        <v>2.6746907388832675E-3</v>
      </c>
      <c r="H200" s="5">
        <f t="shared" si="14"/>
        <v>3.1074035453597437E-2</v>
      </c>
      <c r="I200" s="5">
        <f t="shared" si="15"/>
        <v>1.2573964497041512E-2</v>
      </c>
    </row>
    <row r="201" spans="1:9" x14ac:dyDescent="0.2">
      <c r="A201" s="42">
        <v>45839</v>
      </c>
      <c r="B201" s="41">
        <v>3025.03</v>
      </c>
      <c r="C201" s="41">
        <v>59820</v>
      </c>
      <c r="D201" s="41">
        <v>9590</v>
      </c>
      <c r="E201" s="41">
        <v>2704</v>
      </c>
      <c r="F201" s="5">
        <f t="shared" si="12"/>
        <v>8.370554177006273E-4</v>
      </c>
      <c r="G201" s="5">
        <f t="shared" si="13"/>
        <v>2.291381668946646E-2</v>
      </c>
      <c r="H201" s="5">
        <f t="shared" si="14"/>
        <v>9.4736842105263008E-3</v>
      </c>
      <c r="I201" s="5">
        <f t="shared" si="15"/>
        <v>4.4822256568779029E-2</v>
      </c>
    </row>
    <row r="202" spans="1:9" x14ac:dyDescent="0.2">
      <c r="A202" s="42">
        <v>45838</v>
      </c>
      <c r="B202" s="41">
        <v>3022.5</v>
      </c>
      <c r="C202" s="41">
        <v>58480</v>
      </c>
      <c r="D202" s="41">
        <v>9500</v>
      </c>
      <c r="E202" s="41">
        <v>2588</v>
      </c>
      <c r="F202" s="5">
        <f t="shared" si="12"/>
        <v>3.3394855997130879E-3</v>
      </c>
      <c r="G202" s="5">
        <f t="shared" si="13"/>
        <v>-3.7478705281089875E-3</v>
      </c>
      <c r="H202" s="5">
        <f t="shared" si="14"/>
        <v>3.1678986272438703E-3</v>
      </c>
      <c r="I202" s="5">
        <f t="shared" si="15"/>
        <v>0</v>
      </c>
    </row>
    <row r="203" spans="1:9" x14ac:dyDescent="0.2">
      <c r="A203" s="42">
        <v>45837</v>
      </c>
      <c r="B203" s="41">
        <v>3012.44</v>
      </c>
      <c r="C203" s="41">
        <v>58700</v>
      </c>
      <c r="D203" s="41">
        <v>9470</v>
      </c>
      <c r="E203" s="41">
        <v>2588</v>
      </c>
      <c r="F203" s="5">
        <f t="shared" si="12"/>
        <v>2.0332541889507283E-2</v>
      </c>
      <c r="G203" s="5">
        <f t="shared" si="13"/>
        <v>1.3816925734024155E-2</v>
      </c>
      <c r="H203" s="5">
        <f t="shared" si="14"/>
        <v>-7.3863036826005146E-4</v>
      </c>
      <c r="I203" s="5">
        <f t="shared" si="15"/>
        <v>3.8523274478330594E-2</v>
      </c>
    </row>
    <row r="204" spans="1:9" x14ac:dyDescent="0.2">
      <c r="A204" s="42">
        <v>45834</v>
      </c>
      <c r="B204" s="41">
        <v>2952.41</v>
      </c>
      <c r="C204" s="41">
        <v>57900</v>
      </c>
      <c r="D204" s="41">
        <v>9477</v>
      </c>
      <c r="E204" s="41">
        <v>2492</v>
      </c>
      <c r="F204" s="5">
        <f t="shared" si="12"/>
        <v>-7.0859733376381628E-3</v>
      </c>
      <c r="G204" s="5">
        <f t="shared" si="13"/>
        <v>-2.1959459459459429E-2</v>
      </c>
      <c r="H204" s="5">
        <f t="shared" si="14"/>
        <v>-2.4210526315789904E-3</v>
      </c>
      <c r="I204" s="5">
        <f t="shared" si="15"/>
        <v>1.5898899306971082E-2</v>
      </c>
    </row>
    <row r="205" spans="1:9" x14ac:dyDescent="0.2">
      <c r="A205" s="42">
        <v>45833</v>
      </c>
      <c r="B205" s="41">
        <v>2973.48</v>
      </c>
      <c r="C205" s="41">
        <v>59200</v>
      </c>
      <c r="D205" s="41">
        <v>9500</v>
      </c>
      <c r="E205" s="41">
        <v>2453</v>
      </c>
      <c r="F205" s="5">
        <f t="shared" si="12"/>
        <v>1.7144655464944369E-2</v>
      </c>
      <c r="G205" s="5">
        <f t="shared" si="13"/>
        <v>4.2253521126760507E-2</v>
      </c>
      <c r="H205" s="5">
        <f t="shared" si="14"/>
        <v>6.1452513966480549E-2</v>
      </c>
      <c r="I205" s="5">
        <f t="shared" si="15"/>
        <v>4.0288379983036471E-2</v>
      </c>
    </row>
    <row r="206" spans="1:9" x14ac:dyDescent="0.2">
      <c r="A206" s="42">
        <v>45832</v>
      </c>
      <c r="B206" s="41">
        <v>2923.36</v>
      </c>
      <c r="C206" s="41">
        <v>56800</v>
      </c>
      <c r="D206" s="41">
        <v>8950</v>
      </c>
      <c r="E206" s="41">
        <v>2358</v>
      </c>
      <c r="F206" s="5">
        <f t="shared" si="12"/>
        <v>1.4699706005879776E-2</v>
      </c>
      <c r="G206" s="5">
        <f t="shared" si="13"/>
        <v>5.7531185998882961E-2</v>
      </c>
      <c r="H206" s="5">
        <f t="shared" si="14"/>
        <v>4.5194441200513857E-2</v>
      </c>
      <c r="I206" s="5">
        <f t="shared" si="15"/>
        <v>6.8902991840435135E-2</v>
      </c>
    </row>
    <row r="207" spans="1:9" x14ac:dyDescent="0.2">
      <c r="A207" s="42">
        <v>45831</v>
      </c>
      <c r="B207" s="41">
        <v>2881.01</v>
      </c>
      <c r="C207" s="41">
        <v>53710</v>
      </c>
      <c r="D207" s="41">
        <v>8563</v>
      </c>
      <c r="E207" s="41">
        <v>2206</v>
      </c>
      <c r="F207" s="5">
        <f t="shared" si="12"/>
        <v>-1.3224323713359798E-2</v>
      </c>
      <c r="G207" s="5">
        <f t="shared" si="13"/>
        <v>-7.208872458410398E-3</v>
      </c>
      <c r="H207" s="5">
        <f t="shared" si="14"/>
        <v>-9.8288621646623886E-3</v>
      </c>
      <c r="I207" s="5">
        <f t="shared" si="15"/>
        <v>-6.9198312236286919E-2</v>
      </c>
    </row>
    <row r="208" spans="1:9" x14ac:dyDescent="0.2">
      <c r="A208" s="42">
        <v>45830</v>
      </c>
      <c r="B208" s="41">
        <v>2919.62</v>
      </c>
      <c r="C208" s="41">
        <v>54100</v>
      </c>
      <c r="D208" s="41">
        <v>8648</v>
      </c>
      <c r="E208" s="41">
        <v>2370</v>
      </c>
      <c r="F208" s="5">
        <f t="shared" si="12"/>
        <v>1.7711176411125074E-2</v>
      </c>
      <c r="G208" s="5">
        <f t="shared" si="13"/>
        <v>1.3678096308787691E-2</v>
      </c>
      <c r="H208" s="5">
        <f t="shared" si="14"/>
        <v>1.8490166058179325E-2</v>
      </c>
      <c r="I208" s="5">
        <f t="shared" si="15"/>
        <v>1.6295025728988E-2</v>
      </c>
    </row>
    <row r="209" spans="1:9" x14ac:dyDescent="0.2">
      <c r="A209" s="42">
        <v>45827</v>
      </c>
      <c r="B209" s="41">
        <v>2868.81</v>
      </c>
      <c r="C209" s="41">
        <v>53370</v>
      </c>
      <c r="D209" s="41">
        <v>8491</v>
      </c>
      <c r="E209" s="41">
        <v>2332</v>
      </c>
      <c r="F209" s="5">
        <f t="shared" si="12"/>
        <v>9.9985565464140169E-3</v>
      </c>
      <c r="G209" s="5">
        <f t="shared" si="13"/>
        <v>3.0069535801540148E-3</v>
      </c>
      <c r="H209" s="5">
        <f t="shared" si="14"/>
        <v>3.0461165048543792E-2</v>
      </c>
      <c r="I209" s="5">
        <f t="shared" si="15"/>
        <v>-4.2698548249359147E-3</v>
      </c>
    </row>
    <row r="210" spans="1:9" x14ac:dyDescent="0.2">
      <c r="A210" s="42">
        <v>45826</v>
      </c>
      <c r="B210" s="41">
        <v>2840.41</v>
      </c>
      <c r="C210" s="41">
        <v>53210</v>
      </c>
      <c r="D210" s="41">
        <v>8240</v>
      </c>
      <c r="E210" s="41">
        <v>2342</v>
      </c>
      <c r="F210" s="5">
        <f t="shared" si="12"/>
        <v>1.355614076405387E-2</v>
      </c>
      <c r="G210" s="5">
        <f t="shared" si="13"/>
        <v>1.8373205741626819E-2</v>
      </c>
      <c r="H210" s="5">
        <f t="shared" si="14"/>
        <v>3.6421027072952583E-4</v>
      </c>
      <c r="I210" s="5">
        <f t="shared" si="15"/>
        <v>9.918068132815927E-3</v>
      </c>
    </row>
    <row r="211" spans="1:9" x14ac:dyDescent="0.2">
      <c r="A211" s="42">
        <v>45825</v>
      </c>
      <c r="B211" s="41">
        <v>2802.42</v>
      </c>
      <c r="C211" s="41">
        <v>52250</v>
      </c>
      <c r="D211" s="41">
        <v>8237</v>
      </c>
      <c r="E211" s="41">
        <v>2319</v>
      </c>
      <c r="F211" s="5">
        <f t="shared" si="12"/>
        <v>5.475107277659097E-3</v>
      </c>
      <c r="G211" s="5">
        <f t="shared" si="13"/>
        <v>-1.1913767019667176E-2</v>
      </c>
      <c r="H211" s="5">
        <f t="shared" si="14"/>
        <v>-2.7845036319612548E-3</v>
      </c>
      <c r="I211" s="5">
        <f t="shared" si="15"/>
        <v>8.6994345367550352E-3</v>
      </c>
    </row>
    <row r="212" spans="1:9" x14ac:dyDescent="0.2">
      <c r="A212" s="42">
        <v>45824</v>
      </c>
      <c r="B212" s="41">
        <v>2787.16</v>
      </c>
      <c r="C212" s="41">
        <v>52880</v>
      </c>
      <c r="D212" s="41">
        <v>8260</v>
      </c>
      <c r="E212" s="41">
        <v>2299</v>
      </c>
      <c r="F212" s="5">
        <f t="shared" si="12"/>
        <v>2.6408145979487818E-2</v>
      </c>
      <c r="G212" s="5">
        <f t="shared" si="13"/>
        <v>4.3203787729335197E-2</v>
      </c>
      <c r="H212" s="5">
        <f t="shared" si="14"/>
        <v>4.9955510359730448E-2</v>
      </c>
      <c r="I212" s="5">
        <f t="shared" si="15"/>
        <v>0</v>
      </c>
    </row>
    <row r="213" spans="1:9" x14ac:dyDescent="0.2">
      <c r="A213" s="42">
        <v>45823</v>
      </c>
      <c r="B213" s="41">
        <v>2715.45</v>
      </c>
      <c r="C213" s="41">
        <v>50690</v>
      </c>
      <c r="D213" s="41">
        <v>7867</v>
      </c>
      <c r="E213" s="41">
        <v>2299</v>
      </c>
      <c r="F213" s="5">
        <f t="shared" si="12"/>
        <v>3.5367422058627529E-3</v>
      </c>
      <c r="G213" s="5">
        <f t="shared" si="13"/>
        <v>5.7539682539682335E-3</v>
      </c>
      <c r="H213" s="5">
        <f t="shared" si="14"/>
        <v>-4.1772151898734622E-3</v>
      </c>
      <c r="I213" s="5">
        <f t="shared" si="15"/>
        <v>0</v>
      </c>
    </row>
    <row r="214" spans="1:9" x14ac:dyDescent="0.2">
      <c r="A214" s="42">
        <v>45820</v>
      </c>
      <c r="B214" s="41">
        <v>2705.88</v>
      </c>
      <c r="C214" s="41">
        <v>50400</v>
      </c>
      <c r="D214" s="41">
        <v>7900</v>
      </c>
      <c r="E214" s="41">
        <v>2299</v>
      </c>
      <c r="F214" s="5">
        <f t="shared" si="12"/>
        <v>-1.7615451641010749E-2</v>
      </c>
      <c r="G214" s="5">
        <f t="shared" si="13"/>
        <v>-3.1514219830899304E-2</v>
      </c>
      <c r="H214" s="5">
        <f t="shared" si="14"/>
        <v>-1.5330923594665369E-2</v>
      </c>
      <c r="I214" s="5">
        <f t="shared" si="15"/>
        <v>0</v>
      </c>
    </row>
    <row r="215" spans="1:9" x14ac:dyDescent="0.2">
      <c r="A215" s="42">
        <v>45819</v>
      </c>
      <c r="B215" s="41">
        <v>2754.4</v>
      </c>
      <c r="C215" s="41">
        <v>52040</v>
      </c>
      <c r="D215" s="41">
        <v>8023</v>
      </c>
      <c r="E215" s="41">
        <v>2299</v>
      </c>
      <c r="F215" s="5">
        <f t="shared" si="12"/>
        <v>4.3500931641915486E-3</v>
      </c>
      <c r="G215" s="5">
        <f t="shared" si="13"/>
        <v>1.1270890011659596E-2</v>
      </c>
      <c r="H215" s="5">
        <f t="shared" si="14"/>
        <v>3.3766883441721518E-3</v>
      </c>
      <c r="I215" s="5">
        <f t="shared" si="15"/>
        <v>0</v>
      </c>
    </row>
    <row r="216" spans="1:9" x14ac:dyDescent="0.2">
      <c r="A216" s="42">
        <v>45818</v>
      </c>
      <c r="B216" s="41">
        <v>2742.47</v>
      </c>
      <c r="C216" s="41">
        <v>51460</v>
      </c>
      <c r="D216" s="41">
        <v>7996</v>
      </c>
      <c r="E216" s="41">
        <v>2299</v>
      </c>
      <c r="F216" s="5">
        <f t="shared" si="12"/>
        <v>-1.4564149617508626E-3</v>
      </c>
      <c r="G216" s="5">
        <f t="shared" si="13"/>
        <v>9.7257342929402135E-4</v>
      </c>
      <c r="H216" s="5">
        <f t="shared" si="14"/>
        <v>1.2507817385865039E-4</v>
      </c>
      <c r="I216" s="5">
        <f t="shared" si="15"/>
        <v>0</v>
      </c>
    </row>
    <row r="217" spans="1:9" x14ac:dyDescent="0.2">
      <c r="A217" s="42">
        <v>45817</v>
      </c>
      <c r="B217" s="41">
        <v>2746.47</v>
      </c>
      <c r="C217" s="41">
        <v>51410</v>
      </c>
      <c r="D217" s="41">
        <v>7995</v>
      </c>
      <c r="E217" s="41">
        <v>2299</v>
      </c>
      <c r="F217" s="5">
        <f t="shared" si="12"/>
        <v>-1.9514215942788571E-3</v>
      </c>
      <c r="G217" s="5">
        <f t="shared" si="13"/>
        <v>-1.851851851851849E-2</v>
      </c>
      <c r="H217" s="5">
        <f t="shared" si="14"/>
        <v>5.6603773584906758E-3</v>
      </c>
      <c r="I217" s="5">
        <f t="shared" si="15"/>
        <v>0</v>
      </c>
    </row>
    <row r="218" spans="1:9" x14ac:dyDescent="0.2">
      <c r="A218" s="42">
        <v>45816</v>
      </c>
      <c r="B218" s="41">
        <v>2751.84</v>
      </c>
      <c r="C218" s="41">
        <v>52380</v>
      </c>
      <c r="D218" s="41">
        <v>7950</v>
      </c>
      <c r="E218" s="41">
        <v>2299</v>
      </c>
      <c r="F218" s="5">
        <f t="shared" si="12"/>
        <v>-5.5931255402452695E-4</v>
      </c>
      <c r="G218" s="5">
        <f t="shared" si="13"/>
        <v>1.0026995757809409E-2</v>
      </c>
      <c r="H218" s="5">
        <f t="shared" si="14"/>
        <v>-1.572365977466883E-2</v>
      </c>
      <c r="I218" s="5">
        <f t="shared" si="15"/>
        <v>3.7923250564334099E-2</v>
      </c>
    </row>
    <row r="219" spans="1:9" x14ac:dyDescent="0.2">
      <c r="A219" s="42">
        <v>45813</v>
      </c>
      <c r="B219" s="41">
        <v>2753.38</v>
      </c>
      <c r="C219" s="41">
        <v>51860</v>
      </c>
      <c r="D219" s="41">
        <v>8077</v>
      </c>
      <c r="E219" s="41">
        <v>2215</v>
      </c>
      <c r="F219" s="5">
        <f t="shared" si="12"/>
        <v>1.1045422832592688E-2</v>
      </c>
      <c r="G219" s="5">
        <f t="shared" si="13"/>
        <v>1.68627450980392E-2</v>
      </c>
      <c r="H219" s="5">
        <f t="shared" si="14"/>
        <v>1.4879107253564783E-3</v>
      </c>
      <c r="I219" s="5">
        <f t="shared" si="15"/>
        <v>-4.1955017301038011E-2</v>
      </c>
    </row>
    <row r="220" spans="1:9" x14ac:dyDescent="0.2">
      <c r="A220" s="42">
        <v>45812</v>
      </c>
      <c r="B220" s="41">
        <v>2723.3</v>
      </c>
      <c r="C220" s="41">
        <v>51000</v>
      </c>
      <c r="D220" s="41">
        <v>8065</v>
      </c>
      <c r="E220" s="41">
        <v>2312</v>
      </c>
      <c r="F220" s="5">
        <f t="shared" si="12"/>
        <v>-2.1252427540213725E-3</v>
      </c>
      <c r="G220" s="5">
        <f t="shared" si="13"/>
        <v>-1.5253910021239658E-2</v>
      </c>
      <c r="H220" s="5">
        <f t="shared" si="14"/>
        <v>-1.0429447852760787E-2</v>
      </c>
      <c r="I220" s="5">
        <f t="shared" si="15"/>
        <v>0</v>
      </c>
    </row>
    <row r="221" spans="1:9" x14ac:dyDescent="0.2">
      <c r="A221" s="42">
        <v>45811</v>
      </c>
      <c r="B221" s="41">
        <v>2729.1</v>
      </c>
      <c r="C221" s="41">
        <v>51790</v>
      </c>
      <c r="D221" s="41">
        <v>8150</v>
      </c>
      <c r="E221" s="41">
        <v>2312</v>
      </c>
      <c r="F221" s="5">
        <f t="shared" si="12"/>
        <v>1.6075046243284596E-3</v>
      </c>
      <c r="G221" s="5">
        <f t="shared" si="13"/>
        <v>-2.7417840375586811E-2</v>
      </c>
      <c r="H221" s="5">
        <f t="shared" si="14"/>
        <v>-4.1176470588235259E-2</v>
      </c>
      <c r="I221" s="5">
        <f t="shared" si="15"/>
        <v>3.4914950760966956E-2</v>
      </c>
    </row>
    <row r="222" spans="1:9" x14ac:dyDescent="0.2">
      <c r="A222" s="42">
        <v>45806</v>
      </c>
      <c r="B222" s="41">
        <v>2724.72</v>
      </c>
      <c r="C222" s="41">
        <v>53250</v>
      </c>
      <c r="D222" s="41">
        <v>8500</v>
      </c>
      <c r="E222" s="41">
        <v>2234</v>
      </c>
      <c r="F222" s="5">
        <f t="shared" si="12"/>
        <v>5.279644039093645E-3</v>
      </c>
      <c r="G222" s="5">
        <f t="shared" si="13"/>
        <v>-4.6728971962616273E-3</v>
      </c>
      <c r="H222" s="5">
        <f t="shared" si="14"/>
        <v>1.6017212526894475E-2</v>
      </c>
      <c r="I222" s="5">
        <f t="shared" si="15"/>
        <v>0</v>
      </c>
    </row>
    <row r="223" spans="1:9" x14ac:dyDescent="0.2">
      <c r="A223" s="42">
        <v>45805</v>
      </c>
      <c r="B223" s="41">
        <v>2710.41</v>
      </c>
      <c r="C223" s="41">
        <v>53500</v>
      </c>
      <c r="D223" s="41">
        <v>8366</v>
      </c>
      <c r="E223" s="41">
        <v>2234</v>
      </c>
      <c r="F223" s="5">
        <f t="shared" si="12"/>
        <v>5.6918744225566975E-3</v>
      </c>
      <c r="G223" s="5">
        <f t="shared" si="13"/>
        <v>1.8078020932445371E-2</v>
      </c>
      <c r="H223" s="5">
        <f t="shared" si="14"/>
        <v>1.442948951133749E-2</v>
      </c>
      <c r="I223" s="5">
        <f t="shared" si="15"/>
        <v>8.5778781038374774E-3</v>
      </c>
    </row>
    <row r="224" spans="1:9" x14ac:dyDescent="0.2">
      <c r="A224" s="42">
        <v>45804</v>
      </c>
      <c r="B224" s="41">
        <v>2695.07</v>
      </c>
      <c r="C224" s="41">
        <v>52550</v>
      </c>
      <c r="D224" s="41">
        <v>8247</v>
      </c>
      <c r="E224" s="41">
        <v>2215</v>
      </c>
      <c r="F224" s="5">
        <f t="shared" si="12"/>
        <v>3.7504655493483252E-3</v>
      </c>
      <c r="G224" s="5">
        <f t="shared" si="13"/>
        <v>9.5238095238103782E-4</v>
      </c>
      <c r="H224" s="5">
        <f t="shared" si="14"/>
        <v>-4.9469111969111523E-3</v>
      </c>
      <c r="I224" s="5">
        <f t="shared" si="15"/>
        <v>0</v>
      </c>
    </row>
    <row r="225" spans="1:9" x14ac:dyDescent="0.2">
      <c r="A225" s="42">
        <v>45803</v>
      </c>
      <c r="B225" s="41">
        <v>2685</v>
      </c>
      <c r="C225" s="41">
        <v>52500</v>
      </c>
      <c r="D225" s="41">
        <v>8288</v>
      </c>
      <c r="E225" s="41">
        <v>2215</v>
      </c>
      <c r="F225" s="5">
        <f t="shared" si="12"/>
        <v>1.8581042632453526E-2</v>
      </c>
      <c r="G225" s="5">
        <f t="shared" si="13"/>
        <v>2.2793687901811799E-2</v>
      </c>
      <c r="H225" s="5">
        <f t="shared" si="14"/>
        <v>2.5615641628511376E-2</v>
      </c>
      <c r="I225" s="5">
        <f t="shared" si="15"/>
        <v>1.5123739688359228E-2</v>
      </c>
    </row>
    <row r="226" spans="1:9" x14ac:dyDescent="0.2">
      <c r="A226" s="42">
        <v>45802</v>
      </c>
      <c r="B226" s="41">
        <v>2636.02</v>
      </c>
      <c r="C226" s="41">
        <v>51330</v>
      </c>
      <c r="D226" s="41">
        <v>8081</v>
      </c>
      <c r="E226" s="41">
        <v>2182</v>
      </c>
      <c r="F226" s="5">
        <f t="shared" si="12"/>
        <v>3.9456746113357699E-3</v>
      </c>
      <c r="G226" s="5">
        <f t="shared" si="13"/>
        <v>8.0518460329930264E-3</v>
      </c>
      <c r="H226" s="5">
        <f t="shared" si="14"/>
        <v>1.5201005025125669E-2</v>
      </c>
      <c r="I226" s="5">
        <f t="shared" si="15"/>
        <v>-1.9325842696629181E-2</v>
      </c>
    </row>
    <row r="227" spans="1:9" x14ac:dyDescent="0.2">
      <c r="A227" s="42">
        <v>45799</v>
      </c>
      <c r="B227" s="41">
        <v>2625.66</v>
      </c>
      <c r="C227" s="41">
        <v>50920</v>
      </c>
      <c r="D227" s="41">
        <v>7960</v>
      </c>
      <c r="E227" s="41">
        <v>2225</v>
      </c>
      <c r="F227" s="5">
        <f t="shared" si="12"/>
        <v>-1.3310385257113699E-2</v>
      </c>
      <c r="G227" s="5">
        <f t="shared" si="13"/>
        <v>0</v>
      </c>
      <c r="H227" s="5">
        <f t="shared" si="14"/>
        <v>-2.2113022113022129E-2</v>
      </c>
      <c r="I227" s="5">
        <f t="shared" si="15"/>
        <v>-9.3499554764024939E-3</v>
      </c>
    </row>
    <row r="228" spans="1:9" x14ac:dyDescent="0.2">
      <c r="A228" s="42">
        <v>45798</v>
      </c>
      <c r="B228" s="41">
        <v>2661.08</v>
      </c>
      <c r="C228" s="41">
        <v>50920</v>
      </c>
      <c r="D228" s="41">
        <v>8140</v>
      </c>
      <c r="E228" s="41">
        <v>2246</v>
      </c>
      <c r="F228" s="5">
        <f t="shared" si="12"/>
        <v>-8.6133671112434973E-3</v>
      </c>
      <c r="G228" s="5">
        <f t="shared" si="13"/>
        <v>-2.0957508171505435E-2</v>
      </c>
      <c r="H228" s="5">
        <f t="shared" si="14"/>
        <v>2.5188916876574208E-2</v>
      </c>
      <c r="I228" s="5">
        <f t="shared" si="15"/>
        <v>-2.6863084922010394E-2</v>
      </c>
    </row>
    <row r="229" spans="1:9" x14ac:dyDescent="0.2">
      <c r="A229" s="42">
        <v>45797</v>
      </c>
      <c r="B229" s="41">
        <v>2684.2</v>
      </c>
      <c r="C229" s="41">
        <v>52010</v>
      </c>
      <c r="D229" s="41">
        <v>7940</v>
      </c>
      <c r="E229" s="41">
        <v>2308</v>
      </c>
      <c r="F229" s="5">
        <f t="shared" si="12"/>
        <v>-3.9039306495665116E-3</v>
      </c>
      <c r="G229" s="5">
        <f t="shared" si="13"/>
        <v>-2.1080368906455815E-2</v>
      </c>
      <c r="H229" s="5">
        <f t="shared" si="14"/>
        <v>-3.5002430724355826E-2</v>
      </c>
      <c r="I229" s="5">
        <f t="shared" si="15"/>
        <v>3.4782608695651529E-3</v>
      </c>
    </row>
    <row r="230" spans="1:9" x14ac:dyDescent="0.2">
      <c r="A230" s="42">
        <v>45796</v>
      </c>
      <c r="B230" s="41">
        <v>2694.72</v>
      </c>
      <c r="C230" s="41">
        <v>53130</v>
      </c>
      <c r="D230" s="41">
        <v>8228</v>
      </c>
      <c r="E230" s="41">
        <v>2300</v>
      </c>
      <c r="F230" s="5">
        <f t="shared" si="12"/>
        <v>-4.1133100504463505E-3</v>
      </c>
      <c r="G230" s="5">
        <f t="shared" si="13"/>
        <v>-1.4102802004082426E-2</v>
      </c>
      <c r="H230" s="5">
        <f t="shared" si="14"/>
        <v>2.6831398976662868E-2</v>
      </c>
      <c r="I230" s="5">
        <f t="shared" si="15"/>
        <v>3.0527692978630228E-3</v>
      </c>
    </row>
    <row r="231" spans="1:9" x14ac:dyDescent="0.2">
      <c r="A231" s="42">
        <v>45795</v>
      </c>
      <c r="B231" s="41">
        <v>2705.85</v>
      </c>
      <c r="C231" s="41">
        <v>53890</v>
      </c>
      <c r="D231" s="41">
        <v>8013</v>
      </c>
      <c r="E231" s="41">
        <v>2293</v>
      </c>
      <c r="F231" s="5">
        <f t="shared" si="12"/>
        <v>1.0361823680967941E-2</v>
      </c>
      <c r="G231" s="5">
        <f t="shared" si="13"/>
        <v>3.4357005758157477E-2</v>
      </c>
      <c r="H231" s="5">
        <f t="shared" si="14"/>
        <v>1.4817629179331382E-2</v>
      </c>
      <c r="I231" s="5">
        <f t="shared" si="15"/>
        <v>1.3256738842244875E-2</v>
      </c>
    </row>
    <row r="232" spans="1:9" x14ac:dyDescent="0.2">
      <c r="A232" s="42">
        <v>45792</v>
      </c>
      <c r="B232" s="41">
        <v>2678.1</v>
      </c>
      <c r="C232" s="41">
        <v>52100</v>
      </c>
      <c r="D232" s="41">
        <v>7896</v>
      </c>
      <c r="E232" s="41">
        <v>2263</v>
      </c>
      <c r="F232" s="5">
        <f t="shared" si="12"/>
        <v>-2.0978265324753664E-3</v>
      </c>
      <c r="G232" s="5">
        <f t="shared" si="13"/>
        <v>-8.5632730732635443E-3</v>
      </c>
      <c r="H232" s="5">
        <f t="shared" si="14"/>
        <v>-1.2648621300278551E-3</v>
      </c>
      <c r="I232" s="5">
        <f t="shared" si="15"/>
        <v>8.4670231729055967E-3</v>
      </c>
    </row>
    <row r="233" spans="1:9" x14ac:dyDescent="0.2">
      <c r="A233" s="42">
        <v>45791</v>
      </c>
      <c r="B233" s="41">
        <v>2683.73</v>
      </c>
      <c r="C233" s="41">
        <v>52550</v>
      </c>
      <c r="D233" s="41">
        <v>7906</v>
      </c>
      <c r="E233" s="41">
        <v>2244</v>
      </c>
      <c r="F233" s="5">
        <f t="shared" si="12"/>
        <v>7.1226193826812167E-3</v>
      </c>
      <c r="G233" s="5">
        <f t="shared" si="13"/>
        <v>1.742497579864466E-2</v>
      </c>
      <c r="H233" s="5">
        <f t="shared" si="14"/>
        <v>3.1845471156356053E-2</v>
      </c>
      <c r="I233" s="5">
        <f t="shared" si="15"/>
        <v>-4.7942299533305088E-2</v>
      </c>
    </row>
    <row r="234" spans="1:9" x14ac:dyDescent="0.2">
      <c r="A234" s="42">
        <v>45790</v>
      </c>
      <c r="B234" s="41">
        <v>2664.75</v>
      </c>
      <c r="C234" s="41">
        <v>51650</v>
      </c>
      <c r="D234" s="41">
        <v>7662</v>
      </c>
      <c r="E234" s="41">
        <v>2357</v>
      </c>
      <c r="F234" s="5">
        <f t="shared" si="12"/>
        <v>1.6514594773142655E-4</v>
      </c>
      <c r="G234" s="5">
        <f t="shared" si="13"/>
        <v>5.6464174454828875E-3</v>
      </c>
      <c r="H234" s="5">
        <f t="shared" si="14"/>
        <v>-7.127121938577119E-3</v>
      </c>
      <c r="I234" s="5">
        <f t="shared" si="15"/>
        <v>0</v>
      </c>
    </row>
    <row r="235" spans="1:9" x14ac:dyDescent="0.2">
      <c r="A235" s="42">
        <v>45789</v>
      </c>
      <c r="B235" s="41">
        <v>2664.31</v>
      </c>
      <c r="C235" s="41">
        <v>51360</v>
      </c>
      <c r="D235" s="41">
        <v>7717</v>
      </c>
      <c r="E235" s="41">
        <v>2357</v>
      </c>
      <c r="F235" s="5">
        <f t="shared" si="12"/>
        <v>-1.9404455532704423E-3</v>
      </c>
      <c r="G235" s="5">
        <f t="shared" si="13"/>
        <v>-2.3310023310023631E-3</v>
      </c>
      <c r="H235" s="5">
        <f t="shared" si="14"/>
        <v>-1.9690040650406471E-2</v>
      </c>
      <c r="I235" s="5">
        <f t="shared" si="15"/>
        <v>0</v>
      </c>
    </row>
    <row r="236" spans="1:9" x14ac:dyDescent="0.2">
      <c r="A236" s="42">
        <v>45788</v>
      </c>
      <c r="B236" s="41">
        <v>2669.49</v>
      </c>
      <c r="C236" s="41">
        <v>51480</v>
      </c>
      <c r="D236" s="41">
        <v>7872</v>
      </c>
      <c r="E236" s="41">
        <v>2357</v>
      </c>
      <c r="F236" s="5">
        <f t="shared" si="12"/>
        <v>-1.8729818620499827E-5</v>
      </c>
      <c r="G236" s="5">
        <f t="shared" si="13"/>
        <v>1.4984227129337446E-2</v>
      </c>
      <c r="H236" s="5">
        <f t="shared" si="14"/>
        <v>-6.8130204390612903E-3</v>
      </c>
      <c r="I236" s="5">
        <f t="shared" si="15"/>
        <v>8.5579803166453416E-3</v>
      </c>
    </row>
    <row r="237" spans="1:9" x14ac:dyDescent="0.2">
      <c r="A237" s="42">
        <v>45785</v>
      </c>
      <c r="B237" s="41">
        <v>2669.54</v>
      </c>
      <c r="C237" s="41">
        <v>50720</v>
      </c>
      <c r="D237" s="41">
        <v>7926</v>
      </c>
      <c r="E237" s="41">
        <v>2337</v>
      </c>
      <c r="F237" s="5">
        <f t="shared" si="12"/>
        <v>1.0531017670305731E-2</v>
      </c>
      <c r="G237" s="5">
        <f t="shared" si="13"/>
        <v>1.4399999999999968E-2</v>
      </c>
      <c r="H237" s="5">
        <f t="shared" si="14"/>
        <v>1.9552354000514471E-2</v>
      </c>
      <c r="I237" s="5">
        <f t="shared" si="15"/>
        <v>1.5645371577575062E-2</v>
      </c>
    </row>
    <row r="238" spans="1:9" x14ac:dyDescent="0.2">
      <c r="A238" s="42">
        <v>45784</v>
      </c>
      <c r="B238" s="41">
        <v>2641.72</v>
      </c>
      <c r="C238" s="41">
        <v>50000</v>
      </c>
      <c r="D238" s="41">
        <v>7774</v>
      </c>
      <c r="E238" s="41">
        <v>2301</v>
      </c>
      <c r="F238" s="5">
        <f t="shared" si="12"/>
        <v>1.5612565404769407E-2</v>
      </c>
      <c r="G238" s="5">
        <f t="shared" si="13"/>
        <v>2.0616452337211655E-2</v>
      </c>
      <c r="H238" s="5">
        <f t="shared" si="14"/>
        <v>2.5864344154130414E-2</v>
      </c>
      <c r="I238" s="5">
        <f t="shared" si="15"/>
        <v>1.8592297476759612E-2</v>
      </c>
    </row>
    <row r="239" spans="1:9" x14ac:dyDescent="0.2">
      <c r="A239" s="42">
        <v>45783</v>
      </c>
      <c r="B239" s="41">
        <v>2601.11</v>
      </c>
      <c r="C239" s="41">
        <v>48990</v>
      </c>
      <c r="D239" s="41">
        <v>7578</v>
      </c>
      <c r="E239" s="41">
        <v>2259</v>
      </c>
      <c r="F239" s="5">
        <f t="shared" si="12"/>
        <v>5.3337249885017091E-3</v>
      </c>
      <c r="G239" s="5">
        <f t="shared" si="13"/>
        <v>1.5126398673849906E-2</v>
      </c>
      <c r="H239" s="5">
        <f t="shared" si="14"/>
        <v>-1.1479259066005776E-2</v>
      </c>
      <c r="I239" s="5">
        <f t="shared" si="15"/>
        <v>2.9157175398633273E-2</v>
      </c>
    </row>
    <row r="240" spans="1:9" x14ac:dyDescent="0.2">
      <c r="A240" s="42">
        <v>45782</v>
      </c>
      <c r="B240" s="41">
        <v>2587.31</v>
      </c>
      <c r="C240" s="41">
        <v>48260</v>
      </c>
      <c r="D240" s="41">
        <v>7666</v>
      </c>
      <c r="E240" s="41">
        <v>2195</v>
      </c>
      <c r="F240" s="5">
        <f t="shared" si="12"/>
        <v>1.0383798306726311E-2</v>
      </c>
      <c r="G240" s="5">
        <f t="shared" si="13"/>
        <v>4.3704474505723567E-3</v>
      </c>
      <c r="H240" s="5">
        <f t="shared" si="14"/>
        <v>4.22841604350781E-2</v>
      </c>
      <c r="I240" s="5">
        <f t="shared" si="15"/>
        <v>-4.3989547038327581E-2</v>
      </c>
    </row>
    <row r="241" spans="1:9" x14ac:dyDescent="0.2">
      <c r="A241" s="42">
        <v>45781</v>
      </c>
      <c r="B241" s="41">
        <v>2560.7199999999998</v>
      </c>
      <c r="C241" s="41">
        <v>48050</v>
      </c>
      <c r="D241" s="41">
        <v>7355</v>
      </c>
      <c r="E241" s="41">
        <v>2296</v>
      </c>
      <c r="F241" s="5">
        <f t="shared" si="12"/>
        <v>1.3725896582603703E-3</v>
      </c>
      <c r="G241" s="5">
        <f t="shared" si="13"/>
        <v>1.1578947368421133E-2</v>
      </c>
      <c r="H241" s="5">
        <f t="shared" si="14"/>
        <v>-1.0865136493277694E-3</v>
      </c>
      <c r="I241" s="5">
        <f t="shared" si="15"/>
        <v>0</v>
      </c>
    </row>
    <row r="242" spans="1:9" x14ac:dyDescent="0.2">
      <c r="A242" s="42">
        <v>45776</v>
      </c>
      <c r="B242" s="41">
        <v>2557.21</v>
      </c>
      <c r="C242" s="41">
        <v>47500</v>
      </c>
      <c r="D242" s="41">
        <v>7363</v>
      </c>
      <c r="E242" s="41">
        <v>2296</v>
      </c>
      <c r="F242" s="5">
        <f t="shared" si="12"/>
        <v>3.279910547894227E-3</v>
      </c>
      <c r="G242" s="5">
        <f t="shared" si="13"/>
        <v>2.1057064645191303E-4</v>
      </c>
      <c r="H242" s="5">
        <f t="shared" si="14"/>
        <v>-2.3035230352304037E-3</v>
      </c>
      <c r="I242" s="5">
        <f t="shared" si="15"/>
        <v>2.6200873362445254E-3</v>
      </c>
    </row>
    <row r="243" spans="1:9" x14ac:dyDescent="0.2">
      <c r="A243" s="42">
        <v>45775</v>
      </c>
      <c r="B243" s="41">
        <v>2548.85</v>
      </c>
      <c r="C243" s="41">
        <v>47490</v>
      </c>
      <c r="D243" s="41">
        <v>7380</v>
      </c>
      <c r="E243" s="41">
        <v>2290</v>
      </c>
      <c r="F243" s="5">
        <f t="shared" si="12"/>
        <v>-3.3549305357331027E-3</v>
      </c>
      <c r="G243" s="5">
        <f t="shared" si="13"/>
        <v>1.8987341772152E-3</v>
      </c>
      <c r="H243" s="5">
        <f t="shared" si="14"/>
        <v>-2.3163467902051593E-2</v>
      </c>
      <c r="I243" s="5">
        <f t="shared" si="15"/>
        <v>-1.9691780821917804E-2</v>
      </c>
    </row>
    <row r="244" spans="1:9" x14ac:dyDescent="0.2">
      <c r="A244" s="42">
        <v>45774</v>
      </c>
      <c r="B244" s="41">
        <v>2557.4299999999998</v>
      </c>
      <c r="C244" s="41">
        <v>47400</v>
      </c>
      <c r="D244" s="41">
        <v>7555</v>
      </c>
      <c r="E244" s="41">
        <v>2336</v>
      </c>
      <c r="F244" s="5">
        <f t="shared" si="12"/>
        <v>1.6253603208420397E-3</v>
      </c>
      <c r="G244" s="5">
        <f t="shared" si="13"/>
        <v>-1.126408010012514E-2</v>
      </c>
      <c r="H244" s="5">
        <f t="shared" si="14"/>
        <v>-6.1825835306498211E-3</v>
      </c>
      <c r="I244" s="5">
        <f t="shared" si="15"/>
        <v>0</v>
      </c>
    </row>
    <row r="245" spans="1:9" x14ac:dyDescent="0.2">
      <c r="A245" s="42">
        <v>45771</v>
      </c>
      <c r="B245" s="41">
        <v>2553.2800000000002</v>
      </c>
      <c r="C245" s="41">
        <v>47940</v>
      </c>
      <c r="D245" s="41">
        <v>7602</v>
      </c>
      <c r="E245" s="41">
        <v>2336</v>
      </c>
      <c r="F245" s="5">
        <f t="shared" si="12"/>
        <v>3.9964580411089301E-4</v>
      </c>
      <c r="G245" s="5">
        <f t="shared" si="13"/>
        <v>-1.4796547472256449E-2</v>
      </c>
      <c r="H245" s="5">
        <f t="shared" si="14"/>
        <v>-2.3130300693908978E-2</v>
      </c>
      <c r="I245" s="5">
        <f t="shared" si="15"/>
        <v>2.4112231477422252E-2</v>
      </c>
    </row>
    <row r="246" spans="1:9" x14ac:dyDescent="0.2">
      <c r="A246" s="42">
        <v>45770</v>
      </c>
      <c r="B246" s="41">
        <v>2552.2600000000002</v>
      </c>
      <c r="C246" s="41">
        <v>48660</v>
      </c>
      <c r="D246" s="41">
        <v>7782</v>
      </c>
      <c r="E246" s="41">
        <v>2281</v>
      </c>
      <c r="F246" s="5">
        <f t="shared" si="12"/>
        <v>1.7108152375335361E-2</v>
      </c>
      <c r="G246" s="5">
        <f t="shared" si="13"/>
        <v>1.080182800166174E-2</v>
      </c>
      <c r="H246" s="5">
        <f t="shared" si="14"/>
        <v>-5.368098159509227E-3</v>
      </c>
      <c r="I246" s="5">
        <f t="shared" si="15"/>
        <v>0</v>
      </c>
    </row>
    <row r="247" spans="1:9" x14ac:dyDescent="0.2">
      <c r="A247" s="42">
        <v>45769</v>
      </c>
      <c r="B247" s="41">
        <v>2509.33</v>
      </c>
      <c r="C247" s="41">
        <v>48140</v>
      </c>
      <c r="D247" s="41">
        <v>7824</v>
      </c>
      <c r="E247" s="41">
        <v>2281</v>
      </c>
      <c r="F247" s="5">
        <f t="shared" si="12"/>
        <v>3.8444305762246334E-3</v>
      </c>
      <c r="G247" s="5">
        <f t="shared" si="13"/>
        <v>-1.332240213158431E-2</v>
      </c>
      <c r="H247" s="5">
        <f t="shared" si="14"/>
        <v>-1.3118062563067578E-2</v>
      </c>
      <c r="I247" s="5">
        <f t="shared" si="15"/>
        <v>0</v>
      </c>
    </row>
    <row r="248" spans="1:9" x14ac:dyDescent="0.2">
      <c r="A248" s="42">
        <v>45768</v>
      </c>
      <c r="B248" s="41">
        <v>2499.7199999999998</v>
      </c>
      <c r="C248" s="41">
        <v>48790</v>
      </c>
      <c r="D248" s="41">
        <v>7928</v>
      </c>
      <c r="E248" s="41">
        <v>2281</v>
      </c>
      <c r="F248" s="5">
        <f t="shared" si="12"/>
        <v>-1.5179749827637257E-2</v>
      </c>
      <c r="G248" s="5">
        <f t="shared" si="13"/>
        <v>1.4978156854587032E-2</v>
      </c>
      <c r="H248" s="5">
        <f t="shared" si="14"/>
        <v>-2.0992837737712988E-2</v>
      </c>
      <c r="I248" s="5">
        <f t="shared" si="15"/>
        <v>7.9540433053468806E-3</v>
      </c>
    </row>
    <row r="249" spans="1:9" x14ac:dyDescent="0.2">
      <c r="A249" s="42">
        <v>45767</v>
      </c>
      <c r="B249" s="41">
        <v>2538.25</v>
      </c>
      <c r="C249" s="41">
        <v>48070</v>
      </c>
      <c r="D249" s="41">
        <v>8098</v>
      </c>
      <c r="E249" s="41">
        <v>2263</v>
      </c>
      <c r="F249" s="5">
        <f t="shared" si="12"/>
        <v>1.0174825588502578E-3</v>
      </c>
      <c r="G249" s="5">
        <f t="shared" si="13"/>
        <v>-5.37968135733502E-3</v>
      </c>
      <c r="H249" s="5">
        <f t="shared" si="14"/>
        <v>1.5677912956227225E-2</v>
      </c>
      <c r="I249" s="5">
        <f t="shared" si="15"/>
        <v>0</v>
      </c>
    </row>
    <row r="250" spans="1:9" x14ac:dyDescent="0.2">
      <c r="A250" s="42">
        <v>45764</v>
      </c>
      <c r="B250" s="41">
        <v>2535.67</v>
      </c>
      <c r="C250" s="41">
        <v>48330</v>
      </c>
      <c r="D250" s="41">
        <v>7973</v>
      </c>
      <c r="E250" s="41">
        <v>2263</v>
      </c>
      <c r="F250" s="5">
        <f t="shared" si="12"/>
        <v>1.3410483053499789E-4</v>
      </c>
      <c r="G250" s="5">
        <f t="shared" si="13"/>
        <v>6.8749999999999645E-3</v>
      </c>
      <c r="H250" s="5">
        <f t="shared" si="14"/>
        <v>-8.7032201914708507E-3</v>
      </c>
      <c r="I250" s="5">
        <f t="shared" si="15"/>
        <v>0</v>
      </c>
    </row>
    <row r="251" spans="1:9" x14ac:dyDescent="0.2">
      <c r="A251" s="42">
        <v>45763</v>
      </c>
      <c r="B251" s="41">
        <v>2535.33</v>
      </c>
      <c r="C251" s="41">
        <v>48000</v>
      </c>
      <c r="D251" s="41">
        <v>8043</v>
      </c>
      <c r="E251" s="41">
        <v>2263</v>
      </c>
      <c r="F251" s="5">
        <f t="shared" si="12"/>
        <v>3.9121740679879391E-3</v>
      </c>
      <c r="G251" s="5">
        <f t="shared" si="13"/>
        <v>-7.6493694438701798E-3</v>
      </c>
      <c r="H251" s="5">
        <f t="shared" si="14"/>
        <v>1.055408970976246E-2</v>
      </c>
      <c r="I251" s="5">
        <f t="shared" si="15"/>
        <v>0</v>
      </c>
    </row>
    <row r="252" spans="1:9" x14ac:dyDescent="0.2">
      <c r="A252" s="42">
        <v>45762</v>
      </c>
      <c r="B252" s="41">
        <v>2525.4499999999998</v>
      </c>
      <c r="C252" s="41">
        <v>48370</v>
      </c>
      <c r="D252" s="41">
        <v>7959</v>
      </c>
      <c r="E252" s="41">
        <v>2263</v>
      </c>
      <c r="F252" s="5">
        <f t="shared" si="12"/>
        <v>5.582476915542145E-3</v>
      </c>
      <c r="G252" s="5">
        <f t="shared" si="13"/>
        <v>-6.5721914150749239E-3</v>
      </c>
      <c r="H252" s="5">
        <f t="shared" si="14"/>
        <v>6.0675009480470887E-3</v>
      </c>
      <c r="I252" s="5">
        <f t="shared" si="15"/>
        <v>0</v>
      </c>
    </row>
    <row r="253" spans="1:9" x14ac:dyDescent="0.2">
      <c r="A253" s="42">
        <v>45761</v>
      </c>
      <c r="B253" s="41">
        <v>2511.4299999999998</v>
      </c>
      <c r="C253" s="41">
        <v>48690</v>
      </c>
      <c r="D253" s="41">
        <v>7911</v>
      </c>
      <c r="E253" s="41">
        <v>2263</v>
      </c>
      <c r="F253" s="5">
        <f t="shared" si="12"/>
        <v>2.2935742448434215E-2</v>
      </c>
      <c r="G253" s="5">
        <f t="shared" si="13"/>
        <v>6.8238213399502978E-3</v>
      </c>
      <c r="H253" s="5">
        <f t="shared" si="14"/>
        <v>-1.8925056775170868E-3</v>
      </c>
      <c r="I253" s="5">
        <f t="shared" si="15"/>
        <v>1.2527964205816478E-2</v>
      </c>
    </row>
    <row r="254" spans="1:9" x14ac:dyDescent="0.2">
      <c r="A254" s="42">
        <v>45757</v>
      </c>
      <c r="B254" s="41">
        <v>2455.12</v>
      </c>
      <c r="C254" s="41">
        <v>48360</v>
      </c>
      <c r="D254" s="41">
        <v>7926</v>
      </c>
      <c r="E254" s="41">
        <v>2235</v>
      </c>
      <c r="F254" s="5">
        <f t="shared" si="12"/>
        <v>2.126880727457281E-2</v>
      </c>
      <c r="G254" s="5">
        <f t="shared" si="13"/>
        <v>1.2774869109947629E-2</v>
      </c>
      <c r="H254" s="5">
        <f t="shared" si="14"/>
        <v>3.499608252807529E-2</v>
      </c>
      <c r="I254" s="5">
        <f t="shared" si="15"/>
        <v>-4.4543429844098315E-3</v>
      </c>
    </row>
    <row r="255" spans="1:9" x14ac:dyDescent="0.2">
      <c r="A255" s="42">
        <v>45756</v>
      </c>
      <c r="B255" s="41">
        <v>2403.9899999999998</v>
      </c>
      <c r="C255" s="41">
        <v>47750</v>
      </c>
      <c r="D255" s="41">
        <v>7658</v>
      </c>
      <c r="E255" s="41">
        <v>2245</v>
      </c>
      <c r="F255" s="5">
        <f t="shared" si="12"/>
        <v>-1.6624192618105993E-2</v>
      </c>
      <c r="G255" s="5">
        <f t="shared" si="13"/>
        <v>-3.0062969733902101E-2</v>
      </c>
      <c r="H255" s="5">
        <f t="shared" si="14"/>
        <v>-3.4543620776601114E-2</v>
      </c>
      <c r="I255" s="5">
        <f t="shared" si="15"/>
        <v>0</v>
      </c>
    </row>
    <row r="256" spans="1:9" x14ac:dyDescent="0.2">
      <c r="A256" s="42">
        <v>45755</v>
      </c>
      <c r="B256" s="41">
        <v>2444.63</v>
      </c>
      <c r="C256" s="41">
        <v>49230</v>
      </c>
      <c r="D256" s="41">
        <v>7932</v>
      </c>
      <c r="E256" s="41">
        <v>2245</v>
      </c>
      <c r="F256" s="5">
        <f t="shared" si="12"/>
        <v>1.602613390300367E-2</v>
      </c>
      <c r="G256" s="5">
        <f t="shared" si="13"/>
        <v>-5.2535865831481177E-3</v>
      </c>
      <c r="H256" s="5">
        <f t="shared" si="14"/>
        <v>-3.8195707530010892E-2</v>
      </c>
      <c r="I256" s="5">
        <f t="shared" si="15"/>
        <v>2.4646280237334617E-2</v>
      </c>
    </row>
    <row r="257" spans="1:9" x14ac:dyDescent="0.2">
      <c r="A257" s="42">
        <v>45754</v>
      </c>
      <c r="B257" s="41">
        <v>2406.0700000000002</v>
      </c>
      <c r="C257" s="41">
        <v>49490</v>
      </c>
      <c r="D257" s="41">
        <v>8247</v>
      </c>
      <c r="E257" s="41">
        <v>2191</v>
      </c>
      <c r="F257" s="5">
        <f t="shared" si="12"/>
        <v>8.1073607293693506E-3</v>
      </c>
      <c r="G257" s="5">
        <f t="shared" si="13"/>
        <v>-8.0176388053717629E-3</v>
      </c>
      <c r="H257" s="5">
        <f t="shared" si="14"/>
        <v>0</v>
      </c>
      <c r="I257" s="5">
        <f t="shared" si="15"/>
        <v>-4.0718038528896661E-2</v>
      </c>
    </row>
    <row r="258" spans="1:9" x14ac:dyDescent="0.2">
      <c r="A258" s="42">
        <v>45753</v>
      </c>
      <c r="B258" s="41">
        <v>2386.7199999999998</v>
      </c>
      <c r="C258" s="41">
        <v>49890</v>
      </c>
      <c r="D258" s="41">
        <v>8247</v>
      </c>
      <c r="E258" s="41">
        <v>2284</v>
      </c>
      <c r="F258" s="5">
        <f t="shared" si="12"/>
        <v>-3.8128745471178838E-2</v>
      </c>
      <c r="G258" s="5">
        <f t="shared" si="13"/>
        <v>-1.5004935834155964E-2</v>
      </c>
      <c r="H258" s="5">
        <f t="shared" si="14"/>
        <v>-2.4023668639053253E-2</v>
      </c>
      <c r="I258" s="5">
        <f t="shared" si="15"/>
        <v>-3.5880118193330479E-2</v>
      </c>
    </row>
    <row r="259" spans="1:9" x14ac:dyDescent="0.2">
      <c r="A259" s="42">
        <v>45750</v>
      </c>
      <c r="B259" s="41">
        <v>2481.33</v>
      </c>
      <c r="C259" s="41">
        <v>50650</v>
      </c>
      <c r="D259" s="41">
        <v>8450</v>
      </c>
      <c r="E259" s="41">
        <v>2369</v>
      </c>
      <c r="F259" s="5">
        <f t="shared" ref="F259:F322" si="16">B259/B260-1</f>
        <v>-8.5308549235219022E-3</v>
      </c>
      <c r="G259" s="5">
        <f t="shared" ref="G259:G322" si="17">C259/C260-1</f>
        <v>1.0978043912175606E-2</v>
      </c>
      <c r="H259" s="5">
        <f t="shared" ref="H259:H322" si="18">D259/D260-1</f>
        <v>4.5792079207920722E-2</v>
      </c>
      <c r="I259" s="5">
        <f t="shared" ref="I259:I322" si="19">E259/E260-1</f>
        <v>0</v>
      </c>
    </row>
    <row r="260" spans="1:9" x14ac:dyDescent="0.2">
      <c r="A260" s="42">
        <v>45749</v>
      </c>
      <c r="B260" s="41">
        <v>2502.6799999999998</v>
      </c>
      <c r="C260" s="41">
        <v>50100</v>
      </c>
      <c r="D260" s="41">
        <v>8080</v>
      </c>
      <c r="E260" s="41">
        <v>2369</v>
      </c>
      <c r="F260" s="5">
        <f t="shared" si="16"/>
        <v>1.6341514920160449E-2</v>
      </c>
      <c r="G260" s="5">
        <f t="shared" si="17"/>
        <v>3.512396694214881E-2</v>
      </c>
      <c r="H260" s="5">
        <f t="shared" si="18"/>
        <v>1.8915510718789497E-2</v>
      </c>
      <c r="I260" s="5">
        <f t="shared" si="19"/>
        <v>0</v>
      </c>
    </row>
    <row r="261" spans="1:9" x14ac:dyDescent="0.2">
      <c r="A261" s="42">
        <v>45748</v>
      </c>
      <c r="B261" s="41">
        <v>2462.44</v>
      </c>
      <c r="C261" s="41">
        <v>48400</v>
      </c>
      <c r="D261" s="41">
        <v>7930</v>
      </c>
      <c r="E261" s="41">
        <v>2369</v>
      </c>
      <c r="F261" s="5">
        <f t="shared" si="16"/>
        <v>6.5318868896282467E-3</v>
      </c>
      <c r="G261" s="5">
        <f t="shared" si="17"/>
        <v>-2.0656889072501183E-4</v>
      </c>
      <c r="H261" s="5">
        <f t="shared" si="18"/>
        <v>1.7318794098781343E-2</v>
      </c>
      <c r="I261" s="5">
        <f t="shared" si="19"/>
        <v>0</v>
      </c>
    </row>
    <row r="262" spans="1:9" x14ac:dyDescent="0.2">
      <c r="A262" s="42">
        <v>45747</v>
      </c>
      <c r="B262" s="41">
        <v>2446.46</v>
      </c>
      <c r="C262" s="41">
        <v>48410</v>
      </c>
      <c r="D262" s="41">
        <v>7795</v>
      </c>
      <c r="E262" s="41">
        <v>2369</v>
      </c>
      <c r="F262" s="5">
        <f t="shared" si="16"/>
        <v>-5.0106150204574096E-3</v>
      </c>
      <c r="G262" s="5">
        <f t="shared" si="17"/>
        <v>-1.2040816326530646E-2</v>
      </c>
      <c r="H262" s="5">
        <f t="shared" si="18"/>
        <v>2.8364116094986791E-2</v>
      </c>
      <c r="I262" s="5">
        <f t="shared" si="19"/>
        <v>0</v>
      </c>
    </row>
    <row r="263" spans="1:9" x14ac:dyDescent="0.2">
      <c r="A263" s="42">
        <v>45746</v>
      </c>
      <c r="B263" s="41">
        <v>2458.7800000000002</v>
      </c>
      <c r="C263" s="41">
        <v>49000</v>
      </c>
      <c r="D263" s="41">
        <v>7580</v>
      </c>
      <c r="E263" s="41">
        <v>2369</v>
      </c>
      <c r="F263" s="5">
        <f t="shared" si="16"/>
        <v>-1.2605565081902026E-2</v>
      </c>
      <c r="G263" s="5">
        <f t="shared" si="17"/>
        <v>-6.2867572500506785E-3</v>
      </c>
      <c r="H263" s="5">
        <f t="shared" si="18"/>
        <v>8.6493679308050631E-3</v>
      </c>
      <c r="I263" s="5">
        <f t="shared" si="19"/>
        <v>0</v>
      </c>
    </row>
    <row r="264" spans="1:9" x14ac:dyDescent="0.2">
      <c r="A264" s="42">
        <v>45743</v>
      </c>
      <c r="B264" s="41">
        <v>2490.17</v>
      </c>
      <c r="C264" s="41">
        <v>49310</v>
      </c>
      <c r="D264" s="41">
        <v>7515</v>
      </c>
      <c r="E264" s="41">
        <v>2369</v>
      </c>
      <c r="F264" s="5">
        <f t="shared" si="16"/>
        <v>1.0858887238067494E-2</v>
      </c>
      <c r="G264" s="5">
        <f t="shared" si="17"/>
        <v>0.1031319910514541</v>
      </c>
      <c r="H264" s="5">
        <f t="shared" si="18"/>
        <v>-1.764705882352946E-2</v>
      </c>
      <c r="I264" s="5">
        <f t="shared" si="19"/>
        <v>8.0851063829787684E-3</v>
      </c>
    </row>
    <row r="265" spans="1:9" x14ac:dyDescent="0.2">
      <c r="A265" s="42">
        <v>45742</v>
      </c>
      <c r="B265" s="41">
        <v>2463.42</v>
      </c>
      <c r="C265" s="41">
        <v>44700</v>
      </c>
      <c r="D265" s="41">
        <v>7650</v>
      </c>
      <c r="E265" s="41">
        <v>2350</v>
      </c>
      <c r="F265" s="5">
        <f t="shared" si="16"/>
        <v>-1.2847227787840421E-2</v>
      </c>
      <c r="G265" s="5">
        <f t="shared" si="17"/>
        <v>-2.0595968448729129E-2</v>
      </c>
      <c r="H265" s="5">
        <f t="shared" si="18"/>
        <v>2.3584905660376521E-3</v>
      </c>
      <c r="I265" s="5">
        <f t="shared" si="19"/>
        <v>0</v>
      </c>
    </row>
    <row r="266" spans="1:9" x14ac:dyDescent="0.2">
      <c r="A266" s="42">
        <v>45741</v>
      </c>
      <c r="B266" s="41">
        <v>2495.48</v>
      </c>
      <c r="C266" s="41">
        <v>45640</v>
      </c>
      <c r="D266" s="41">
        <v>7632</v>
      </c>
      <c r="E266" s="41">
        <v>2350</v>
      </c>
      <c r="F266" s="5">
        <f t="shared" si="16"/>
        <v>3.7527904591436734E-3</v>
      </c>
      <c r="G266" s="5">
        <f t="shared" si="17"/>
        <v>3.5180299032542273E-3</v>
      </c>
      <c r="H266" s="5">
        <f t="shared" si="18"/>
        <v>-1.2933264355923457E-2</v>
      </c>
      <c r="I266" s="5">
        <f t="shared" si="19"/>
        <v>0</v>
      </c>
    </row>
    <row r="267" spans="1:9" x14ac:dyDescent="0.2">
      <c r="A267" s="42">
        <v>45740</v>
      </c>
      <c r="B267" s="41">
        <v>2486.15</v>
      </c>
      <c r="C267" s="41">
        <v>45480</v>
      </c>
      <c r="D267" s="41">
        <v>7732</v>
      </c>
      <c r="E267" s="41">
        <v>2350</v>
      </c>
      <c r="F267" s="5">
        <f t="shared" si="16"/>
        <v>1.9289902013037707E-2</v>
      </c>
      <c r="G267" s="5">
        <f t="shared" si="17"/>
        <v>2.6636568848758424E-2</v>
      </c>
      <c r="H267" s="5">
        <f t="shared" si="18"/>
        <v>4.2862709442785807E-3</v>
      </c>
      <c r="I267" s="5">
        <f t="shared" si="19"/>
        <v>0</v>
      </c>
    </row>
    <row r="268" spans="1:9" x14ac:dyDescent="0.2">
      <c r="A268" s="42">
        <v>45739</v>
      </c>
      <c r="B268" s="41">
        <v>2439.1</v>
      </c>
      <c r="C268" s="41">
        <v>44300</v>
      </c>
      <c r="D268" s="41">
        <v>7699</v>
      </c>
      <c r="E268" s="41">
        <v>2350</v>
      </c>
      <c r="F268" s="5">
        <f t="shared" si="16"/>
        <v>-3.6450617649731121E-2</v>
      </c>
      <c r="G268" s="5">
        <f t="shared" si="17"/>
        <v>-3.2751091703056789E-2</v>
      </c>
      <c r="H268" s="5">
        <f t="shared" si="18"/>
        <v>-2.8639919253091062E-2</v>
      </c>
      <c r="I268" s="5">
        <f t="shared" si="19"/>
        <v>0</v>
      </c>
    </row>
    <row r="269" spans="1:9" x14ac:dyDescent="0.2">
      <c r="A269" s="42">
        <v>45736</v>
      </c>
      <c r="B269" s="41">
        <v>2531.37</v>
      </c>
      <c r="C269" s="41">
        <v>45800</v>
      </c>
      <c r="D269" s="41">
        <v>7926</v>
      </c>
      <c r="E269" s="41">
        <v>2350</v>
      </c>
      <c r="F269" s="5">
        <f t="shared" si="16"/>
        <v>-3.6173127184557785E-3</v>
      </c>
      <c r="G269" s="5">
        <f t="shared" si="17"/>
        <v>-2.5739204424590545E-2</v>
      </c>
      <c r="H269" s="5">
        <f t="shared" si="18"/>
        <v>4.3081601621894894E-3</v>
      </c>
      <c r="I269" s="5">
        <f t="shared" si="19"/>
        <v>0</v>
      </c>
    </row>
    <row r="270" spans="1:9" x14ac:dyDescent="0.2">
      <c r="A270" s="42">
        <v>45735</v>
      </c>
      <c r="B270" s="41">
        <v>2540.56</v>
      </c>
      <c r="C270" s="41">
        <v>47010</v>
      </c>
      <c r="D270" s="41">
        <v>7892</v>
      </c>
      <c r="E270" s="41">
        <v>2350</v>
      </c>
      <c r="F270" s="5">
        <f t="shared" si="16"/>
        <v>-9.3274270027452477E-3</v>
      </c>
      <c r="G270" s="5">
        <f t="shared" si="17"/>
        <v>-8.2278481012658666E-3</v>
      </c>
      <c r="H270" s="5">
        <f t="shared" si="18"/>
        <v>-3.3790401567091122E-2</v>
      </c>
      <c r="I270" s="5">
        <f t="shared" si="19"/>
        <v>-3.3319621554915635E-2</v>
      </c>
    </row>
    <row r="271" spans="1:9" x14ac:dyDescent="0.2">
      <c r="A271" s="42">
        <v>45734</v>
      </c>
      <c r="B271" s="41">
        <v>2564.48</v>
      </c>
      <c r="C271" s="41">
        <v>47400</v>
      </c>
      <c r="D271" s="41">
        <v>8168</v>
      </c>
      <c r="E271" s="41">
        <v>2431</v>
      </c>
      <c r="F271" s="5">
        <f t="shared" si="16"/>
        <v>-1.0468396093548105E-2</v>
      </c>
      <c r="G271" s="5">
        <f t="shared" si="17"/>
        <v>-2.8688524590163911E-2</v>
      </c>
      <c r="H271" s="5">
        <f t="shared" si="18"/>
        <v>-5.648608062839322E-2</v>
      </c>
      <c r="I271" s="5">
        <f t="shared" si="19"/>
        <v>0</v>
      </c>
    </row>
    <row r="272" spans="1:9" x14ac:dyDescent="0.2">
      <c r="A272" s="42">
        <v>45733</v>
      </c>
      <c r="B272" s="41">
        <v>2591.61</v>
      </c>
      <c r="C272" s="41">
        <v>48800</v>
      </c>
      <c r="D272" s="41">
        <v>8657</v>
      </c>
      <c r="E272" s="41">
        <v>2431</v>
      </c>
      <c r="F272" s="5">
        <f t="shared" si="16"/>
        <v>-2.4903005296218472E-3</v>
      </c>
      <c r="G272" s="5">
        <f t="shared" si="17"/>
        <v>-1.6327353356178187E-2</v>
      </c>
      <c r="H272" s="5">
        <f t="shared" si="18"/>
        <v>-3.7974683544304E-3</v>
      </c>
      <c r="I272" s="5">
        <f t="shared" si="19"/>
        <v>-2.4478330658105896E-2</v>
      </c>
    </row>
    <row r="273" spans="1:9" x14ac:dyDescent="0.2">
      <c r="A273" s="42">
        <v>45732</v>
      </c>
      <c r="B273" s="41">
        <v>2598.08</v>
      </c>
      <c r="C273" s="41">
        <v>49610</v>
      </c>
      <c r="D273" s="41">
        <v>8690</v>
      </c>
      <c r="E273" s="41">
        <v>2492</v>
      </c>
      <c r="F273" s="5">
        <f t="shared" si="16"/>
        <v>1.1484944989060164E-2</v>
      </c>
      <c r="G273" s="5">
        <f t="shared" si="17"/>
        <v>2.1622734761120199E-2</v>
      </c>
      <c r="H273" s="5">
        <f t="shared" si="18"/>
        <v>3.0109056424845848E-2</v>
      </c>
      <c r="I273" s="5">
        <f t="shared" si="19"/>
        <v>0</v>
      </c>
    </row>
    <row r="274" spans="1:9" x14ac:dyDescent="0.2">
      <c r="A274" s="42">
        <v>45729</v>
      </c>
      <c r="B274" s="41">
        <v>2568.58</v>
      </c>
      <c r="C274" s="41">
        <v>48560</v>
      </c>
      <c r="D274" s="41">
        <v>8436</v>
      </c>
      <c r="E274" s="41">
        <v>2492</v>
      </c>
      <c r="F274" s="5">
        <f t="shared" si="16"/>
        <v>5.4016392800944057E-3</v>
      </c>
      <c r="G274" s="5">
        <f t="shared" si="17"/>
        <v>-4.9180327868852958E-3</v>
      </c>
      <c r="H274" s="5">
        <f t="shared" si="18"/>
        <v>-1.8930430667297715E-3</v>
      </c>
      <c r="I274" s="5">
        <f t="shared" si="19"/>
        <v>0</v>
      </c>
    </row>
    <row r="275" spans="1:9" x14ac:dyDescent="0.2">
      <c r="A275" s="42">
        <v>45728</v>
      </c>
      <c r="B275" s="41">
        <v>2554.7800000000002</v>
      </c>
      <c r="C275" s="41">
        <v>48800</v>
      </c>
      <c r="D275" s="41">
        <v>8452</v>
      </c>
      <c r="E275" s="41">
        <v>2492</v>
      </c>
      <c r="F275" s="5">
        <f t="shared" si="16"/>
        <v>1.5114791357073276E-2</v>
      </c>
      <c r="G275" s="5">
        <f t="shared" si="17"/>
        <v>3.0623020063357931E-2</v>
      </c>
      <c r="H275" s="5">
        <f t="shared" si="18"/>
        <v>-1.4177693761814325E-3</v>
      </c>
      <c r="I275" s="5">
        <f t="shared" si="19"/>
        <v>0</v>
      </c>
    </row>
    <row r="276" spans="1:9" x14ac:dyDescent="0.2">
      <c r="A276" s="42">
        <v>45727</v>
      </c>
      <c r="B276" s="41">
        <v>2516.7399999999998</v>
      </c>
      <c r="C276" s="41">
        <v>47350</v>
      </c>
      <c r="D276" s="41">
        <v>8464</v>
      </c>
      <c r="E276" s="41">
        <v>2492</v>
      </c>
      <c r="F276" s="5">
        <f t="shared" si="16"/>
        <v>-4.1507895996804045E-3</v>
      </c>
      <c r="G276" s="5">
        <f t="shared" si="17"/>
        <v>1.7185821697099923E-2</v>
      </c>
      <c r="H276" s="5">
        <f t="shared" si="18"/>
        <v>3.433948429671263E-2</v>
      </c>
      <c r="I276" s="5">
        <f t="shared" si="19"/>
        <v>0</v>
      </c>
    </row>
    <row r="277" spans="1:9" x14ac:dyDescent="0.2">
      <c r="A277" s="42">
        <v>45726</v>
      </c>
      <c r="B277" s="41">
        <v>2527.23</v>
      </c>
      <c r="C277" s="41">
        <v>46550</v>
      </c>
      <c r="D277" s="41">
        <v>8183</v>
      </c>
      <c r="E277" s="41">
        <v>2492</v>
      </c>
      <c r="F277" s="5">
        <f t="shared" si="16"/>
        <v>-8.6495010355865931E-3</v>
      </c>
      <c r="G277" s="5">
        <f t="shared" si="17"/>
        <v>-2.4109014675052443E-2</v>
      </c>
      <c r="H277" s="5">
        <f t="shared" si="18"/>
        <v>-2.4323357577202831E-2</v>
      </c>
      <c r="I277" s="5">
        <f t="shared" si="19"/>
        <v>4.0290088638195165E-3</v>
      </c>
    </row>
    <row r="278" spans="1:9" x14ac:dyDescent="0.2">
      <c r="A278" s="42">
        <v>45725</v>
      </c>
      <c r="B278" s="41">
        <v>2549.2800000000002</v>
      </c>
      <c r="C278" s="41">
        <v>47700</v>
      </c>
      <c r="D278" s="41">
        <v>8387</v>
      </c>
      <c r="E278" s="41">
        <v>2482</v>
      </c>
      <c r="F278" s="5">
        <f t="shared" si="16"/>
        <v>1.1775631943038878E-2</v>
      </c>
      <c r="G278" s="5">
        <f t="shared" si="17"/>
        <v>1.9230769230769162E-2</v>
      </c>
      <c r="H278" s="5">
        <f t="shared" si="18"/>
        <v>7.9317389736810462E-3</v>
      </c>
      <c r="I278" s="5">
        <f t="shared" si="19"/>
        <v>1.2101653892697684E-3</v>
      </c>
    </row>
    <row r="279" spans="1:9" x14ac:dyDescent="0.2">
      <c r="A279" s="42">
        <v>45722</v>
      </c>
      <c r="B279" s="41">
        <v>2519.61</v>
      </c>
      <c r="C279" s="41">
        <v>46800</v>
      </c>
      <c r="D279" s="41">
        <v>8321</v>
      </c>
      <c r="E279" s="41">
        <v>2479</v>
      </c>
      <c r="F279" s="5">
        <f t="shared" si="16"/>
        <v>-6.2866044842342372E-3</v>
      </c>
      <c r="G279" s="5">
        <f t="shared" si="17"/>
        <v>-1.6806722689075682E-2</v>
      </c>
      <c r="H279" s="5">
        <f t="shared" si="18"/>
        <v>-8.8147706968433326E-3</v>
      </c>
      <c r="I279" s="5">
        <f t="shared" si="19"/>
        <v>0</v>
      </c>
    </row>
    <row r="280" spans="1:9" x14ac:dyDescent="0.2">
      <c r="A280" s="42">
        <v>45721</v>
      </c>
      <c r="B280" s="41">
        <v>2535.5500000000002</v>
      </c>
      <c r="C280" s="41">
        <v>47600</v>
      </c>
      <c r="D280" s="41">
        <v>8395</v>
      </c>
      <c r="E280" s="41">
        <v>2479</v>
      </c>
      <c r="F280" s="5">
        <f t="shared" si="16"/>
        <v>9.7206846292920979E-3</v>
      </c>
      <c r="G280" s="5">
        <f t="shared" si="17"/>
        <v>2.1897810218978186E-2</v>
      </c>
      <c r="H280" s="5">
        <f t="shared" si="18"/>
        <v>-8.3864871249704764E-3</v>
      </c>
      <c r="I280" s="5">
        <f t="shared" si="19"/>
        <v>0</v>
      </c>
    </row>
    <row r="281" spans="1:9" x14ac:dyDescent="0.2">
      <c r="A281" s="42">
        <v>45720</v>
      </c>
      <c r="B281" s="41">
        <v>2511.14</v>
      </c>
      <c r="C281" s="41">
        <v>46580</v>
      </c>
      <c r="D281" s="41">
        <v>8466</v>
      </c>
      <c r="E281" s="41">
        <v>2479</v>
      </c>
      <c r="F281" s="5">
        <f t="shared" si="16"/>
        <v>-2.0982783357245349E-2</v>
      </c>
      <c r="G281" s="5">
        <f t="shared" si="17"/>
        <v>-8.936170212765937E-3</v>
      </c>
      <c r="H281" s="5">
        <f t="shared" si="18"/>
        <v>-6.1047194177037412E-3</v>
      </c>
      <c r="I281" s="5">
        <f t="shared" si="19"/>
        <v>0</v>
      </c>
    </row>
    <row r="282" spans="1:9" x14ac:dyDescent="0.2">
      <c r="A282" s="42">
        <v>45719</v>
      </c>
      <c r="B282" s="41">
        <v>2564.96</v>
      </c>
      <c r="C282" s="41">
        <v>47000</v>
      </c>
      <c r="D282" s="41">
        <v>8518</v>
      </c>
      <c r="E282" s="41">
        <v>2479</v>
      </c>
      <c r="F282" s="5">
        <f t="shared" si="16"/>
        <v>1.2417604104993041E-2</v>
      </c>
      <c r="G282" s="5">
        <f t="shared" si="17"/>
        <v>-1.89939469839282E-2</v>
      </c>
      <c r="H282" s="5">
        <f t="shared" si="18"/>
        <v>9.4007050528799319E-4</v>
      </c>
      <c r="I282" s="5">
        <f t="shared" si="19"/>
        <v>0</v>
      </c>
    </row>
    <row r="283" spans="1:9" x14ac:dyDescent="0.2">
      <c r="A283" s="42">
        <v>45718</v>
      </c>
      <c r="B283" s="41">
        <v>2533.5</v>
      </c>
      <c r="C283" s="41">
        <v>47910</v>
      </c>
      <c r="D283" s="41">
        <v>8510</v>
      </c>
      <c r="E283" s="41">
        <v>2479</v>
      </c>
      <c r="F283" s="5">
        <f t="shared" si="16"/>
        <v>-3.5476613753283592E-3</v>
      </c>
      <c r="G283" s="5">
        <f t="shared" si="17"/>
        <v>-5.8103340942103898E-3</v>
      </c>
      <c r="H283" s="5">
        <f t="shared" si="18"/>
        <v>0</v>
      </c>
      <c r="I283" s="5">
        <f t="shared" si="19"/>
        <v>-4.417670682730912E-3</v>
      </c>
    </row>
    <row r="284" spans="1:9" x14ac:dyDescent="0.2">
      <c r="A284" s="42">
        <v>45715</v>
      </c>
      <c r="B284" s="41">
        <v>2542.52</v>
      </c>
      <c r="C284" s="41">
        <v>48190</v>
      </c>
      <c r="D284" s="41">
        <v>8510</v>
      </c>
      <c r="E284" s="41">
        <v>2490</v>
      </c>
      <c r="F284" s="5">
        <f t="shared" si="16"/>
        <v>7.8662733529188955E-6</v>
      </c>
      <c r="G284" s="5">
        <f t="shared" si="17"/>
        <v>2.2878535773711572E-3</v>
      </c>
      <c r="H284" s="5">
        <f t="shared" si="18"/>
        <v>1.8673689250658265E-2</v>
      </c>
      <c r="I284" s="5">
        <f t="shared" si="19"/>
        <v>2.4154589371980784E-3</v>
      </c>
    </row>
    <row r="285" spans="1:9" x14ac:dyDescent="0.2">
      <c r="A285" s="42">
        <v>45714</v>
      </c>
      <c r="B285" s="41">
        <v>2542.5</v>
      </c>
      <c r="C285" s="41">
        <v>48080</v>
      </c>
      <c r="D285" s="41">
        <v>8354</v>
      </c>
      <c r="E285" s="41">
        <v>2484</v>
      </c>
      <c r="F285" s="5">
        <f t="shared" si="16"/>
        <v>4.1667489484389364E-3</v>
      </c>
      <c r="G285" s="5">
        <f t="shared" si="17"/>
        <v>1.4580295771713381E-3</v>
      </c>
      <c r="H285" s="5">
        <f t="shared" si="18"/>
        <v>8.386246555649457E-4</v>
      </c>
      <c r="I285" s="5">
        <f t="shared" si="19"/>
        <v>0</v>
      </c>
    </row>
    <row r="286" spans="1:9" x14ac:dyDescent="0.2">
      <c r="A286" s="42">
        <v>45713</v>
      </c>
      <c r="B286" s="41">
        <v>2531.9499999999998</v>
      </c>
      <c r="C286" s="41">
        <v>48010</v>
      </c>
      <c r="D286" s="41">
        <v>8347</v>
      </c>
      <c r="E286" s="41">
        <v>2484</v>
      </c>
      <c r="F286" s="5">
        <f t="shared" si="16"/>
        <v>-2.4702350466074829E-3</v>
      </c>
      <c r="G286" s="5">
        <f t="shared" si="17"/>
        <v>5.2345058626466212E-3</v>
      </c>
      <c r="H286" s="5">
        <f t="shared" si="18"/>
        <v>-3.4622731614135649E-3</v>
      </c>
      <c r="I286" s="5">
        <f t="shared" si="19"/>
        <v>2.8145695364238499E-2</v>
      </c>
    </row>
    <row r="287" spans="1:9" x14ac:dyDescent="0.2">
      <c r="A287" s="42">
        <v>45712</v>
      </c>
      <c r="B287" s="41">
        <v>2538.2199999999998</v>
      </c>
      <c r="C287" s="41">
        <v>47760</v>
      </c>
      <c r="D287" s="41">
        <v>8376</v>
      </c>
      <c r="E287" s="41">
        <v>2416</v>
      </c>
      <c r="F287" s="5">
        <f t="shared" si="16"/>
        <v>-6.4703004207848913E-3</v>
      </c>
      <c r="G287" s="5">
        <f t="shared" si="17"/>
        <v>-6.2774639045826142E-4</v>
      </c>
      <c r="H287" s="5">
        <f t="shared" si="18"/>
        <v>-7.1581961345745793E-4</v>
      </c>
      <c r="I287" s="5">
        <f t="shared" si="19"/>
        <v>-1.1051985264019626E-2</v>
      </c>
    </row>
    <row r="288" spans="1:9" x14ac:dyDescent="0.2">
      <c r="A288" s="42">
        <v>45711</v>
      </c>
      <c r="B288" s="41">
        <v>2554.75</v>
      </c>
      <c r="C288" s="41">
        <v>47790</v>
      </c>
      <c r="D288" s="41">
        <v>8382</v>
      </c>
      <c r="E288" s="41">
        <v>2443</v>
      </c>
      <c r="F288" s="5">
        <f t="shared" si="16"/>
        <v>-1.3000309071240945E-2</v>
      </c>
      <c r="G288" s="5">
        <f t="shared" si="17"/>
        <v>-1.6868957004731566E-2</v>
      </c>
      <c r="H288" s="5">
        <f t="shared" si="18"/>
        <v>-1.365027065191815E-2</v>
      </c>
      <c r="I288" s="5">
        <f t="shared" si="19"/>
        <v>0</v>
      </c>
    </row>
    <row r="289" spans="1:9" x14ac:dyDescent="0.2">
      <c r="A289" s="42">
        <v>45708</v>
      </c>
      <c r="B289" s="41">
        <v>2588.4</v>
      </c>
      <c r="C289" s="41">
        <v>48610</v>
      </c>
      <c r="D289" s="41">
        <v>8498</v>
      </c>
      <c r="E289" s="41">
        <v>2443</v>
      </c>
      <c r="F289" s="5">
        <f t="shared" si="16"/>
        <v>-5.4675462897146865E-3</v>
      </c>
      <c r="G289" s="5">
        <f t="shared" si="17"/>
        <v>-8.1615996735360241E-3</v>
      </c>
      <c r="H289" s="5">
        <f t="shared" si="18"/>
        <v>-1.0940409683426466E-2</v>
      </c>
      <c r="I289" s="5">
        <f t="shared" si="19"/>
        <v>0</v>
      </c>
    </row>
    <row r="290" spans="1:9" x14ac:dyDescent="0.2">
      <c r="A290" s="42">
        <v>45707</v>
      </c>
      <c r="B290" s="41">
        <v>2602.63</v>
      </c>
      <c r="C290" s="41">
        <v>49010</v>
      </c>
      <c r="D290" s="41">
        <v>8592</v>
      </c>
      <c r="E290" s="41">
        <v>2443</v>
      </c>
      <c r="F290" s="5">
        <f t="shared" si="16"/>
        <v>-2.7053021623257845E-3</v>
      </c>
      <c r="G290" s="5">
        <f t="shared" si="17"/>
        <v>1.2394133443503375E-2</v>
      </c>
      <c r="H290" s="5">
        <f t="shared" si="18"/>
        <v>-1.1637379262185998E-4</v>
      </c>
      <c r="I290" s="5">
        <f t="shared" si="19"/>
        <v>0</v>
      </c>
    </row>
    <row r="291" spans="1:9" x14ac:dyDescent="0.2">
      <c r="A291" s="42">
        <v>45706</v>
      </c>
      <c r="B291" s="41">
        <v>2609.69</v>
      </c>
      <c r="C291" s="41">
        <v>48410</v>
      </c>
      <c r="D291" s="41">
        <v>8593</v>
      </c>
      <c r="E291" s="41">
        <v>2443</v>
      </c>
      <c r="F291" s="5">
        <f t="shared" si="16"/>
        <v>1.4965716530349615E-2</v>
      </c>
      <c r="G291" s="5">
        <f t="shared" si="17"/>
        <v>8.9620675281367745E-3</v>
      </c>
      <c r="H291" s="5">
        <f t="shared" si="18"/>
        <v>1.7404688609993002E-2</v>
      </c>
      <c r="I291" s="5">
        <f t="shared" si="19"/>
        <v>0</v>
      </c>
    </row>
    <row r="292" spans="1:9" x14ac:dyDescent="0.2">
      <c r="A292" s="42">
        <v>45705</v>
      </c>
      <c r="B292" s="41">
        <v>2571.21</v>
      </c>
      <c r="C292" s="41">
        <v>47980</v>
      </c>
      <c r="D292" s="41">
        <v>8446</v>
      </c>
      <c r="E292" s="41">
        <v>2443</v>
      </c>
      <c r="F292" s="5">
        <f t="shared" si="16"/>
        <v>-4.1866445651078665E-3</v>
      </c>
      <c r="G292" s="5">
        <f t="shared" si="17"/>
        <v>-7.2418787502586124E-3</v>
      </c>
      <c r="H292" s="5">
        <f t="shared" si="18"/>
        <v>2.1357380161366457E-3</v>
      </c>
      <c r="I292" s="5">
        <f t="shared" si="19"/>
        <v>0</v>
      </c>
    </row>
    <row r="293" spans="1:9" x14ac:dyDescent="0.2">
      <c r="A293" s="42">
        <v>45704</v>
      </c>
      <c r="B293" s="41">
        <v>2582.02</v>
      </c>
      <c r="C293" s="41">
        <v>48330</v>
      </c>
      <c r="D293" s="41">
        <v>8428</v>
      </c>
      <c r="E293" s="41">
        <v>2443</v>
      </c>
      <c r="F293" s="5">
        <f t="shared" si="16"/>
        <v>3.0768035429860063E-3</v>
      </c>
      <c r="G293" s="5">
        <f t="shared" si="17"/>
        <v>1.0356255178127771E-3</v>
      </c>
      <c r="H293" s="5">
        <f t="shared" si="18"/>
        <v>1.9020446980504424E-3</v>
      </c>
      <c r="I293" s="5">
        <f t="shared" si="19"/>
        <v>8.6705202312138407E-3</v>
      </c>
    </row>
    <row r="294" spans="1:9" x14ac:dyDescent="0.2">
      <c r="A294" s="42">
        <v>45701</v>
      </c>
      <c r="B294" s="41">
        <v>2574.1</v>
      </c>
      <c r="C294" s="41">
        <v>48280</v>
      </c>
      <c r="D294" s="41">
        <v>8412</v>
      </c>
      <c r="E294" s="41">
        <v>2422</v>
      </c>
      <c r="F294" s="5">
        <f t="shared" si="16"/>
        <v>1.7310200371497331E-2</v>
      </c>
      <c r="G294" s="5">
        <f t="shared" si="17"/>
        <v>2.0934658490167068E-2</v>
      </c>
      <c r="H294" s="5">
        <f t="shared" si="18"/>
        <v>5.0179211469534302E-3</v>
      </c>
      <c r="I294" s="5">
        <f t="shared" si="19"/>
        <v>8.2644628099171058E-4</v>
      </c>
    </row>
    <row r="295" spans="1:9" x14ac:dyDescent="0.2">
      <c r="A295" s="42">
        <v>45700</v>
      </c>
      <c r="B295" s="41">
        <v>2530.3000000000002</v>
      </c>
      <c r="C295" s="41">
        <v>47290</v>
      </c>
      <c r="D295" s="41">
        <v>8370</v>
      </c>
      <c r="E295" s="41">
        <v>2420</v>
      </c>
      <c r="F295" s="5">
        <f t="shared" si="16"/>
        <v>-1.485331620237873E-2</v>
      </c>
      <c r="G295" s="5">
        <f t="shared" si="17"/>
        <v>-2.0708221163801999E-2</v>
      </c>
      <c r="H295" s="5">
        <f t="shared" si="18"/>
        <v>-1.0521338219647736E-2</v>
      </c>
      <c r="I295" s="5">
        <f t="shared" si="19"/>
        <v>0</v>
      </c>
    </row>
    <row r="296" spans="1:9" x14ac:dyDescent="0.2">
      <c r="A296" s="42">
        <v>45699</v>
      </c>
      <c r="B296" s="41">
        <v>2568.4499999999998</v>
      </c>
      <c r="C296" s="41">
        <v>48290</v>
      </c>
      <c r="D296" s="41">
        <v>8459</v>
      </c>
      <c r="E296" s="41">
        <v>2420</v>
      </c>
      <c r="F296" s="5">
        <f t="shared" si="16"/>
        <v>-7.6882956323527374E-3</v>
      </c>
      <c r="G296" s="5">
        <f t="shared" si="17"/>
        <v>-1.7097496438021609E-2</v>
      </c>
      <c r="H296" s="5">
        <f t="shared" si="18"/>
        <v>1.0650887573964152E-3</v>
      </c>
      <c r="I296" s="5">
        <f t="shared" si="19"/>
        <v>0</v>
      </c>
    </row>
    <row r="297" spans="1:9" x14ac:dyDescent="0.2">
      <c r="A297" s="42">
        <v>45698</v>
      </c>
      <c r="B297" s="41">
        <v>2588.35</v>
      </c>
      <c r="C297" s="41">
        <v>49130</v>
      </c>
      <c r="D297" s="41">
        <v>8450</v>
      </c>
      <c r="E297" s="41">
        <v>2420</v>
      </c>
      <c r="F297" s="5">
        <f t="shared" si="16"/>
        <v>9.4811313396045982E-3</v>
      </c>
      <c r="G297" s="5">
        <f t="shared" si="17"/>
        <v>1.007401315789469E-2</v>
      </c>
      <c r="H297" s="5">
        <f t="shared" si="18"/>
        <v>0</v>
      </c>
      <c r="I297" s="5">
        <f t="shared" si="19"/>
        <v>0</v>
      </c>
    </row>
    <row r="298" spans="1:9" x14ac:dyDescent="0.2">
      <c r="A298" s="42">
        <v>45697</v>
      </c>
      <c r="B298" s="41">
        <v>2564.04</v>
      </c>
      <c r="C298" s="41">
        <v>48640</v>
      </c>
      <c r="D298" s="41">
        <v>8450</v>
      </c>
      <c r="E298" s="41">
        <v>2420</v>
      </c>
      <c r="F298" s="5">
        <f t="shared" si="16"/>
        <v>-3.660441584481644E-3</v>
      </c>
      <c r="G298" s="5">
        <f t="shared" si="17"/>
        <v>-1.7373737373737375E-2</v>
      </c>
      <c r="H298" s="5">
        <f t="shared" si="18"/>
        <v>-1.9835285929706514E-2</v>
      </c>
      <c r="I298" s="5">
        <f t="shared" si="19"/>
        <v>0</v>
      </c>
    </row>
    <row r="299" spans="1:9" x14ac:dyDescent="0.2">
      <c r="A299" s="42">
        <v>45694</v>
      </c>
      <c r="B299" s="41">
        <v>2573.46</v>
      </c>
      <c r="C299" s="41">
        <v>49500</v>
      </c>
      <c r="D299" s="41">
        <v>8621</v>
      </c>
      <c r="E299" s="41">
        <v>2420</v>
      </c>
      <c r="F299" s="5">
        <f t="shared" si="16"/>
        <v>-1.8772059108715933E-3</v>
      </c>
      <c r="G299" s="5">
        <f t="shared" si="17"/>
        <v>-2.7122641509433998E-2</v>
      </c>
      <c r="H299" s="5">
        <f t="shared" si="18"/>
        <v>-1.6877637130801704E-2</v>
      </c>
      <c r="I299" s="5">
        <f t="shared" si="19"/>
        <v>0</v>
      </c>
    </row>
    <row r="300" spans="1:9" x14ac:dyDescent="0.2">
      <c r="A300" s="42">
        <v>45693</v>
      </c>
      <c r="B300" s="41">
        <v>2578.3000000000002</v>
      </c>
      <c r="C300" s="41">
        <v>50880</v>
      </c>
      <c r="D300" s="41">
        <v>8769</v>
      </c>
      <c r="E300" s="41">
        <v>2420</v>
      </c>
      <c r="F300" s="5">
        <f t="shared" si="16"/>
        <v>1.5886650013002601E-2</v>
      </c>
      <c r="G300" s="5">
        <f t="shared" si="17"/>
        <v>7.5247524752475314E-3</v>
      </c>
      <c r="H300" s="5">
        <f t="shared" si="18"/>
        <v>8.5106382978723527E-3</v>
      </c>
      <c r="I300" s="5">
        <f t="shared" si="19"/>
        <v>8.3333333333333037E-3</v>
      </c>
    </row>
    <row r="301" spans="1:9" x14ac:dyDescent="0.2">
      <c r="A301" s="42">
        <v>45692</v>
      </c>
      <c r="B301" s="41">
        <v>2537.98</v>
      </c>
      <c r="C301" s="41">
        <v>50500</v>
      </c>
      <c r="D301" s="41">
        <v>8695</v>
      </c>
      <c r="E301" s="41">
        <v>2400</v>
      </c>
      <c r="F301" s="5">
        <f t="shared" si="16"/>
        <v>1.4437258679542486E-2</v>
      </c>
      <c r="G301" s="5">
        <f t="shared" si="17"/>
        <v>2.746693794506605E-2</v>
      </c>
      <c r="H301" s="5">
        <f t="shared" si="18"/>
        <v>1.6959064327485285E-2</v>
      </c>
      <c r="I301" s="5">
        <f t="shared" si="19"/>
        <v>2.2582019599488801E-2</v>
      </c>
    </row>
    <row r="302" spans="1:9" x14ac:dyDescent="0.2">
      <c r="A302" s="42">
        <v>45691</v>
      </c>
      <c r="B302" s="41">
        <v>2501.86</v>
      </c>
      <c r="C302" s="41">
        <v>49150</v>
      </c>
      <c r="D302" s="41">
        <v>8550</v>
      </c>
      <c r="E302" s="41">
        <v>2347</v>
      </c>
      <c r="F302" s="5">
        <f t="shared" si="16"/>
        <v>-3.4018483110260789E-3</v>
      </c>
      <c r="G302" s="5">
        <f t="shared" si="17"/>
        <v>-3.8508309687880216E-3</v>
      </c>
      <c r="H302" s="5">
        <f t="shared" si="18"/>
        <v>-1.1332099907493065E-2</v>
      </c>
      <c r="I302" s="5">
        <f t="shared" si="19"/>
        <v>-2.2083333333333344E-2</v>
      </c>
    </row>
    <row r="303" spans="1:9" x14ac:dyDescent="0.2">
      <c r="A303" s="42">
        <v>45690</v>
      </c>
      <c r="B303" s="41">
        <v>2510.4</v>
      </c>
      <c r="C303" s="41">
        <v>49340</v>
      </c>
      <c r="D303" s="41">
        <v>8648</v>
      </c>
      <c r="E303" s="41">
        <v>2400</v>
      </c>
      <c r="F303" s="5">
        <f t="shared" si="16"/>
        <v>3.9190594257378919E-3</v>
      </c>
      <c r="G303" s="5">
        <f t="shared" si="17"/>
        <v>-1.4185814185814216E-2</v>
      </c>
      <c r="H303" s="5">
        <f t="shared" si="18"/>
        <v>5.5813953488372814E-3</v>
      </c>
      <c r="I303" s="5">
        <f t="shared" si="19"/>
        <v>-2.0408163265306145E-2</v>
      </c>
    </row>
    <row r="304" spans="1:9" x14ac:dyDescent="0.2">
      <c r="A304" s="42">
        <v>45687</v>
      </c>
      <c r="B304" s="41">
        <v>2500.6</v>
      </c>
      <c r="C304" s="41">
        <v>50050</v>
      </c>
      <c r="D304" s="41">
        <v>8600</v>
      </c>
      <c r="E304" s="41">
        <v>2450</v>
      </c>
      <c r="F304" s="5">
        <f t="shared" si="16"/>
        <v>-7.4857310693561274E-3</v>
      </c>
      <c r="G304" s="5">
        <f t="shared" si="17"/>
        <v>-1.9780650215432849E-2</v>
      </c>
      <c r="H304" s="5">
        <f t="shared" si="18"/>
        <v>2.6815902996386587E-3</v>
      </c>
      <c r="I304" s="5">
        <f t="shared" si="19"/>
        <v>-2.0000000000000018E-2</v>
      </c>
    </row>
    <row r="305" spans="1:9" x14ac:dyDescent="0.2">
      <c r="A305" s="42">
        <v>45686</v>
      </c>
      <c r="B305" s="41">
        <v>2519.46</v>
      </c>
      <c r="C305" s="41">
        <v>51060</v>
      </c>
      <c r="D305" s="41">
        <v>8577</v>
      </c>
      <c r="E305" s="41">
        <v>2500</v>
      </c>
      <c r="F305" s="5">
        <f t="shared" si="16"/>
        <v>5.2708229426434716E-3</v>
      </c>
      <c r="G305" s="5">
        <f t="shared" si="17"/>
        <v>2.3246492985971923E-2</v>
      </c>
      <c r="H305" s="5">
        <f t="shared" si="18"/>
        <v>1.5029585798816525E-2</v>
      </c>
      <c r="I305" s="5">
        <f t="shared" si="19"/>
        <v>0</v>
      </c>
    </row>
    <row r="306" spans="1:9" x14ac:dyDescent="0.2">
      <c r="A306" s="42">
        <v>45685</v>
      </c>
      <c r="B306" s="41">
        <v>2506.25</v>
      </c>
      <c r="C306" s="41">
        <v>49900</v>
      </c>
      <c r="D306" s="41">
        <v>8450</v>
      </c>
      <c r="E306" s="41">
        <v>2500</v>
      </c>
      <c r="F306" s="5">
        <f t="shared" si="16"/>
        <v>1.3024422790344214E-3</v>
      </c>
      <c r="G306" s="5">
        <f t="shared" si="17"/>
        <v>1.402154033732983E-2</v>
      </c>
      <c r="H306" s="5">
        <f t="shared" si="18"/>
        <v>-4.1249263406010206E-3</v>
      </c>
      <c r="I306" s="5">
        <f t="shared" si="19"/>
        <v>0</v>
      </c>
    </row>
    <row r="307" spans="1:9" x14ac:dyDescent="0.2">
      <c r="A307" s="42">
        <v>45684</v>
      </c>
      <c r="B307" s="41">
        <v>2502.9899999999998</v>
      </c>
      <c r="C307" s="41">
        <v>49210</v>
      </c>
      <c r="D307" s="41">
        <v>8485</v>
      </c>
      <c r="E307" s="41">
        <v>2500</v>
      </c>
      <c r="F307" s="5">
        <f t="shared" si="16"/>
        <v>-2.171542475230126E-2</v>
      </c>
      <c r="G307" s="5">
        <f t="shared" si="17"/>
        <v>-4.2492917847025691E-3</v>
      </c>
      <c r="H307" s="5">
        <f t="shared" si="18"/>
        <v>-1.5547047221255328E-2</v>
      </c>
      <c r="I307" s="5">
        <f t="shared" si="19"/>
        <v>0</v>
      </c>
    </row>
    <row r="308" spans="1:9" x14ac:dyDescent="0.2">
      <c r="A308" s="42">
        <v>45683</v>
      </c>
      <c r="B308" s="41">
        <v>2558.5500000000002</v>
      </c>
      <c r="C308" s="41">
        <v>49420</v>
      </c>
      <c r="D308" s="41">
        <v>8619</v>
      </c>
      <c r="E308" s="41">
        <v>2500</v>
      </c>
      <c r="F308" s="5">
        <f t="shared" si="16"/>
        <v>2.5411470346781151E-4</v>
      </c>
      <c r="G308" s="5">
        <f t="shared" si="17"/>
        <v>-4.045307443365509E-4</v>
      </c>
      <c r="H308" s="5">
        <f t="shared" si="18"/>
        <v>-1.9685039370078705E-3</v>
      </c>
      <c r="I308" s="5">
        <f t="shared" si="19"/>
        <v>4.4194455604660288E-3</v>
      </c>
    </row>
    <row r="309" spans="1:9" x14ac:dyDescent="0.2">
      <c r="A309" s="42">
        <v>45680</v>
      </c>
      <c r="B309" s="41">
        <v>2557.9</v>
      </c>
      <c r="C309" s="41">
        <v>49440</v>
      </c>
      <c r="D309" s="41">
        <v>8636</v>
      </c>
      <c r="E309" s="41">
        <v>2489</v>
      </c>
      <c r="F309" s="5">
        <f t="shared" si="16"/>
        <v>-6.5404662218320198E-3</v>
      </c>
      <c r="G309" s="5">
        <f t="shared" si="17"/>
        <v>-7.2289156626506035E-3</v>
      </c>
      <c r="H309" s="5">
        <f t="shared" si="18"/>
        <v>9.1142790371581128E-3</v>
      </c>
      <c r="I309" s="5">
        <f t="shared" si="19"/>
        <v>-2.659366445052791E-2</v>
      </c>
    </row>
    <row r="310" spans="1:9" x14ac:dyDescent="0.2">
      <c r="A310" s="42">
        <v>45679</v>
      </c>
      <c r="B310" s="41">
        <v>2574.7399999999998</v>
      </c>
      <c r="C310" s="41">
        <v>49800</v>
      </c>
      <c r="D310" s="41">
        <v>8558</v>
      </c>
      <c r="E310" s="41">
        <v>2557</v>
      </c>
      <c r="F310" s="5">
        <f t="shared" si="16"/>
        <v>-6.9845922440557873E-3</v>
      </c>
      <c r="G310" s="5">
        <f t="shared" si="17"/>
        <v>-9.9403578528827197E-3</v>
      </c>
      <c r="H310" s="5">
        <f t="shared" si="18"/>
        <v>-1.0978851265457057E-2</v>
      </c>
      <c r="I310" s="5">
        <f t="shared" si="19"/>
        <v>-1.1596443757247776E-2</v>
      </c>
    </row>
    <row r="311" spans="1:9" x14ac:dyDescent="0.2">
      <c r="A311" s="42">
        <v>45678</v>
      </c>
      <c r="B311" s="41">
        <v>2592.85</v>
      </c>
      <c r="C311" s="41">
        <v>50300</v>
      </c>
      <c r="D311" s="41">
        <v>8653</v>
      </c>
      <c r="E311" s="41">
        <v>2587</v>
      </c>
      <c r="F311" s="5">
        <f t="shared" si="16"/>
        <v>-3.9708853146647183E-4</v>
      </c>
      <c r="G311" s="5">
        <f t="shared" si="17"/>
        <v>-1.9302008188730735E-2</v>
      </c>
      <c r="H311" s="5">
        <f t="shared" si="18"/>
        <v>-3.9138943248532287E-3</v>
      </c>
      <c r="I311" s="5">
        <f t="shared" si="19"/>
        <v>0</v>
      </c>
    </row>
    <row r="312" spans="1:9" x14ac:dyDescent="0.2">
      <c r="A312" s="42">
        <v>45677</v>
      </c>
      <c r="B312" s="41">
        <v>2593.88</v>
      </c>
      <c r="C312" s="41">
        <v>51290</v>
      </c>
      <c r="D312" s="41">
        <v>8687</v>
      </c>
      <c r="E312" s="41">
        <v>2587</v>
      </c>
      <c r="F312" s="5">
        <f t="shared" si="16"/>
        <v>-5.9335290627338111E-4</v>
      </c>
      <c r="G312" s="5">
        <f t="shared" si="17"/>
        <v>9.6456692913384767E-3</v>
      </c>
      <c r="H312" s="5">
        <f t="shared" si="18"/>
        <v>-7.1999999999999842E-3</v>
      </c>
      <c r="I312" s="5">
        <f t="shared" si="19"/>
        <v>4.6601941747572706E-3</v>
      </c>
    </row>
    <row r="313" spans="1:9" x14ac:dyDescent="0.2">
      <c r="A313" s="42">
        <v>45676</v>
      </c>
      <c r="B313" s="41">
        <v>2595.42</v>
      </c>
      <c r="C313" s="41">
        <v>50800</v>
      </c>
      <c r="D313" s="41">
        <v>8750</v>
      </c>
      <c r="E313" s="41">
        <v>2575</v>
      </c>
      <c r="F313" s="5">
        <f t="shared" si="16"/>
        <v>1.1043719103881022E-2</v>
      </c>
      <c r="G313" s="5">
        <f t="shared" si="17"/>
        <v>1.9057171514543558E-2</v>
      </c>
      <c r="H313" s="5">
        <f t="shared" si="18"/>
        <v>2.5911595732207804E-2</v>
      </c>
      <c r="I313" s="5">
        <f t="shared" si="19"/>
        <v>5.859375E-3</v>
      </c>
    </row>
    <row r="314" spans="1:9" x14ac:dyDescent="0.2">
      <c r="A314" s="42">
        <v>45673</v>
      </c>
      <c r="B314" s="41">
        <v>2567.0700000000002</v>
      </c>
      <c r="C314" s="41">
        <v>49850</v>
      </c>
      <c r="D314" s="41">
        <v>8529</v>
      </c>
      <c r="E314" s="41">
        <v>2560</v>
      </c>
      <c r="F314" s="5">
        <f t="shared" si="16"/>
        <v>3.3182468400441145E-3</v>
      </c>
      <c r="G314" s="5">
        <f t="shared" si="17"/>
        <v>-2.4461839530332652E-2</v>
      </c>
      <c r="H314" s="5">
        <f t="shared" si="18"/>
        <v>5.185621685326991E-3</v>
      </c>
      <c r="I314" s="5">
        <f t="shared" si="19"/>
        <v>2.2772672792648718E-2</v>
      </c>
    </row>
    <row r="315" spans="1:9" x14ac:dyDescent="0.2">
      <c r="A315" s="42">
        <v>45672</v>
      </c>
      <c r="B315" s="41">
        <v>2558.58</v>
      </c>
      <c r="C315" s="41">
        <v>51100</v>
      </c>
      <c r="D315" s="41">
        <v>8485</v>
      </c>
      <c r="E315" s="41">
        <v>2503</v>
      </c>
      <c r="F315" s="5">
        <f t="shared" si="16"/>
        <v>1.263327871577502E-2</v>
      </c>
      <c r="G315" s="5">
        <f t="shared" si="17"/>
        <v>1.2683313515655881E-2</v>
      </c>
      <c r="H315" s="5">
        <f t="shared" si="18"/>
        <v>3.0984204131227155E-2</v>
      </c>
      <c r="I315" s="5">
        <f t="shared" si="19"/>
        <v>-5.1669316375199115E-3</v>
      </c>
    </row>
    <row r="316" spans="1:9" x14ac:dyDescent="0.2">
      <c r="A316" s="42">
        <v>45671</v>
      </c>
      <c r="B316" s="41">
        <v>2526.66</v>
      </c>
      <c r="C316" s="41">
        <v>50460</v>
      </c>
      <c r="D316" s="41">
        <v>8230</v>
      </c>
      <c r="E316" s="41">
        <v>2516</v>
      </c>
      <c r="F316" s="5">
        <f t="shared" si="16"/>
        <v>1.3123864743597391E-2</v>
      </c>
      <c r="G316" s="5">
        <f t="shared" si="17"/>
        <v>1.0817307692307709E-2</v>
      </c>
      <c r="H316" s="5">
        <f t="shared" si="18"/>
        <v>4.8840048840048667E-3</v>
      </c>
      <c r="I316" s="5">
        <f t="shared" si="19"/>
        <v>6.6101694915254194E-2</v>
      </c>
    </row>
    <row r="317" spans="1:9" x14ac:dyDescent="0.2">
      <c r="A317" s="42">
        <v>45670</v>
      </c>
      <c r="B317" s="41">
        <v>2493.9299999999998</v>
      </c>
      <c r="C317" s="41">
        <v>49920</v>
      </c>
      <c r="D317" s="41">
        <v>8190</v>
      </c>
      <c r="E317" s="41">
        <v>2360</v>
      </c>
      <c r="F317" s="5">
        <f t="shared" si="16"/>
        <v>5.8977877277865964E-4</v>
      </c>
      <c r="G317" s="5">
        <f t="shared" si="17"/>
        <v>8.4848484848485395E-3</v>
      </c>
      <c r="H317" s="5">
        <f t="shared" si="18"/>
        <v>9.7398594501294511E-3</v>
      </c>
      <c r="I317" s="5">
        <f t="shared" si="19"/>
        <v>0</v>
      </c>
    </row>
    <row r="318" spans="1:9" x14ac:dyDescent="0.2">
      <c r="A318" s="42">
        <v>45669</v>
      </c>
      <c r="B318" s="41">
        <v>2492.46</v>
      </c>
      <c r="C318" s="41">
        <v>49500</v>
      </c>
      <c r="D318" s="41">
        <v>8111</v>
      </c>
      <c r="E318" s="41">
        <v>2360</v>
      </c>
      <c r="F318" s="5">
        <f t="shared" si="16"/>
        <v>1.6476715587776525E-3</v>
      </c>
      <c r="G318" s="5">
        <f t="shared" si="17"/>
        <v>-7.0210631895687436E-3</v>
      </c>
      <c r="H318" s="5">
        <f t="shared" si="18"/>
        <v>-1.6001969473166122E-3</v>
      </c>
      <c r="I318" s="5">
        <f t="shared" si="19"/>
        <v>0</v>
      </c>
    </row>
    <row r="319" spans="1:9" x14ac:dyDescent="0.2">
      <c r="A319" s="42">
        <v>45666</v>
      </c>
      <c r="B319" s="41">
        <v>2488.36</v>
      </c>
      <c r="C319" s="41">
        <v>49850</v>
      </c>
      <c r="D319" s="41">
        <v>8124</v>
      </c>
      <c r="E319" s="41">
        <v>2360</v>
      </c>
      <c r="F319" s="5">
        <f t="shared" si="16"/>
        <v>3.1201876950117668E-3</v>
      </c>
      <c r="G319" s="5">
        <f t="shared" si="17"/>
        <v>4.2304593070103813E-3</v>
      </c>
      <c r="H319" s="5">
        <f t="shared" si="18"/>
        <v>-1.5153351921445068E-2</v>
      </c>
      <c r="I319" s="5">
        <f t="shared" si="19"/>
        <v>0</v>
      </c>
    </row>
    <row r="320" spans="1:9" x14ac:dyDescent="0.2">
      <c r="A320" s="42">
        <v>45665</v>
      </c>
      <c r="B320" s="41">
        <v>2480.62</v>
      </c>
      <c r="C320" s="41">
        <v>49640</v>
      </c>
      <c r="D320" s="41">
        <v>8249</v>
      </c>
      <c r="E320" s="41">
        <v>2360</v>
      </c>
      <c r="F320" s="5">
        <f t="shared" si="16"/>
        <v>-8.0416518376634771E-3</v>
      </c>
      <c r="G320" s="5">
        <f t="shared" si="17"/>
        <v>-1.3121272365805181E-2</v>
      </c>
      <c r="H320" s="5">
        <f t="shared" si="18"/>
        <v>-1.9959605560175842E-2</v>
      </c>
      <c r="I320" s="5">
        <f t="shared" si="19"/>
        <v>0</v>
      </c>
    </row>
    <row r="321" spans="1:9" x14ac:dyDescent="0.2">
      <c r="A321" s="42">
        <v>45664</v>
      </c>
      <c r="B321" s="41">
        <v>2500.73</v>
      </c>
      <c r="C321" s="41">
        <v>50300</v>
      </c>
      <c r="D321" s="41">
        <v>8417</v>
      </c>
      <c r="E321" s="41">
        <v>2360</v>
      </c>
      <c r="F321" s="5">
        <f t="shared" si="16"/>
        <v>-9.5962766446522352E-5</v>
      </c>
      <c r="G321" s="5">
        <f t="shared" si="17"/>
        <v>-1.6617790811339184E-2</v>
      </c>
      <c r="H321" s="5">
        <f t="shared" si="18"/>
        <v>-1.3709866416686145E-2</v>
      </c>
      <c r="I321" s="5">
        <f t="shared" si="19"/>
        <v>0</v>
      </c>
    </row>
    <row r="322" spans="1:9" x14ac:dyDescent="0.2">
      <c r="A322" s="42">
        <v>45663</v>
      </c>
      <c r="B322" s="41">
        <v>2500.9699999999998</v>
      </c>
      <c r="C322" s="41">
        <v>51150</v>
      </c>
      <c r="D322" s="41">
        <v>8534</v>
      </c>
      <c r="E322" s="41">
        <v>2360</v>
      </c>
      <c r="F322" s="5">
        <f t="shared" si="16"/>
        <v>9.2451353074582965E-3</v>
      </c>
      <c r="G322" s="5">
        <f t="shared" si="17"/>
        <v>1.2670758265689974E-2</v>
      </c>
      <c r="H322" s="5">
        <f t="shared" si="18"/>
        <v>-7.5590184905222069E-3</v>
      </c>
      <c r="I322" s="5">
        <f t="shared" si="19"/>
        <v>3.8281582305401685E-3</v>
      </c>
    </row>
    <row r="323" spans="1:9" x14ac:dyDescent="0.2">
      <c r="A323" s="42">
        <v>45662</v>
      </c>
      <c r="B323" s="41">
        <v>2478.06</v>
      </c>
      <c r="C323" s="41">
        <v>50510</v>
      </c>
      <c r="D323" s="41">
        <v>8599</v>
      </c>
      <c r="E323" s="41">
        <v>2351</v>
      </c>
      <c r="F323" s="5">
        <f t="shared" ref="F323:F386" si="20">B323/B324-1</f>
        <v>9.3478499945012228E-3</v>
      </c>
      <c r="G323" s="5">
        <f t="shared" ref="G323:G386" si="21">C323/C324-1</f>
        <v>-1.0577864838393736E-2</v>
      </c>
      <c r="H323" s="5">
        <f t="shared" ref="H323:H386" si="22">D323/D324-1</f>
        <v>2.6256116481680358E-2</v>
      </c>
      <c r="I323" s="5">
        <f t="shared" ref="I323:I386" si="23">E323/E324-1</f>
        <v>2.1729682746632006E-2</v>
      </c>
    </row>
    <row r="324" spans="1:9" x14ac:dyDescent="0.2">
      <c r="A324" s="42">
        <v>45659</v>
      </c>
      <c r="B324" s="41">
        <v>2455.11</v>
      </c>
      <c r="C324" s="41">
        <v>51050</v>
      </c>
      <c r="D324" s="41">
        <v>8379</v>
      </c>
      <c r="E324" s="41">
        <v>2301</v>
      </c>
      <c r="F324" s="5">
        <f t="shared" si="20"/>
        <v>6.5143775469209686E-3</v>
      </c>
      <c r="G324" s="5">
        <f t="shared" si="21"/>
        <v>-1.7513471901462685E-2</v>
      </c>
      <c r="H324" s="5">
        <f t="shared" si="22"/>
        <v>-2.0114606478774388E-2</v>
      </c>
      <c r="I324" s="5">
        <f t="shared" si="23"/>
        <v>-5.5806319244973368E-2</v>
      </c>
    </row>
    <row r="325" spans="1:9" x14ac:dyDescent="0.2">
      <c r="A325" s="42">
        <v>45658</v>
      </c>
      <c r="B325" s="41">
        <v>2439.2199999999998</v>
      </c>
      <c r="C325" s="41">
        <v>51960</v>
      </c>
      <c r="D325" s="41">
        <v>8551</v>
      </c>
      <c r="E325" s="41">
        <v>2437</v>
      </c>
      <c r="F325" s="5">
        <f t="shared" si="20"/>
        <v>5.0764349581768897E-3</v>
      </c>
      <c r="G325" s="5">
        <f t="shared" si="21"/>
        <v>-6.5009560229445373E-3</v>
      </c>
      <c r="H325" s="5">
        <f t="shared" si="22"/>
        <v>-1.8676316096649659E-3</v>
      </c>
      <c r="I325" s="5">
        <f t="shared" si="23"/>
        <v>0.10022573363431153</v>
      </c>
    </row>
    <row r="326" spans="1:9" x14ac:dyDescent="0.2">
      <c r="A326" s="42">
        <v>45657</v>
      </c>
      <c r="B326" s="41">
        <v>2426.9</v>
      </c>
      <c r="C326" s="41">
        <v>52300</v>
      </c>
      <c r="D326" s="41">
        <v>8567</v>
      </c>
      <c r="E326" s="41">
        <v>2215</v>
      </c>
      <c r="F326" s="5">
        <f t="shared" si="20"/>
        <v>1.2871130105256201E-2</v>
      </c>
      <c r="G326" s="5">
        <f t="shared" si="21"/>
        <v>-1.3207547169811318E-2</v>
      </c>
      <c r="H326" s="5">
        <f t="shared" si="22"/>
        <v>9.0694935217903172E-3</v>
      </c>
      <c r="I326" s="5">
        <f t="shared" si="23"/>
        <v>-1.3525698827773214E-3</v>
      </c>
    </row>
    <row r="327" spans="1:9" x14ac:dyDescent="0.2">
      <c r="A327" s="42">
        <v>45656</v>
      </c>
      <c r="B327" s="41">
        <v>2396.06</v>
      </c>
      <c r="C327" s="41">
        <v>53000</v>
      </c>
      <c r="D327" s="41">
        <v>8490</v>
      </c>
      <c r="E327" s="41">
        <v>2218</v>
      </c>
      <c r="F327" s="5">
        <f t="shared" si="20"/>
        <v>-1.7123787065083107E-3</v>
      </c>
      <c r="G327" s="5">
        <f t="shared" si="21"/>
        <v>6.647673314339908E-3</v>
      </c>
      <c r="H327" s="5">
        <f t="shared" si="22"/>
        <v>-3.5211267605633756E-3</v>
      </c>
      <c r="I327" s="5">
        <f t="shared" si="23"/>
        <v>-1.3783903957314325E-2</v>
      </c>
    </row>
    <row r="328" spans="1:9" x14ac:dyDescent="0.2">
      <c r="A328" s="42">
        <v>45655</v>
      </c>
      <c r="B328" s="41">
        <v>2400.17</v>
      </c>
      <c r="C328" s="41">
        <v>52650</v>
      </c>
      <c r="D328" s="41">
        <v>8520</v>
      </c>
      <c r="E328" s="41">
        <v>2249</v>
      </c>
      <c r="F328" s="5">
        <f t="shared" si="20"/>
        <v>-2.7381209592980404E-3</v>
      </c>
      <c r="G328" s="5">
        <f t="shared" si="21"/>
        <v>-1.0338345864661647E-2</v>
      </c>
      <c r="H328" s="5">
        <f t="shared" si="22"/>
        <v>-8.1490104772992122E-3</v>
      </c>
      <c r="I328" s="5">
        <f t="shared" si="23"/>
        <v>-1.5754923413566768E-2</v>
      </c>
    </row>
    <row r="329" spans="1:9" x14ac:dyDescent="0.2">
      <c r="A329" s="42">
        <v>45652</v>
      </c>
      <c r="B329" s="41">
        <v>2406.7600000000002</v>
      </c>
      <c r="C329" s="41">
        <v>53200</v>
      </c>
      <c r="D329" s="41">
        <v>8590</v>
      </c>
      <c r="E329" s="41">
        <v>2285</v>
      </c>
      <c r="F329" s="5">
        <f t="shared" si="20"/>
        <v>-6.8213049201704123E-3</v>
      </c>
      <c r="G329" s="5">
        <f t="shared" si="21"/>
        <v>-3.7453183520599342E-3</v>
      </c>
      <c r="H329" s="5">
        <f t="shared" si="22"/>
        <v>3.9322444041137272E-2</v>
      </c>
      <c r="I329" s="5">
        <f t="shared" si="23"/>
        <v>0</v>
      </c>
    </row>
    <row r="330" spans="1:9" x14ac:dyDescent="0.2">
      <c r="A330" s="42">
        <v>45651</v>
      </c>
      <c r="B330" s="41">
        <v>2423.29</v>
      </c>
      <c r="C330" s="41">
        <v>53400</v>
      </c>
      <c r="D330" s="41">
        <v>8265</v>
      </c>
      <c r="E330" s="41">
        <v>2285</v>
      </c>
      <c r="F330" s="5">
        <f t="shared" si="20"/>
        <v>-4.4042547072526972E-3</v>
      </c>
      <c r="G330" s="5">
        <f t="shared" si="21"/>
        <v>-2.323029083592465E-2</v>
      </c>
      <c r="H330" s="5">
        <f t="shared" si="22"/>
        <v>-2.4203069657615095E-2</v>
      </c>
      <c r="I330" s="5">
        <f t="shared" si="23"/>
        <v>5.7218309859154992E-3</v>
      </c>
    </row>
    <row r="331" spans="1:9" x14ac:dyDescent="0.2">
      <c r="A331" s="42">
        <v>45650</v>
      </c>
      <c r="B331" s="41">
        <v>2434.0100000000002</v>
      </c>
      <c r="C331" s="41">
        <v>54670</v>
      </c>
      <c r="D331" s="41">
        <v>8470</v>
      </c>
      <c r="E331" s="41">
        <v>2272</v>
      </c>
      <c r="F331" s="5">
        <f t="shared" si="20"/>
        <v>4.6641983563862066E-3</v>
      </c>
      <c r="G331" s="5">
        <f t="shared" si="21"/>
        <v>7.9277286135692737E-3</v>
      </c>
      <c r="H331" s="5">
        <f t="shared" si="22"/>
        <v>-1.6945218198700096E-2</v>
      </c>
      <c r="I331" s="5">
        <f t="shared" si="23"/>
        <v>7.0921985815601829E-3</v>
      </c>
    </row>
    <row r="332" spans="1:9" x14ac:dyDescent="0.2">
      <c r="A332" s="42">
        <v>45649</v>
      </c>
      <c r="B332" s="41">
        <v>2422.71</v>
      </c>
      <c r="C332" s="41">
        <v>54240</v>
      </c>
      <c r="D332" s="41">
        <v>8616</v>
      </c>
      <c r="E332" s="41">
        <v>2256</v>
      </c>
      <c r="F332" s="5">
        <f t="shared" si="20"/>
        <v>-8.4544449759982321E-4</v>
      </c>
      <c r="G332" s="5">
        <f t="shared" si="21"/>
        <v>1.8439977872031221E-4</v>
      </c>
      <c r="H332" s="5">
        <f t="shared" si="22"/>
        <v>-1.2153175877092415E-2</v>
      </c>
      <c r="I332" s="5">
        <f t="shared" si="23"/>
        <v>0</v>
      </c>
    </row>
    <row r="333" spans="1:9" x14ac:dyDescent="0.2">
      <c r="A333" s="42">
        <v>45648</v>
      </c>
      <c r="B333" s="41">
        <v>2424.7600000000002</v>
      </c>
      <c r="C333" s="41">
        <v>54230</v>
      </c>
      <c r="D333" s="41">
        <v>8722</v>
      </c>
      <c r="E333" s="41">
        <v>2256</v>
      </c>
      <c r="F333" s="5">
        <f t="shared" si="20"/>
        <v>1.045560431225967E-2</v>
      </c>
      <c r="G333" s="5">
        <f t="shared" si="21"/>
        <v>4.631344942571225E-3</v>
      </c>
      <c r="H333" s="5">
        <f t="shared" si="22"/>
        <v>-9.1638029782359354E-4</v>
      </c>
      <c r="I333" s="5">
        <f t="shared" si="23"/>
        <v>0</v>
      </c>
    </row>
    <row r="334" spans="1:9" x14ac:dyDescent="0.2">
      <c r="A334" s="42">
        <v>45645</v>
      </c>
      <c r="B334" s="41">
        <v>2399.67</v>
      </c>
      <c r="C334" s="41">
        <v>53980</v>
      </c>
      <c r="D334" s="41">
        <v>8730</v>
      </c>
      <c r="E334" s="41">
        <v>2256</v>
      </c>
      <c r="F334" s="5">
        <f t="shared" si="20"/>
        <v>-9.7675109559534068E-3</v>
      </c>
      <c r="G334" s="5">
        <f t="shared" si="21"/>
        <v>-1.9614965492190328E-2</v>
      </c>
      <c r="H334" s="5">
        <f t="shared" si="22"/>
        <v>-4.2203718489791653E-3</v>
      </c>
      <c r="I334" s="5">
        <f t="shared" si="23"/>
        <v>-4.4306601683652413E-4</v>
      </c>
    </row>
    <row r="335" spans="1:9" x14ac:dyDescent="0.2">
      <c r="A335" s="42">
        <v>45644</v>
      </c>
      <c r="B335" s="41">
        <v>2423.34</v>
      </c>
      <c r="C335" s="41">
        <v>55060</v>
      </c>
      <c r="D335" s="41">
        <v>8767</v>
      </c>
      <c r="E335" s="41">
        <v>2257</v>
      </c>
      <c r="F335" s="5">
        <f t="shared" si="20"/>
        <v>5.4434864867110022E-3</v>
      </c>
      <c r="G335" s="5">
        <f t="shared" si="21"/>
        <v>-1.6785714285714293E-2</v>
      </c>
      <c r="H335" s="5">
        <f t="shared" si="22"/>
        <v>-1.9353369763205341E-3</v>
      </c>
      <c r="I335" s="5">
        <f t="shared" si="23"/>
        <v>2.0805065581184889E-2</v>
      </c>
    </row>
    <row r="336" spans="1:9" x14ac:dyDescent="0.2">
      <c r="A336" s="42">
        <v>45643</v>
      </c>
      <c r="B336" s="41">
        <v>2410.2199999999998</v>
      </c>
      <c r="C336" s="41">
        <v>56000</v>
      </c>
      <c r="D336" s="41">
        <v>8784</v>
      </c>
      <c r="E336" s="41">
        <v>2211</v>
      </c>
      <c r="F336" s="5">
        <f t="shared" si="20"/>
        <v>8.2240144568634932E-3</v>
      </c>
      <c r="G336" s="5">
        <f t="shared" si="21"/>
        <v>1.4306151645206988E-3</v>
      </c>
      <c r="H336" s="5">
        <f t="shared" si="22"/>
        <v>1.678435004051404E-2</v>
      </c>
      <c r="I336" s="5">
        <f t="shared" si="23"/>
        <v>-2.2546419098143256E-2</v>
      </c>
    </row>
    <row r="337" spans="1:9" x14ac:dyDescent="0.2">
      <c r="A337" s="42">
        <v>45642</v>
      </c>
      <c r="B337" s="41">
        <v>2390.56</v>
      </c>
      <c r="C337" s="41">
        <v>55920</v>
      </c>
      <c r="D337" s="41">
        <v>8639</v>
      </c>
      <c r="E337" s="41">
        <v>2262</v>
      </c>
      <c r="F337" s="5">
        <f t="shared" si="20"/>
        <v>1.2966321463075525E-2</v>
      </c>
      <c r="G337" s="5">
        <f t="shared" si="21"/>
        <v>2.025177887246854E-2</v>
      </c>
      <c r="H337" s="5">
        <f t="shared" si="22"/>
        <v>2.820756962627935E-2</v>
      </c>
      <c r="I337" s="5">
        <f t="shared" si="23"/>
        <v>-4.5972163644032005E-2</v>
      </c>
    </row>
    <row r="338" spans="1:9" x14ac:dyDescent="0.2">
      <c r="A338" s="42">
        <v>45641</v>
      </c>
      <c r="B338" s="41">
        <v>2359.96</v>
      </c>
      <c r="C338" s="41">
        <v>54810</v>
      </c>
      <c r="D338" s="41">
        <v>8402</v>
      </c>
      <c r="E338" s="41">
        <v>2371</v>
      </c>
      <c r="F338" s="5">
        <f t="shared" si="20"/>
        <v>-9.123773454983608E-3</v>
      </c>
      <c r="G338" s="5">
        <f t="shared" si="21"/>
        <v>-1.0471204188481686E-2</v>
      </c>
      <c r="H338" s="5">
        <f t="shared" si="22"/>
        <v>-1.1064030131826774E-2</v>
      </c>
      <c r="I338" s="5">
        <f t="shared" si="23"/>
        <v>-3.2639738882088931E-2</v>
      </c>
    </row>
    <row r="339" spans="1:9" x14ac:dyDescent="0.2">
      <c r="A339" s="42">
        <v>45638</v>
      </c>
      <c r="B339" s="41">
        <v>2381.69</v>
      </c>
      <c r="C339" s="41">
        <v>55390</v>
      </c>
      <c r="D339" s="41">
        <v>8496</v>
      </c>
      <c r="E339" s="41">
        <v>2451</v>
      </c>
      <c r="F339" s="5">
        <f t="shared" si="20"/>
        <v>-2.5337767093568386E-3</v>
      </c>
      <c r="G339" s="5">
        <f t="shared" si="21"/>
        <v>1.1504747991234465E-2</v>
      </c>
      <c r="H339" s="5">
        <f t="shared" si="22"/>
        <v>-1.2093023255813962E-2</v>
      </c>
      <c r="I339" s="5">
        <f t="shared" si="23"/>
        <v>0</v>
      </c>
    </row>
    <row r="340" spans="1:9" x14ac:dyDescent="0.2">
      <c r="A340" s="42">
        <v>45637</v>
      </c>
      <c r="B340" s="41">
        <v>2387.7399999999998</v>
      </c>
      <c r="C340" s="41">
        <v>54760</v>
      </c>
      <c r="D340" s="41">
        <v>8600</v>
      </c>
      <c r="E340" s="41">
        <v>2451</v>
      </c>
      <c r="F340" s="5">
        <f t="shared" si="20"/>
        <v>-5.3942824771212594E-3</v>
      </c>
      <c r="G340" s="5">
        <f t="shared" si="21"/>
        <v>-3.8202655994178381E-3</v>
      </c>
      <c r="H340" s="5">
        <f t="shared" si="22"/>
        <v>-9.6729617687701941E-3</v>
      </c>
      <c r="I340" s="5">
        <f t="shared" si="23"/>
        <v>-1.4475271411338975E-2</v>
      </c>
    </row>
    <row r="341" spans="1:9" x14ac:dyDescent="0.2">
      <c r="A341" s="42">
        <v>45636</v>
      </c>
      <c r="B341" s="41">
        <v>2400.69</v>
      </c>
      <c r="C341" s="41">
        <v>54970</v>
      </c>
      <c r="D341" s="41">
        <v>8684</v>
      </c>
      <c r="E341" s="41">
        <v>2487</v>
      </c>
      <c r="F341" s="5">
        <f t="shared" si="20"/>
        <v>-3.151626887239134E-3</v>
      </c>
      <c r="G341" s="5">
        <f t="shared" si="21"/>
        <v>-2.5403737978588747E-3</v>
      </c>
      <c r="H341" s="5">
        <f t="shared" si="22"/>
        <v>-1.6095654173373664E-3</v>
      </c>
      <c r="I341" s="5">
        <f t="shared" si="23"/>
        <v>0</v>
      </c>
    </row>
    <row r="342" spans="1:9" x14ac:dyDescent="0.2">
      <c r="A342" s="42">
        <v>45635</v>
      </c>
      <c r="B342" s="41">
        <v>2408.2800000000002</v>
      </c>
      <c r="C342" s="41">
        <v>55110</v>
      </c>
      <c r="D342" s="41">
        <v>8698</v>
      </c>
      <c r="E342" s="41">
        <v>2487</v>
      </c>
      <c r="F342" s="5">
        <f t="shared" si="20"/>
        <v>8.5009087178284926E-3</v>
      </c>
      <c r="G342" s="5">
        <f t="shared" si="21"/>
        <v>2.7213420316868575E-2</v>
      </c>
      <c r="H342" s="5">
        <f t="shared" si="22"/>
        <v>2.934911242603544E-2</v>
      </c>
      <c r="I342" s="5">
        <f t="shared" si="23"/>
        <v>0</v>
      </c>
    </row>
    <row r="343" spans="1:9" x14ac:dyDescent="0.2">
      <c r="A343" s="42">
        <v>45634</v>
      </c>
      <c r="B343" s="41">
        <v>2387.98</v>
      </c>
      <c r="C343" s="41">
        <v>53650</v>
      </c>
      <c r="D343" s="41">
        <v>8450</v>
      </c>
      <c r="E343" s="41">
        <v>2487</v>
      </c>
      <c r="F343" s="5">
        <f t="shared" si="20"/>
        <v>1.0250661025912322E-2</v>
      </c>
      <c r="G343" s="5">
        <f t="shared" si="21"/>
        <v>-1.6498625114573784E-2</v>
      </c>
      <c r="H343" s="5">
        <f t="shared" si="22"/>
        <v>1.0040640688500968E-2</v>
      </c>
      <c r="I343" s="5">
        <f t="shared" si="23"/>
        <v>3.2271077047196783E-3</v>
      </c>
    </row>
    <row r="344" spans="1:9" x14ac:dyDescent="0.2">
      <c r="A344" s="42">
        <v>45631</v>
      </c>
      <c r="B344" s="41">
        <v>2363.75</v>
      </c>
      <c r="C344" s="41">
        <v>54550</v>
      </c>
      <c r="D344" s="41">
        <v>8366</v>
      </c>
      <c r="E344" s="41">
        <v>2479</v>
      </c>
      <c r="F344" s="5">
        <f t="shared" si="20"/>
        <v>-3.6369633893118536E-4</v>
      </c>
      <c r="G344" s="5">
        <f t="shared" si="21"/>
        <v>1.6775396085740857E-2</v>
      </c>
      <c r="H344" s="5">
        <f t="shared" si="22"/>
        <v>-1.541720607273156E-2</v>
      </c>
      <c r="I344" s="5">
        <f t="shared" si="23"/>
        <v>0</v>
      </c>
    </row>
    <row r="345" spans="1:9" x14ac:dyDescent="0.2">
      <c r="A345" s="42">
        <v>45630</v>
      </c>
      <c r="B345" s="41">
        <v>2364.61</v>
      </c>
      <c r="C345" s="41">
        <v>53650</v>
      </c>
      <c r="D345" s="41">
        <v>8497</v>
      </c>
      <c r="E345" s="41">
        <v>2479</v>
      </c>
      <c r="F345" s="5">
        <f t="shared" si="20"/>
        <v>2.854258910546692E-3</v>
      </c>
      <c r="G345" s="5">
        <f t="shared" si="21"/>
        <v>-1.3061074319352439E-2</v>
      </c>
      <c r="H345" s="5">
        <f t="shared" si="22"/>
        <v>-6.1988304093567592E-3</v>
      </c>
      <c r="I345" s="5">
        <f t="shared" si="23"/>
        <v>0</v>
      </c>
    </row>
    <row r="346" spans="1:9" x14ac:dyDescent="0.2">
      <c r="A346" s="42">
        <v>45629</v>
      </c>
      <c r="B346" s="41">
        <v>2357.88</v>
      </c>
      <c r="C346" s="41">
        <v>54360</v>
      </c>
      <c r="D346" s="41">
        <v>8550</v>
      </c>
      <c r="E346" s="41">
        <v>2479</v>
      </c>
      <c r="F346" s="5">
        <f t="shared" si="20"/>
        <v>1.0352570145518936E-2</v>
      </c>
      <c r="G346" s="5">
        <f t="shared" si="21"/>
        <v>3.5428571428571365E-2</v>
      </c>
      <c r="H346" s="5">
        <f t="shared" si="22"/>
        <v>2.7767760548142784E-2</v>
      </c>
      <c r="I346" s="5">
        <f t="shared" si="23"/>
        <v>3.4641068447412326E-2</v>
      </c>
    </row>
    <row r="347" spans="1:9" x14ac:dyDescent="0.2">
      <c r="A347" s="42">
        <v>45628</v>
      </c>
      <c r="B347" s="41">
        <v>2333.7199999999998</v>
      </c>
      <c r="C347" s="41">
        <v>52500</v>
      </c>
      <c r="D347" s="41">
        <v>8319</v>
      </c>
      <c r="E347" s="41">
        <v>2396</v>
      </c>
      <c r="F347" s="5">
        <f t="shared" si="20"/>
        <v>-2.1420431664542772E-4</v>
      </c>
      <c r="G347" s="5">
        <f t="shared" si="21"/>
        <v>1.0781671159029615E-2</v>
      </c>
      <c r="H347" s="5">
        <f t="shared" si="22"/>
        <v>-1.7595654227680724E-2</v>
      </c>
      <c r="I347" s="5">
        <f t="shared" si="23"/>
        <v>5.8303886925795023E-2</v>
      </c>
    </row>
    <row r="348" spans="1:9" x14ac:dyDescent="0.2">
      <c r="A348" s="42">
        <v>45627</v>
      </c>
      <c r="B348" s="41">
        <v>2334.2199999999998</v>
      </c>
      <c r="C348" s="41">
        <v>51940</v>
      </c>
      <c r="D348" s="41">
        <v>8468</v>
      </c>
      <c r="E348" s="41">
        <v>2264</v>
      </c>
      <c r="F348" s="5">
        <f t="shared" si="20"/>
        <v>1.7169102587566654E-2</v>
      </c>
      <c r="G348" s="5">
        <f t="shared" si="21"/>
        <v>-1.479514415781491E-2</v>
      </c>
      <c r="H348" s="5">
        <f t="shared" si="22"/>
        <v>-1.5806601580660162E-2</v>
      </c>
      <c r="I348" s="5">
        <f t="shared" si="23"/>
        <v>0</v>
      </c>
    </row>
    <row r="349" spans="1:9" x14ac:dyDescent="0.2">
      <c r="A349" s="42">
        <v>45624</v>
      </c>
      <c r="B349" s="41">
        <v>2294.8200000000002</v>
      </c>
      <c r="C349" s="41">
        <v>52720</v>
      </c>
      <c r="D349" s="41">
        <v>8604</v>
      </c>
      <c r="E349" s="41">
        <v>2264</v>
      </c>
      <c r="F349" s="5">
        <f t="shared" si="20"/>
        <v>-5.0725768690493833E-3</v>
      </c>
      <c r="G349" s="5">
        <f t="shared" si="21"/>
        <v>-5.2830188679244827E-3</v>
      </c>
      <c r="H349" s="5">
        <f t="shared" si="22"/>
        <v>-5.3179190751445615E-3</v>
      </c>
      <c r="I349" s="5">
        <f t="shared" si="23"/>
        <v>-4.8351648351648846E-3</v>
      </c>
    </row>
    <row r="350" spans="1:9" x14ac:dyDescent="0.2">
      <c r="A350" s="42">
        <v>45623</v>
      </c>
      <c r="B350" s="41">
        <v>2306.52</v>
      </c>
      <c r="C350" s="41">
        <v>53000</v>
      </c>
      <c r="D350" s="41">
        <v>8650</v>
      </c>
      <c r="E350" s="41">
        <v>2275</v>
      </c>
      <c r="F350" s="5">
        <f t="shared" si="20"/>
        <v>-9.5841706600712229E-3</v>
      </c>
      <c r="G350" s="5">
        <f t="shared" si="21"/>
        <v>1.2223071046600475E-2</v>
      </c>
      <c r="H350" s="5">
        <f t="shared" si="22"/>
        <v>3.3946928042074997E-2</v>
      </c>
      <c r="I350" s="5">
        <f t="shared" si="23"/>
        <v>4.4150110375276164E-3</v>
      </c>
    </row>
    <row r="351" spans="1:9" x14ac:dyDescent="0.2">
      <c r="A351" s="42">
        <v>45622</v>
      </c>
      <c r="B351" s="41">
        <v>2328.84</v>
      </c>
      <c r="C351" s="41">
        <v>52360</v>
      </c>
      <c r="D351" s="41">
        <v>8366</v>
      </c>
      <c r="E351" s="41">
        <v>2265</v>
      </c>
      <c r="F351" s="5">
        <f t="shared" si="20"/>
        <v>8.5531529736821987E-3</v>
      </c>
      <c r="G351" s="5">
        <f t="shared" si="21"/>
        <v>3.0708661417322869E-2</v>
      </c>
      <c r="H351" s="5">
        <f t="shared" si="22"/>
        <v>1.2832929782082392E-2</v>
      </c>
      <c r="I351" s="5">
        <f t="shared" si="23"/>
        <v>4.4169611307420809E-4</v>
      </c>
    </row>
    <row r="352" spans="1:9" x14ac:dyDescent="0.2">
      <c r="A352" s="42">
        <v>45621</v>
      </c>
      <c r="B352" s="41">
        <v>2309.09</v>
      </c>
      <c r="C352" s="41">
        <v>50800</v>
      </c>
      <c r="D352" s="41">
        <v>8260</v>
      </c>
      <c r="E352" s="41">
        <v>2264</v>
      </c>
      <c r="F352" s="5">
        <f t="shared" si="20"/>
        <v>1.7309444275737107E-3</v>
      </c>
      <c r="G352" s="5">
        <f t="shared" si="21"/>
        <v>1.1347800119450469E-2</v>
      </c>
      <c r="H352" s="5">
        <f t="shared" si="22"/>
        <v>1.9753086419753041E-2</v>
      </c>
      <c r="I352" s="5">
        <f t="shared" si="23"/>
        <v>8.9126559714796105E-3</v>
      </c>
    </row>
    <row r="353" spans="1:9" x14ac:dyDescent="0.2">
      <c r="A353" s="42">
        <v>45620</v>
      </c>
      <c r="B353" s="41">
        <v>2305.1</v>
      </c>
      <c r="C353" s="41">
        <v>50230</v>
      </c>
      <c r="D353" s="41">
        <v>8100</v>
      </c>
      <c r="E353" s="41">
        <v>2244</v>
      </c>
      <c r="F353" s="5">
        <f t="shared" si="20"/>
        <v>9.967796350253133E-3</v>
      </c>
      <c r="G353" s="5">
        <f t="shared" si="21"/>
        <v>5.9760956175303193E-4</v>
      </c>
      <c r="H353" s="5">
        <f t="shared" si="22"/>
        <v>-3.3222591362126463E-3</v>
      </c>
      <c r="I353" s="5">
        <f t="shared" si="23"/>
        <v>6.2780269058295701E-3</v>
      </c>
    </row>
    <row r="354" spans="1:9" x14ac:dyDescent="0.2">
      <c r="A354" s="42">
        <v>45617</v>
      </c>
      <c r="B354" s="41">
        <v>2282.35</v>
      </c>
      <c r="C354" s="41">
        <v>50200</v>
      </c>
      <c r="D354" s="41">
        <v>8127</v>
      </c>
      <c r="E354" s="41">
        <v>2230</v>
      </c>
      <c r="F354" s="5">
        <f t="shared" si="20"/>
        <v>6.5764956047087431E-4</v>
      </c>
      <c r="G354" s="5">
        <f t="shared" si="21"/>
        <v>-3.7705894026592857E-3</v>
      </c>
      <c r="H354" s="5">
        <f t="shared" si="22"/>
        <v>-4.0441176470588092E-3</v>
      </c>
      <c r="I354" s="5">
        <f t="shared" si="23"/>
        <v>0</v>
      </c>
    </row>
    <row r="355" spans="1:9" x14ac:dyDescent="0.2">
      <c r="A355" s="42">
        <v>45616</v>
      </c>
      <c r="B355" s="41">
        <v>2280.85</v>
      </c>
      <c r="C355" s="41">
        <v>50390</v>
      </c>
      <c r="D355" s="41">
        <v>8160</v>
      </c>
      <c r="E355" s="41">
        <v>2230</v>
      </c>
      <c r="F355" s="5">
        <f t="shared" si="20"/>
        <v>-1.6807531875222548E-3</v>
      </c>
      <c r="G355" s="5">
        <f t="shared" si="21"/>
        <v>1.3910969793322625E-3</v>
      </c>
      <c r="H355" s="5">
        <f t="shared" si="22"/>
        <v>3.1964593066142744E-3</v>
      </c>
      <c r="I355" s="5">
        <f t="shared" si="23"/>
        <v>1.0879419764279197E-2</v>
      </c>
    </row>
    <row r="356" spans="1:9" x14ac:dyDescent="0.2">
      <c r="A356" s="42">
        <v>45615</v>
      </c>
      <c r="B356" s="41">
        <v>2284.69</v>
      </c>
      <c r="C356" s="41">
        <v>50320</v>
      </c>
      <c r="D356" s="41">
        <v>8134</v>
      </c>
      <c r="E356" s="41">
        <v>2206</v>
      </c>
      <c r="F356" s="5">
        <f t="shared" si="20"/>
        <v>2.2636245190894577E-3</v>
      </c>
      <c r="G356" s="5">
        <f t="shared" si="21"/>
        <v>-2.4238898584448276E-2</v>
      </c>
      <c r="H356" s="5">
        <f t="shared" si="22"/>
        <v>7.9306071871128037E-3</v>
      </c>
      <c r="I356" s="5">
        <f t="shared" si="23"/>
        <v>0</v>
      </c>
    </row>
    <row r="357" spans="1:9" x14ac:dyDescent="0.2">
      <c r="A357" s="42">
        <v>45614</v>
      </c>
      <c r="B357" s="41">
        <v>2279.5300000000002</v>
      </c>
      <c r="C357" s="41">
        <v>51570</v>
      </c>
      <c r="D357" s="41">
        <v>8070</v>
      </c>
      <c r="E357" s="41">
        <v>2206</v>
      </c>
      <c r="F357" s="5">
        <f t="shared" si="20"/>
        <v>-3.0396067317447484E-3</v>
      </c>
      <c r="G357" s="5">
        <f t="shared" si="21"/>
        <v>2.9135901017760979E-2</v>
      </c>
      <c r="H357" s="5">
        <f t="shared" si="22"/>
        <v>1.6135037855280476E-3</v>
      </c>
      <c r="I357" s="5">
        <f t="shared" si="23"/>
        <v>-1.9555555555555548E-2</v>
      </c>
    </row>
    <row r="358" spans="1:9" x14ac:dyDescent="0.2">
      <c r="A358" s="42">
        <v>45613</v>
      </c>
      <c r="B358" s="41">
        <v>2286.48</v>
      </c>
      <c r="C358" s="41">
        <v>50110</v>
      </c>
      <c r="D358" s="41">
        <v>8057</v>
      </c>
      <c r="E358" s="41">
        <v>2250</v>
      </c>
      <c r="F358" s="5">
        <f t="shared" si="20"/>
        <v>2.4288232044682445E-3</v>
      </c>
      <c r="G358" s="5">
        <f t="shared" si="21"/>
        <v>-9.6837944664032172E-3</v>
      </c>
      <c r="H358" s="5">
        <f t="shared" si="22"/>
        <v>1.61611138736939E-3</v>
      </c>
      <c r="I358" s="5">
        <f t="shared" si="23"/>
        <v>-1.3590530469092532E-2</v>
      </c>
    </row>
    <row r="359" spans="1:9" x14ac:dyDescent="0.2">
      <c r="A359" s="42">
        <v>45610</v>
      </c>
      <c r="B359" s="41">
        <v>2280.94</v>
      </c>
      <c r="C359" s="41">
        <v>50600</v>
      </c>
      <c r="D359" s="41">
        <v>8044</v>
      </c>
      <c r="E359" s="41">
        <v>2281</v>
      </c>
      <c r="F359" s="5">
        <f t="shared" si="20"/>
        <v>-1.0519740238331798E-2</v>
      </c>
      <c r="G359" s="5">
        <f t="shared" si="21"/>
        <v>1.5248796147672605E-2</v>
      </c>
      <c r="H359" s="5">
        <f t="shared" si="22"/>
        <v>6.5065065065064154E-3</v>
      </c>
      <c r="I359" s="5">
        <f t="shared" si="23"/>
        <v>0</v>
      </c>
    </row>
    <row r="360" spans="1:9" x14ac:dyDescent="0.2">
      <c r="A360" s="42">
        <v>45609</v>
      </c>
      <c r="B360" s="41">
        <v>2305.19</v>
      </c>
      <c r="C360" s="41">
        <v>49840</v>
      </c>
      <c r="D360" s="41">
        <v>7992</v>
      </c>
      <c r="E360" s="41">
        <v>2281</v>
      </c>
      <c r="F360" s="5">
        <f t="shared" si="20"/>
        <v>4.0507167155221513E-3</v>
      </c>
      <c r="G360" s="5">
        <f t="shared" si="21"/>
        <v>9.3155123531794004E-3</v>
      </c>
      <c r="H360" s="5">
        <f t="shared" si="22"/>
        <v>1.2286257124762612E-2</v>
      </c>
      <c r="I360" s="5">
        <f t="shared" si="23"/>
        <v>0</v>
      </c>
    </row>
    <row r="361" spans="1:9" x14ac:dyDescent="0.2">
      <c r="A361" s="42">
        <v>45608</v>
      </c>
      <c r="B361" s="41">
        <v>2295.89</v>
      </c>
      <c r="C361" s="41">
        <v>49380</v>
      </c>
      <c r="D361" s="41">
        <v>7895</v>
      </c>
      <c r="E361" s="41">
        <v>2281</v>
      </c>
      <c r="F361" s="5">
        <f t="shared" si="20"/>
        <v>8.6370885191742186E-3</v>
      </c>
      <c r="G361" s="5">
        <f t="shared" si="21"/>
        <v>-4.4354838709677047E-3</v>
      </c>
      <c r="H361" s="5">
        <f t="shared" si="22"/>
        <v>4.8194370685076926E-2</v>
      </c>
      <c r="I361" s="5">
        <f t="shared" si="23"/>
        <v>-7.8294910830796205E-3</v>
      </c>
    </row>
    <row r="362" spans="1:9" x14ac:dyDescent="0.2">
      <c r="A362" s="42">
        <v>45607</v>
      </c>
      <c r="B362" s="41">
        <v>2276.23</v>
      </c>
      <c r="C362" s="41">
        <v>49600</v>
      </c>
      <c r="D362" s="41">
        <v>7532</v>
      </c>
      <c r="E362" s="41">
        <v>2299</v>
      </c>
      <c r="F362" s="5">
        <f t="shared" si="20"/>
        <v>-4.5046424057415546E-3</v>
      </c>
      <c r="G362" s="5">
        <f t="shared" si="21"/>
        <v>6.9021518473406651E-3</v>
      </c>
      <c r="H362" s="5">
        <f t="shared" si="22"/>
        <v>-3.5719010451117361E-3</v>
      </c>
      <c r="I362" s="5">
        <f t="shared" si="23"/>
        <v>-1.0757314974182419E-2</v>
      </c>
    </row>
    <row r="363" spans="1:9" x14ac:dyDescent="0.2">
      <c r="A363" s="42">
        <v>45606</v>
      </c>
      <c r="B363" s="41">
        <v>2286.5300000000002</v>
      </c>
      <c r="C363" s="41">
        <v>49260</v>
      </c>
      <c r="D363" s="41">
        <v>7559</v>
      </c>
      <c r="E363" s="41">
        <v>2324</v>
      </c>
      <c r="F363" s="5">
        <f t="shared" si="20"/>
        <v>2.4587078676859608E-2</v>
      </c>
      <c r="G363" s="5">
        <f t="shared" si="21"/>
        <v>3.4439311213775747E-2</v>
      </c>
      <c r="H363" s="5">
        <f t="shared" si="22"/>
        <v>6.5097928702268604E-2</v>
      </c>
      <c r="I363" s="5">
        <f t="shared" si="23"/>
        <v>3.8876889848811214E-3</v>
      </c>
    </row>
    <row r="364" spans="1:9" x14ac:dyDescent="0.2">
      <c r="A364" s="42">
        <v>45603</v>
      </c>
      <c r="B364" s="41">
        <v>2231.66</v>
      </c>
      <c r="C364" s="41">
        <v>47620</v>
      </c>
      <c r="D364" s="41">
        <v>7097</v>
      </c>
      <c r="E364" s="41">
        <v>2315</v>
      </c>
      <c r="F364" s="5">
        <f t="shared" si="20"/>
        <v>9.7331676751188922E-4</v>
      </c>
      <c r="G364" s="5">
        <f t="shared" si="21"/>
        <v>-2.6175869120654394E-2</v>
      </c>
      <c r="H364" s="5">
        <f t="shared" si="22"/>
        <v>-1.1008918617614216E-2</v>
      </c>
      <c r="I364" s="5">
        <f t="shared" si="23"/>
        <v>0</v>
      </c>
    </row>
    <row r="365" spans="1:9" x14ac:dyDescent="0.2">
      <c r="A365" s="42">
        <v>45602</v>
      </c>
      <c r="B365" s="41">
        <v>2229.4899999999998</v>
      </c>
      <c r="C365" s="41">
        <v>48900</v>
      </c>
      <c r="D365" s="41">
        <v>7176</v>
      </c>
      <c r="E365" s="41">
        <v>2315</v>
      </c>
      <c r="F365" s="5">
        <f t="shared" si="20"/>
        <v>3.1270528314450985E-3</v>
      </c>
      <c r="G365" s="5">
        <f t="shared" si="21"/>
        <v>3.9982985963419759E-2</v>
      </c>
      <c r="H365" s="5">
        <f t="shared" si="22"/>
        <v>4.1823504809701539E-4</v>
      </c>
      <c r="I365" s="5">
        <f t="shared" si="23"/>
        <v>0</v>
      </c>
    </row>
    <row r="366" spans="1:9" x14ac:dyDescent="0.2">
      <c r="A366" s="42">
        <v>45601</v>
      </c>
      <c r="B366" s="41">
        <v>2222.54</v>
      </c>
      <c r="C366" s="41">
        <v>47020</v>
      </c>
      <c r="D366" s="41">
        <v>7173</v>
      </c>
      <c r="E366" s="41">
        <v>2315</v>
      </c>
      <c r="F366" s="5">
        <f t="shared" si="20"/>
        <v>4.5605550407918916E-3</v>
      </c>
      <c r="G366" s="5">
        <f t="shared" si="21"/>
        <v>3.6286019210245435E-3</v>
      </c>
      <c r="H366" s="5">
        <f t="shared" si="22"/>
        <v>-2.5936990765888068E-2</v>
      </c>
      <c r="I366" s="5">
        <f t="shared" si="23"/>
        <v>-2.5850926324859635E-3</v>
      </c>
    </row>
    <row r="367" spans="1:9" x14ac:dyDescent="0.2">
      <c r="A367" s="42">
        <v>45600</v>
      </c>
      <c r="B367" s="41">
        <v>2212.4499999999998</v>
      </c>
      <c r="C367" s="41">
        <v>46850</v>
      </c>
      <c r="D367" s="41">
        <v>7364</v>
      </c>
      <c r="E367" s="41">
        <v>2321</v>
      </c>
      <c r="F367" s="5">
        <f t="shared" si="20"/>
        <v>-3.6597598113208285E-4</v>
      </c>
      <c r="G367" s="5">
        <f t="shared" si="21"/>
        <v>-1.0141559264736921E-2</v>
      </c>
      <c r="H367" s="5">
        <f t="shared" si="22"/>
        <v>-1.8656716417910446E-2</v>
      </c>
      <c r="I367" s="5">
        <f t="shared" si="23"/>
        <v>0</v>
      </c>
    </row>
    <row r="368" spans="1:9" x14ac:dyDescent="0.2">
      <c r="A368" s="42">
        <v>45599</v>
      </c>
      <c r="B368" s="41">
        <v>2213.2600000000002</v>
      </c>
      <c r="C368" s="41">
        <v>47330</v>
      </c>
      <c r="D368" s="41">
        <v>7504</v>
      </c>
      <c r="E368" s="41">
        <v>2321</v>
      </c>
      <c r="F368" s="5">
        <f t="shared" si="20"/>
        <v>-1.7166296236048595E-4</v>
      </c>
      <c r="G368" s="5">
        <f t="shared" si="21"/>
        <v>2.5418343571277369E-3</v>
      </c>
      <c r="H368" s="5">
        <f t="shared" si="22"/>
        <v>-9.6344199551273713E-3</v>
      </c>
      <c r="I368" s="5">
        <f t="shared" si="23"/>
        <v>1.2942191544433879E-3</v>
      </c>
    </row>
    <row r="369" spans="1:9" x14ac:dyDescent="0.2">
      <c r="A369" s="42">
        <v>45596</v>
      </c>
      <c r="B369" s="41">
        <v>2213.64</v>
      </c>
      <c r="C369" s="41">
        <v>47210</v>
      </c>
      <c r="D369" s="41">
        <v>7577</v>
      </c>
      <c r="E369" s="41">
        <v>2318</v>
      </c>
      <c r="F369" s="5">
        <f t="shared" si="20"/>
        <v>-4.7522491131682942E-3</v>
      </c>
      <c r="G369" s="5">
        <f t="shared" si="21"/>
        <v>-7.9848707711703826E-3</v>
      </c>
      <c r="H369" s="5">
        <f t="shared" si="22"/>
        <v>7.177987504984662E-3</v>
      </c>
      <c r="I369" s="5">
        <f t="shared" si="23"/>
        <v>0</v>
      </c>
    </row>
    <row r="370" spans="1:9" x14ac:dyDescent="0.2">
      <c r="A370" s="42">
        <v>45595</v>
      </c>
      <c r="B370" s="41">
        <v>2224.21</v>
      </c>
      <c r="C370" s="41">
        <v>47590</v>
      </c>
      <c r="D370" s="41">
        <v>7523</v>
      </c>
      <c r="E370" s="41">
        <v>2318</v>
      </c>
      <c r="F370" s="5">
        <f t="shared" si="20"/>
        <v>1.5333558535939762E-2</v>
      </c>
      <c r="G370" s="5">
        <f t="shared" si="21"/>
        <v>5.474290780141855E-2</v>
      </c>
      <c r="H370" s="5">
        <f t="shared" si="22"/>
        <v>1.2789445341949479E-2</v>
      </c>
      <c r="I370" s="5">
        <f t="shared" si="23"/>
        <v>0</v>
      </c>
    </row>
    <row r="371" spans="1:9" x14ac:dyDescent="0.2">
      <c r="A371" s="42">
        <v>45594</v>
      </c>
      <c r="B371" s="41">
        <v>2190.62</v>
      </c>
      <c r="C371" s="41">
        <v>45120</v>
      </c>
      <c r="D371" s="41">
        <v>7428</v>
      </c>
      <c r="E371" s="41">
        <v>2318</v>
      </c>
      <c r="F371" s="5">
        <f t="shared" si="20"/>
        <v>8.1039663876372181E-3</v>
      </c>
      <c r="G371" s="5">
        <f t="shared" si="21"/>
        <v>3.4862385321100975E-2</v>
      </c>
      <c r="H371" s="5">
        <f t="shared" si="22"/>
        <v>9.6506728285985499E-3</v>
      </c>
      <c r="I371" s="5">
        <f t="shared" si="23"/>
        <v>0</v>
      </c>
    </row>
    <row r="372" spans="1:9" x14ac:dyDescent="0.2">
      <c r="A372" s="42">
        <v>45593</v>
      </c>
      <c r="B372" s="41">
        <v>2173.0100000000002</v>
      </c>
      <c r="C372" s="41">
        <v>43600</v>
      </c>
      <c r="D372" s="41">
        <v>7357</v>
      </c>
      <c r="E372" s="41">
        <v>2318</v>
      </c>
      <c r="F372" s="5">
        <f t="shared" si="20"/>
        <v>3.3605244259482525E-4</v>
      </c>
      <c r="G372" s="5">
        <f t="shared" si="21"/>
        <v>2.5158711497766273E-2</v>
      </c>
      <c r="H372" s="5">
        <f t="shared" si="22"/>
        <v>0</v>
      </c>
      <c r="I372" s="5">
        <f t="shared" si="23"/>
        <v>-1.3617021276595698E-2</v>
      </c>
    </row>
    <row r="373" spans="1:9" x14ac:dyDescent="0.2">
      <c r="A373" s="42">
        <v>45592</v>
      </c>
      <c r="B373" s="41">
        <v>2172.2800000000002</v>
      </c>
      <c r="C373" s="41">
        <v>42530</v>
      </c>
      <c r="D373" s="41">
        <v>7357</v>
      </c>
      <c r="E373" s="41">
        <v>2350</v>
      </c>
      <c r="F373" s="5">
        <f t="shared" si="20"/>
        <v>8.9690056062092793E-3</v>
      </c>
      <c r="G373" s="5">
        <f t="shared" si="21"/>
        <v>1.9904076738609167E-2</v>
      </c>
      <c r="H373" s="5">
        <f t="shared" si="22"/>
        <v>1.8975069252077592E-2</v>
      </c>
      <c r="I373" s="5">
        <f t="shared" si="23"/>
        <v>-3.392705682782049E-3</v>
      </c>
    </row>
    <row r="374" spans="1:9" x14ac:dyDescent="0.2">
      <c r="A374" s="42">
        <v>45587</v>
      </c>
      <c r="B374" s="41">
        <v>2152.9699999999998</v>
      </c>
      <c r="C374" s="41">
        <v>41700</v>
      </c>
      <c r="D374" s="41">
        <v>7220</v>
      </c>
      <c r="E374" s="41">
        <v>2358</v>
      </c>
      <c r="F374" s="5">
        <f t="shared" si="20"/>
        <v>-8.8938401410494361E-3</v>
      </c>
      <c r="G374" s="5">
        <f t="shared" si="21"/>
        <v>-3.0232558139534849E-2</v>
      </c>
      <c r="H374" s="5">
        <f t="shared" si="22"/>
        <v>-6.1940812112869503E-3</v>
      </c>
      <c r="I374" s="5">
        <f t="shared" si="23"/>
        <v>0</v>
      </c>
    </row>
    <row r="375" spans="1:9" x14ac:dyDescent="0.2">
      <c r="A375" s="42">
        <v>45586</v>
      </c>
      <c r="B375" s="41">
        <v>2172.29</v>
      </c>
      <c r="C375" s="41">
        <v>43000</v>
      </c>
      <c r="D375" s="41">
        <v>7265</v>
      </c>
      <c r="E375" s="41">
        <v>2358</v>
      </c>
      <c r="F375" s="5">
        <f t="shared" si="20"/>
        <v>-2.2826855772852817E-3</v>
      </c>
      <c r="G375" s="5">
        <f t="shared" si="21"/>
        <v>-1.6018306636155555E-2</v>
      </c>
      <c r="H375" s="5">
        <f t="shared" si="22"/>
        <v>0</v>
      </c>
      <c r="I375" s="5">
        <f t="shared" si="23"/>
        <v>5.5437100213220347E-3</v>
      </c>
    </row>
    <row r="376" spans="1:9" x14ac:dyDescent="0.2">
      <c r="A376" s="42">
        <v>45585</v>
      </c>
      <c r="B376" s="41">
        <v>2177.2600000000002</v>
      </c>
      <c r="C376" s="41">
        <v>43700</v>
      </c>
      <c r="D376" s="41">
        <v>7265</v>
      </c>
      <c r="E376" s="41">
        <v>2345</v>
      </c>
      <c r="F376" s="5">
        <f t="shared" si="20"/>
        <v>2.1109156993786016E-2</v>
      </c>
      <c r="G376" s="5">
        <f t="shared" si="21"/>
        <v>6.5074335851815768E-2</v>
      </c>
      <c r="H376" s="5">
        <f t="shared" si="22"/>
        <v>1.8648345485137385E-2</v>
      </c>
      <c r="I376" s="5">
        <f t="shared" si="23"/>
        <v>0</v>
      </c>
    </row>
    <row r="377" spans="1:9" x14ac:dyDescent="0.2">
      <c r="A377" s="42">
        <v>45580</v>
      </c>
      <c r="B377" s="41">
        <v>2132.25</v>
      </c>
      <c r="C377" s="41">
        <v>41030</v>
      </c>
      <c r="D377" s="41">
        <v>7132</v>
      </c>
      <c r="E377" s="41">
        <v>2345</v>
      </c>
      <c r="F377" s="5">
        <f t="shared" si="20"/>
        <v>6.5189479050622445E-3</v>
      </c>
      <c r="G377" s="5">
        <f t="shared" si="21"/>
        <v>1.6852540272614513E-2</v>
      </c>
      <c r="H377" s="5">
        <f t="shared" si="22"/>
        <v>-1.749552279928368E-2</v>
      </c>
      <c r="I377" s="5">
        <f t="shared" si="23"/>
        <v>-1.9648829431438086E-2</v>
      </c>
    </row>
    <row r="378" spans="1:9" x14ac:dyDescent="0.2">
      <c r="A378" s="42">
        <v>45579</v>
      </c>
      <c r="B378" s="41">
        <v>2118.44</v>
      </c>
      <c r="C378" s="41">
        <v>40350</v>
      </c>
      <c r="D378" s="41">
        <v>7259</v>
      </c>
      <c r="E378" s="41">
        <v>2392</v>
      </c>
      <c r="F378" s="5">
        <f t="shared" si="20"/>
        <v>6.2557296688785513E-3</v>
      </c>
      <c r="G378" s="5">
        <f t="shared" si="21"/>
        <v>4.9590875278937574E-4</v>
      </c>
      <c r="H378" s="5">
        <f t="shared" si="22"/>
        <v>6.8927488282333194E-4</v>
      </c>
      <c r="I378" s="5">
        <f t="shared" si="23"/>
        <v>5.0420168067226712E-3</v>
      </c>
    </row>
    <row r="379" spans="1:9" x14ac:dyDescent="0.2">
      <c r="A379" s="42">
        <v>45578</v>
      </c>
      <c r="B379" s="41">
        <v>2105.27</v>
      </c>
      <c r="C379" s="41">
        <v>40330</v>
      </c>
      <c r="D379" s="41">
        <v>7254</v>
      </c>
      <c r="E379" s="41">
        <v>2380</v>
      </c>
      <c r="F379" s="5">
        <f t="shared" si="20"/>
        <v>8.8025300685226071E-3</v>
      </c>
      <c r="G379" s="5">
        <f t="shared" si="21"/>
        <v>-1.9797079930710115E-3</v>
      </c>
      <c r="H379" s="5">
        <f t="shared" si="22"/>
        <v>1.7391304347825987E-2</v>
      </c>
      <c r="I379" s="5">
        <f t="shared" si="23"/>
        <v>-1.2589173310952884E-3</v>
      </c>
    </row>
    <row r="380" spans="1:9" x14ac:dyDescent="0.2">
      <c r="A380" s="42">
        <v>45575</v>
      </c>
      <c r="B380" s="41">
        <v>2086.9</v>
      </c>
      <c r="C380" s="41">
        <v>40410</v>
      </c>
      <c r="D380" s="41">
        <v>7130</v>
      </c>
      <c r="E380" s="41">
        <v>2383</v>
      </c>
      <c r="F380" s="5">
        <f t="shared" si="20"/>
        <v>-9.6148370318341891E-3</v>
      </c>
      <c r="G380" s="5">
        <f t="shared" si="21"/>
        <v>-9.073075036782785E-3</v>
      </c>
      <c r="H380" s="5">
        <f t="shared" si="22"/>
        <v>-7.5167037861915142E-3</v>
      </c>
      <c r="I380" s="5">
        <f t="shared" si="23"/>
        <v>0</v>
      </c>
    </row>
    <row r="381" spans="1:9" x14ac:dyDescent="0.2">
      <c r="A381" s="42">
        <v>45574</v>
      </c>
      <c r="B381" s="41">
        <v>2107.16</v>
      </c>
      <c r="C381" s="41">
        <v>40780</v>
      </c>
      <c r="D381" s="41">
        <v>7184</v>
      </c>
      <c r="E381" s="41">
        <v>2383</v>
      </c>
      <c r="F381" s="5">
        <f t="shared" si="20"/>
        <v>7.0589134912706353E-3</v>
      </c>
      <c r="G381" s="5">
        <f t="shared" si="21"/>
        <v>1.4175578214374429E-2</v>
      </c>
      <c r="H381" s="5">
        <f t="shared" si="22"/>
        <v>-1.3728720483250911E-2</v>
      </c>
      <c r="I381" s="5">
        <f t="shared" si="23"/>
        <v>5.9096665259603665E-3</v>
      </c>
    </row>
    <row r="382" spans="1:9" x14ac:dyDescent="0.2">
      <c r="A382" s="42">
        <v>45573</v>
      </c>
      <c r="B382" s="41">
        <v>2092.39</v>
      </c>
      <c r="C382" s="41">
        <v>40210</v>
      </c>
      <c r="D382" s="41">
        <v>7284</v>
      </c>
      <c r="E382" s="41">
        <v>2369</v>
      </c>
      <c r="F382" s="5">
        <f t="shared" si="20"/>
        <v>9.998564799309495E-4</v>
      </c>
      <c r="G382" s="5">
        <f t="shared" si="21"/>
        <v>-1.2281994595922385E-2</v>
      </c>
      <c r="H382" s="5">
        <f t="shared" si="22"/>
        <v>-8.8447407810586798E-3</v>
      </c>
      <c r="I382" s="5">
        <f t="shared" si="23"/>
        <v>-3.3061224489795871E-2</v>
      </c>
    </row>
    <row r="383" spans="1:9" x14ac:dyDescent="0.2">
      <c r="A383" s="42">
        <v>45572</v>
      </c>
      <c r="B383" s="41">
        <v>2090.3000000000002</v>
      </c>
      <c r="C383" s="41">
        <v>40710</v>
      </c>
      <c r="D383" s="41">
        <v>7349</v>
      </c>
      <c r="E383" s="41">
        <v>2450</v>
      </c>
      <c r="F383" s="5">
        <f t="shared" si="20"/>
        <v>2.4986931019763681E-3</v>
      </c>
      <c r="G383" s="5">
        <f t="shared" si="21"/>
        <v>-2.2058823529411686E-3</v>
      </c>
      <c r="H383" s="5">
        <f t="shared" si="22"/>
        <v>9.3393764592775153E-3</v>
      </c>
      <c r="I383" s="5">
        <f t="shared" si="23"/>
        <v>-4.0650406504064707E-3</v>
      </c>
    </row>
    <row r="384" spans="1:9" x14ac:dyDescent="0.2">
      <c r="A384" s="42">
        <v>45571</v>
      </c>
      <c r="B384" s="41">
        <v>2085.09</v>
      </c>
      <c r="C384" s="41">
        <v>40800</v>
      </c>
      <c r="D384" s="41">
        <v>7281</v>
      </c>
      <c r="E384" s="41">
        <v>2460</v>
      </c>
      <c r="F384" s="5">
        <f t="shared" si="20"/>
        <v>-3.5078831788875053E-3</v>
      </c>
      <c r="G384" s="5">
        <f t="shared" si="21"/>
        <v>-1.7577654707440438E-2</v>
      </c>
      <c r="H384" s="5">
        <f t="shared" si="22"/>
        <v>-2.6213722081048552E-2</v>
      </c>
      <c r="I384" s="5">
        <f t="shared" si="23"/>
        <v>0</v>
      </c>
    </row>
    <row r="385" spans="1:9" x14ac:dyDescent="0.2">
      <c r="A385" s="42">
        <v>45566</v>
      </c>
      <c r="B385" s="41">
        <v>2092.4299999999998</v>
      </c>
      <c r="C385" s="41">
        <v>41530</v>
      </c>
      <c r="D385" s="41">
        <v>7477</v>
      </c>
      <c r="E385" s="41">
        <v>2460</v>
      </c>
      <c r="F385" s="5">
        <f t="shared" si="20"/>
        <v>-1.228256508296155E-2</v>
      </c>
      <c r="G385" s="5">
        <f t="shared" si="21"/>
        <v>-2.5803424818203191E-2</v>
      </c>
      <c r="H385" s="5">
        <f t="shared" si="22"/>
        <v>3.0855916286558482E-3</v>
      </c>
      <c r="I385" s="5">
        <f t="shared" si="23"/>
        <v>0</v>
      </c>
    </row>
    <row r="386" spans="1:9" x14ac:dyDescent="0.2">
      <c r="A386" s="42">
        <v>45565</v>
      </c>
      <c r="B386" s="41">
        <v>2118.4499999999998</v>
      </c>
      <c r="C386" s="41">
        <v>42630</v>
      </c>
      <c r="D386" s="41">
        <v>7454</v>
      </c>
      <c r="E386" s="41">
        <v>2460</v>
      </c>
      <c r="F386" s="5">
        <f t="shared" si="20"/>
        <v>2.5840160152201808E-3</v>
      </c>
      <c r="G386" s="5">
        <f t="shared" si="21"/>
        <v>1.0429011614126571E-2</v>
      </c>
      <c r="H386" s="5">
        <f t="shared" si="22"/>
        <v>9.2066070945031608E-3</v>
      </c>
      <c r="I386" s="5">
        <f t="shared" si="23"/>
        <v>0</v>
      </c>
    </row>
    <row r="387" spans="1:9" x14ac:dyDescent="0.2">
      <c r="A387" s="42">
        <v>45564</v>
      </c>
      <c r="B387" s="41">
        <v>2112.9899999999998</v>
      </c>
      <c r="C387" s="41">
        <v>42190</v>
      </c>
      <c r="D387" s="41">
        <v>7386</v>
      </c>
      <c r="E387" s="41">
        <v>2460</v>
      </c>
      <c r="F387" s="5">
        <f t="shared" ref="F387:F450" si="24">B387/B388-1</f>
        <v>1.0386033367283831E-2</v>
      </c>
      <c r="G387" s="5">
        <f t="shared" ref="G387:G450" si="25">C387/C388-1</f>
        <v>3.4068627450980493E-2</v>
      </c>
      <c r="H387" s="5">
        <f t="shared" ref="H387:H450" si="26">D387/D388-1</f>
        <v>1.1642240788932945E-2</v>
      </c>
      <c r="I387" s="5">
        <f t="shared" ref="I387:I450" si="27">E387/E388-1</f>
        <v>0</v>
      </c>
    </row>
    <row r="388" spans="1:9" x14ac:dyDescent="0.2">
      <c r="A388" s="42">
        <v>45561</v>
      </c>
      <c r="B388" s="41">
        <v>2091.27</v>
      </c>
      <c r="C388" s="41">
        <v>40800</v>
      </c>
      <c r="D388" s="41">
        <v>7301</v>
      </c>
      <c r="E388" s="41">
        <v>2460</v>
      </c>
      <c r="F388" s="5">
        <f t="shared" si="24"/>
        <v>1.5012085383965701E-2</v>
      </c>
      <c r="G388" s="5">
        <f t="shared" si="25"/>
        <v>1.1403073872087166E-2</v>
      </c>
      <c r="H388" s="5">
        <f t="shared" si="26"/>
        <v>1.290233074361824E-2</v>
      </c>
      <c r="I388" s="5">
        <f t="shared" si="27"/>
        <v>0</v>
      </c>
    </row>
    <row r="389" spans="1:9" x14ac:dyDescent="0.2">
      <c r="A389" s="42">
        <v>45560</v>
      </c>
      <c r="B389" s="41">
        <v>2060.34</v>
      </c>
      <c r="C389" s="41">
        <v>40340</v>
      </c>
      <c r="D389" s="41">
        <v>7208</v>
      </c>
      <c r="E389" s="41">
        <v>2460</v>
      </c>
      <c r="F389" s="5">
        <f t="shared" si="24"/>
        <v>8.8381179949958977E-3</v>
      </c>
      <c r="G389" s="5">
        <f t="shared" si="25"/>
        <v>3.732271709380397E-3</v>
      </c>
      <c r="H389" s="5">
        <f t="shared" si="26"/>
        <v>2.8979300499643035E-2</v>
      </c>
      <c r="I389" s="5">
        <f t="shared" si="27"/>
        <v>0</v>
      </c>
    </row>
    <row r="390" spans="1:9" x14ac:dyDescent="0.2">
      <c r="A390" s="42">
        <v>45559</v>
      </c>
      <c r="B390" s="41">
        <v>2042.29</v>
      </c>
      <c r="C390" s="41">
        <v>40190</v>
      </c>
      <c r="D390" s="41">
        <v>7005</v>
      </c>
      <c r="E390" s="41">
        <v>2460</v>
      </c>
      <c r="F390" s="5">
        <f t="shared" si="24"/>
        <v>1.221222709587888E-2</v>
      </c>
      <c r="G390" s="5">
        <f t="shared" si="25"/>
        <v>2.9947591714498678E-3</v>
      </c>
      <c r="H390" s="5">
        <f t="shared" si="26"/>
        <v>3.8693035253654084E-3</v>
      </c>
      <c r="I390" s="5">
        <f t="shared" si="27"/>
        <v>0</v>
      </c>
    </row>
    <row r="391" spans="1:9" x14ac:dyDescent="0.2">
      <c r="A391" s="42">
        <v>45558</v>
      </c>
      <c r="B391" s="41">
        <v>2017.65</v>
      </c>
      <c r="C391" s="41">
        <v>40070</v>
      </c>
      <c r="D391" s="41">
        <v>6978</v>
      </c>
      <c r="E391" s="41">
        <v>2460</v>
      </c>
      <c r="F391" s="5">
        <f t="shared" si="24"/>
        <v>5.9931293409052344E-3</v>
      </c>
      <c r="G391" s="5">
        <f t="shared" si="25"/>
        <v>2.3237997957099132E-2</v>
      </c>
      <c r="H391" s="5">
        <f t="shared" si="26"/>
        <v>-1.8979333614508653E-2</v>
      </c>
      <c r="I391" s="5">
        <f t="shared" si="27"/>
        <v>0</v>
      </c>
    </row>
    <row r="392" spans="1:9" x14ac:dyDescent="0.2">
      <c r="A392" s="42">
        <v>45557</v>
      </c>
      <c r="B392" s="41">
        <v>2005.63</v>
      </c>
      <c r="C392" s="41">
        <v>39160</v>
      </c>
      <c r="D392" s="41">
        <v>7113</v>
      </c>
      <c r="E392" s="41">
        <v>2460</v>
      </c>
      <c r="F392" s="5">
        <f t="shared" si="24"/>
        <v>7.2064199911614502E-3</v>
      </c>
      <c r="G392" s="5">
        <f t="shared" si="25"/>
        <v>2.3035577169183696E-3</v>
      </c>
      <c r="H392" s="5">
        <f t="shared" si="26"/>
        <v>0</v>
      </c>
      <c r="I392" s="5">
        <f t="shared" si="27"/>
        <v>0</v>
      </c>
    </row>
    <row r="393" spans="1:9" x14ac:dyDescent="0.2">
      <c r="A393" s="42">
        <v>45554</v>
      </c>
      <c r="B393" s="41">
        <v>1991.28</v>
      </c>
      <c r="C393" s="41">
        <v>39070</v>
      </c>
      <c r="D393" s="41">
        <v>7113</v>
      </c>
      <c r="E393" s="41">
        <v>2460</v>
      </c>
      <c r="F393" s="5">
        <f t="shared" si="24"/>
        <v>-2.964149809733696E-3</v>
      </c>
      <c r="G393" s="5">
        <f t="shared" si="25"/>
        <v>9.5607235142118885E-3</v>
      </c>
      <c r="H393" s="5">
        <f t="shared" si="26"/>
        <v>-1.5501730103806177E-2</v>
      </c>
      <c r="I393" s="5">
        <f t="shared" si="27"/>
        <v>0</v>
      </c>
    </row>
    <row r="394" spans="1:9" x14ac:dyDescent="0.2">
      <c r="A394" s="42">
        <v>45553</v>
      </c>
      <c r="B394" s="41">
        <v>1997.2</v>
      </c>
      <c r="C394" s="41">
        <v>38700</v>
      </c>
      <c r="D394" s="41">
        <v>7225</v>
      </c>
      <c r="E394" s="41">
        <v>2460</v>
      </c>
      <c r="F394" s="5">
        <f t="shared" si="24"/>
        <v>2.8118096003213466E-3</v>
      </c>
      <c r="G394" s="5">
        <f t="shared" si="25"/>
        <v>2.0714655618849775E-3</v>
      </c>
      <c r="H394" s="5">
        <f t="shared" si="26"/>
        <v>5.1474680022258745E-3</v>
      </c>
      <c r="I394" s="5">
        <f t="shared" si="27"/>
        <v>0</v>
      </c>
    </row>
    <row r="395" spans="1:9" x14ac:dyDescent="0.2">
      <c r="A395" s="42">
        <v>45552</v>
      </c>
      <c r="B395" s="41">
        <v>1991.6</v>
      </c>
      <c r="C395" s="41">
        <v>38620</v>
      </c>
      <c r="D395" s="41">
        <v>7188</v>
      </c>
      <c r="E395" s="41">
        <v>2460</v>
      </c>
      <c r="F395" s="5">
        <f t="shared" si="24"/>
        <v>-1.2377514182568383E-2</v>
      </c>
      <c r="G395" s="5">
        <f t="shared" si="25"/>
        <v>-2.1039290240811193E-2</v>
      </c>
      <c r="H395" s="5">
        <f t="shared" si="26"/>
        <v>-1.2094557449147891E-2</v>
      </c>
      <c r="I395" s="5">
        <f t="shared" si="27"/>
        <v>0</v>
      </c>
    </row>
    <row r="396" spans="1:9" x14ac:dyDescent="0.2">
      <c r="A396" s="42">
        <v>45551</v>
      </c>
      <c r="B396" s="41">
        <v>2016.56</v>
      </c>
      <c r="C396" s="41">
        <v>39450</v>
      </c>
      <c r="D396" s="41">
        <v>7276</v>
      </c>
      <c r="E396" s="41">
        <v>2460</v>
      </c>
      <c r="F396" s="5">
        <f t="shared" si="24"/>
        <v>-1.6062611003766825E-2</v>
      </c>
      <c r="G396" s="5">
        <f t="shared" si="25"/>
        <v>-2.7606605866403733E-2</v>
      </c>
      <c r="H396" s="5">
        <f t="shared" si="26"/>
        <v>-3.5397056873922805E-2</v>
      </c>
      <c r="I396" s="5">
        <f t="shared" si="27"/>
        <v>0</v>
      </c>
    </row>
    <row r="397" spans="1:9" x14ac:dyDescent="0.2">
      <c r="A397" s="42">
        <v>45550</v>
      </c>
      <c r="B397" s="41">
        <v>2049.48</v>
      </c>
      <c r="C397" s="41">
        <v>40570</v>
      </c>
      <c r="D397" s="41">
        <v>7543</v>
      </c>
      <c r="E397" s="41">
        <v>2460</v>
      </c>
      <c r="F397" s="5">
        <f t="shared" si="24"/>
        <v>-1.9722137003113094E-3</v>
      </c>
      <c r="G397" s="5">
        <f t="shared" si="25"/>
        <v>-2.3820981713185807E-2</v>
      </c>
      <c r="H397" s="5">
        <f t="shared" si="26"/>
        <v>-5.7993936997495776E-3</v>
      </c>
      <c r="I397" s="5">
        <f t="shared" si="27"/>
        <v>0</v>
      </c>
    </row>
    <row r="398" spans="1:9" x14ac:dyDescent="0.2">
      <c r="A398" s="42">
        <v>45547</v>
      </c>
      <c r="B398" s="41">
        <v>2053.5300000000002</v>
      </c>
      <c r="C398" s="41">
        <v>41560</v>
      </c>
      <c r="D398" s="41">
        <v>7587</v>
      </c>
      <c r="E398" s="41">
        <v>2460</v>
      </c>
      <c r="F398" s="5">
        <f t="shared" si="24"/>
        <v>9.9592776203967226E-3</v>
      </c>
      <c r="G398" s="5">
        <f t="shared" si="25"/>
        <v>-1.2826603325415631E-2</v>
      </c>
      <c r="H398" s="5">
        <f t="shared" si="26"/>
        <v>5.0103806228373626E-2</v>
      </c>
      <c r="I398" s="5">
        <f t="shared" si="27"/>
        <v>8.1366965012197312E-4</v>
      </c>
    </row>
    <row r="399" spans="1:9" x14ac:dyDescent="0.2">
      <c r="A399" s="42">
        <v>45546</v>
      </c>
      <c r="B399" s="41">
        <v>2033.28</v>
      </c>
      <c r="C399" s="41">
        <v>42100</v>
      </c>
      <c r="D399" s="41">
        <v>7225</v>
      </c>
      <c r="E399" s="41">
        <v>2458</v>
      </c>
      <c r="F399" s="5">
        <f t="shared" si="24"/>
        <v>1.0880964220829625E-3</v>
      </c>
      <c r="G399" s="5">
        <f t="shared" si="25"/>
        <v>1.4272121788772019E-3</v>
      </c>
      <c r="H399" s="5">
        <f t="shared" si="26"/>
        <v>-1.1492680257217169E-2</v>
      </c>
      <c r="I399" s="5">
        <f t="shared" si="27"/>
        <v>0</v>
      </c>
    </row>
    <row r="400" spans="1:9" x14ac:dyDescent="0.2">
      <c r="A400" s="42">
        <v>45545</v>
      </c>
      <c r="B400" s="41">
        <v>2031.07</v>
      </c>
      <c r="C400" s="41">
        <v>42040</v>
      </c>
      <c r="D400" s="41">
        <v>7309</v>
      </c>
      <c r="E400" s="41">
        <v>2458</v>
      </c>
      <c r="F400" s="5">
        <f t="shared" si="24"/>
        <v>-1.4306925338499754E-3</v>
      </c>
      <c r="G400" s="5">
        <f t="shared" si="25"/>
        <v>1.5458937198067568E-2</v>
      </c>
      <c r="H400" s="5">
        <f t="shared" si="26"/>
        <v>-2.5927947598253231E-3</v>
      </c>
      <c r="I400" s="5">
        <f t="shared" si="27"/>
        <v>9.4455852156056785E-3</v>
      </c>
    </row>
    <row r="401" spans="1:9" x14ac:dyDescent="0.2">
      <c r="A401" s="42">
        <v>45544</v>
      </c>
      <c r="B401" s="41">
        <v>2033.98</v>
      </c>
      <c r="C401" s="41">
        <v>41400</v>
      </c>
      <c r="D401" s="41">
        <v>7328</v>
      </c>
      <c r="E401" s="41">
        <v>2435</v>
      </c>
      <c r="F401" s="5">
        <f t="shared" si="24"/>
        <v>-3.312523888393426E-3</v>
      </c>
      <c r="G401" s="5">
        <f t="shared" si="25"/>
        <v>-2.2201228153046815E-2</v>
      </c>
      <c r="H401" s="5">
        <f t="shared" si="26"/>
        <v>-7.046070460704601E-3</v>
      </c>
      <c r="I401" s="5">
        <f t="shared" si="27"/>
        <v>0</v>
      </c>
    </row>
    <row r="402" spans="1:9" x14ac:dyDescent="0.2">
      <c r="A402" s="42">
        <v>45543</v>
      </c>
      <c r="B402" s="41">
        <v>2040.74</v>
      </c>
      <c r="C402" s="41">
        <v>42340</v>
      </c>
      <c r="D402" s="41">
        <v>7380</v>
      </c>
      <c r="E402" s="41">
        <v>2435</v>
      </c>
      <c r="F402" s="5">
        <f t="shared" si="24"/>
        <v>-1.5424251342445405E-2</v>
      </c>
      <c r="G402" s="5">
        <f t="shared" si="25"/>
        <v>-1.6263940520446107E-2</v>
      </c>
      <c r="H402" s="5">
        <f t="shared" si="26"/>
        <v>-2.8691760989734139E-2</v>
      </c>
      <c r="I402" s="5">
        <f t="shared" si="27"/>
        <v>0</v>
      </c>
    </row>
    <row r="403" spans="1:9" x14ac:dyDescent="0.2">
      <c r="A403" s="42">
        <v>45540</v>
      </c>
      <c r="B403" s="41">
        <v>2072.71</v>
      </c>
      <c r="C403" s="41">
        <v>43040</v>
      </c>
      <c r="D403" s="41">
        <v>7598</v>
      </c>
      <c r="E403" s="41">
        <v>2435</v>
      </c>
      <c r="F403" s="5">
        <f t="shared" si="24"/>
        <v>1.3252835353930514E-2</v>
      </c>
      <c r="G403" s="5">
        <f t="shared" si="25"/>
        <v>2.8434886499402623E-2</v>
      </c>
      <c r="H403" s="5">
        <f t="shared" si="26"/>
        <v>6.0911016949152241E-3</v>
      </c>
      <c r="I403" s="5">
        <f t="shared" si="27"/>
        <v>4.537953795379579E-3</v>
      </c>
    </row>
    <row r="404" spans="1:9" x14ac:dyDescent="0.2">
      <c r="A404" s="42">
        <v>45539</v>
      </c>
      <c r="B404" s="41">
        <v>2045.6</v>
      </c>
      <c r="C404" s="41">
        <v>41850</v>
      </c>
      <c r="D404" s="41">
        <v>7552</v>
      </c>
      <c r="E404" s="41">
        <v>2424</v>
      </c>
      <c r="F404" s="5">
        <f t="shared" si="24"/>
        <v>-5.5807260777412937E-3</v>
      </c>
      <c r="G404" s="5">
        <f t="shared" si="25"/>
        <v>-3.0967127203430644E-3</v>
      </c>
      <c r="H404" s="5">
        <f t="shared" si="26"/>
        <v>-6.0542247959989304E-3</v>
      </c>
      <c r="I404" s="5">
        <f t="shared" si="27"/>
        <v>0</v>
      </c>
    </row>
    <row r="405" spans="1:9" x14ac:dyDescent="0.2">
      <c r="A405" s="42">
        <v>45538</v>
      </c>
      <c r="B405" s="41">
        <v>2057.08</v>
      </c>
      <c r="C405" s="41">
        <v>41980</v>
      </c>
      <c r="D405" s="41">
        <v>7598</v>
      </c>
      <c r="E405" s="41">
        <v>2424</v>
      </c>
      <c r="F405" s="5">
        <f t="shared" si="24"/>
        <v>-1.2851151228969404E-2</v>
      </c>
      <c r="G405" s="5">
        <f t="shared" si="25"/>
        <v>-6.8606576768394101E-3</v>
      </c>
      <c r="H405" s="5">
        <f t="shared" si="26"/>
        <v>4.2294475284165856E-3</v>
      </c>
      <c r="I405" s="5">
        <f t="shared" si="27"/>
        <v>0</v>
      </c>
    </row>
    <row r="406" spans="1:9" x14ac:dyDescent="0.2">
      <c r="A406" s="42">
        <v>45537</v>
      </c>
      <c r="B406" s="41">
        <v>2083.86</v>
      </c>
      <c r="C406" s="41">
        <v>42270</v>
      </c>
      <c r="D406" s="41">
        <v>7566</v>
      </c>
      <c r="E406" s="41">
        <v>2424</v>
      </c>
      <c r="F406" s="5">
        <f t="shared" si="24"/>
        <v>8.6105504653761766E-3</v>
      </c>
      <c r="G406" s="5">
        <f t="shared" si="25"/>
        <v>4.7539814594723673E-3</v>
      </c>
      <c r="H406" s="5">
        <f t="shared" si="26"/>
        <v>1.176785236694311E-2</v>
      </c>
      <c r="I406" s="5">
        <f t="shared" si="27"/>
        <v>-2.8846153846153855E-2</v>
      </c>
    </row>
    <row r="407" spans="1:9" x14ac:dyDescent="0.2">
      <c r="A407" s="42">
        <v>45536</v>
      </c>
      <c r="B407" s="41">
        <v>2066.0700000000002</v>
      </c>
      <c r="C407" s="41">
        <v>42070</v>
      </c>
      <c r="D407" s="41">
        <v>7478</v>
      </c>
      <c r="E407" s="41">
        <v>2496</v>
      </c>
      <c r="F407" s="5">
        <f t="shared" si="24"/>
        <v>-7.498751008800375E-3</v>
      </c>
      <c r="G407" s="5">
        <f t="shared" si="25"/>
        <v>-2.389791183294665E-2</v>
      </c>
      <c r="H407" s="5">
        <f t="shared" si="26"/>
        <v>-1.6052631578947318E-2</v>
      </c>
      <c r="I407" s="5">
        <f t="shared" si="27"/>
        <v>3.3968516984258512E-2</v>
      </c>
    </row>
    <row r="408" spans="1:9" x14ac:dyDescent="0.2">
      <c r="A408" s="42">
        <v>45533</v>
      </c>
      <c r="B408" s="41">
        <v>2081.6799999999998</v>
      </c>
      <c r="C408" s="41">
        <v>43100</v>
      </c>
      <c r="D408" s="41">
        <v>7600</v>
      </c>
      <c r="E408" s="41">
        <v>2414</v>
      </c>
      <c r="F408" s="5">
        <f t="shared" si="24"/>
        <v>7.210914440096694E-4</v>
      </c>
      <c r="G408" s="5">
        <f t="shared" si="25"/>
        <v>1.5551366635249808E-2</v>
      </c>
      <c r="H408" s="5">
        <f t="shared" si="26"/>
        <v>0</v>
      </c>
      <c r="I408" s="5">
        <f t="shared" si="27"/>
        <v>5.833333333333357E-3</v>
      </c>
    </row>
    <row r="409" spans="1:9" x14ac:dyDescent="0.2">
      <c r="A409" s="42">
        <v>45532</v>
      </c>
      <c r="B409" s="41">
        <v>2080.1799999999998</v>
      </c>
      <c r="C409" s="41">
        <v>42440</v>
      </c>
      <c r="D409" s="41">
        <v>7600</v>
      </c>
      <c r="E409" s="41">
        <v>2400</v>
      </c>
      <c r="F409" s="5">
        <f t="shared" si="24"/>
        <v>7.7463799359553942E-3</v>
      </c>
      <c r="G409" s="5">
        <f t="shared" si="25"/>
        <v>6.4026559165284436E-3</v>
      </c>
      <c r="H409" s="5">
        <f t="shared" si="26"/>
        <v>3.7401037401037396E-2</v>
      </c>
      <c r="I409" s="5">
        <f t="shared" si="27"/>
        <v>0</v>
      </c>
    </row>
    <row r="410" spans="1:9" x14ac:dyDescent="0.2">
      <c r="A410" s="42">
        <v>45531</v>
      </c>
      <c r="B410" s="41">
        <v>2064.19</v>
      </c>
      <c r="C410" s="41">
        <v>42170</v>
      </c>
      <c r="D410" s="41">
        <v>7326</v>
      </c>
      <c r="E410" s="41">
        <v>2400</v>
      </c>
      <c r="F410" s="5">
        <f t="shared" si="24"/>
        <v>-1.2338271867771144E-3</v>
      </c>
      <c r="G410" s="5">
        <f t="shared" si="25"/>
        <v>-6.5959952885747963E-3</v>
      </c>
      <c r="H410" s="5">
        <f t="shared" si="26"/>
        <v>-2.1765255708372289E-2</v>
      </c>
      <c r="I410" s="5">
        <f t="shared" si="27"/>
        <v>4.1841004184099972E-3</v>
      </c>
    </row>
    <row r="411" spans="1:9" x14ac:dyDescent="0.2">
      <c r="A411" s="42">
        <v>45530</v>
      </c>
      <c r="B411" s="41">
        <v>2066.7399999999998</v>
      </c>
      <c r="C411" s="41">
        <v>42450</v>
      </c>
      <c r="D411" s="41">
        <v>7489</v>
      </c>
      <c r="E411" s="41">
        <v>2390</v>
      </c>
      <c r="F411" s="5">
        <f t="shared" si="24"/>
        <v>-3.8415007398625578E-3</v>
      </c>
      <c r="G411" s="5">
        <f t="shared" si="25"/>
        <v>-1.1764705882353343E-3</v>
      </c>
      <c r="H411" s="5">
        <f t="shared" si="26"/>
        <v>1.9744008714597028E-2</v>
      </c>
      <c r="I411" s="5">
        <f t="shared" si="27"/>
        <v>0</v>
      </c>
    </row>
    <row r="412" spans="1:9" x14ac:dyDescent="0.2">
      <c r="A412" s="42">
        <v>45529</v>
      </c>
      <c r="B412" s="41">
        <v>2074.71</v>
      </c>
      <c r="C412" s="41">
        <v>42500</v>
      </c>
      <c r="D412" s="41">
        <v>7344</v>
      </c>
      <c r="E412" s="41">
        <v>2390</v>
      </c>
      <c r="F412" s="5">
        <f t="shared" si="24"/>
        <v>2.0662071815458205E-2</v>
      </c>
      <c r="G412" s="5">
        <f t="shared" si="25"/>
        <v>4.0646425073457504E-2</v>
      </c>
      <c r="H412" s="5">
        <f t="shared" si="26"/>
        <v>1.3944498136131411E-2</v>
      </c>
      <c r="I412" s="5">
        <f t="shared" si="27"/>
        <v>0</v>
      </c>
    </row>
    <row r="413" spans="1:9" x14ac:dyDescent="0.2">
      <c r="A413" s="42">
        <v>45526</v>
      </c>
      <c r="B413" s="41">
        <v>2032.71</v>
      </c>
      <c r="C413" s="41">
        <v>40840</v>
      </c>
      <c r="D413" s="41">
        <v>7243</v>
      </c>
      <c r="E413" s="41">
        <v>2390</v>
      </c>
      <c r="F413" s="5">
        <f t="shared" si="24"/>
        <v>1.8136745144232691E-3</v>
      </c>
      <c r="G413" s="5">
        <f t="shared" si="25"/>
        <v>3.439803439803546E-3</v>
      </c>
      <c r="H413" s="5">
        <f t="shared" si="26"/>
        <v>6.9079856313902788E-4</v>
      </c>
      <c r="I413" s="5">
        <f t="shared" si="27"/>
        <v>2.9374737725555988E-3</v>
      </c>
    </row>
    <row r="414" spans="1:9" x14ac:dyDescent="0.2">
      <c r="A414" s="42">
        <v>45525</v>
      </c>
      <c r="B414" s="41">
        <v>2029.03</v>
      </c>
      <c r="C414" s="41">
        <v>40700</v>
      </c>
      <c r="D414" s="41">
        <v>7238</v>
      </c>
      <c r="E414" s="41">
        <v>2383</v>
      </c>
      <c r="F414" s="5">
        <f t="shared" si="24"/>
        <v>-7.1538668558707164E-3</v>
      </c>
      <c r="G414" s="5">
        <f t="shared" si="25"/>
        <v>-1.998555261256918E-2</v>
      </c>
      <c r="H414" s="5">
        <f t="shared" si="26"/>
        <v>-2.2056796250344846E-3</v>
      </c>
      <c r="I414" s="5">
        <f t="shared" si="27"/>
        <v>-7.0833333333333304E-3</v>
      </c>
    </row>
    <row r="415" spans="1:9" x14ac:dyDescent="0.2">
      <c r="A415" s="42">
        <v>45524</v>
      </c>
      <c r="B415" s="41">
        <v>2043.65</v>
      </c>
      <c r="C415" s="41">
        <v>41530</v>
      </c>
      <c r="D415" s="41">
        <v>7254</v>
      </c>
      <c r="E415" s="41">
        <v>2400</v>
      </c>
      <c r="F415" s="5">
        <f t="shared" si="24"/>
        <v>1.0580507374515769E-3</v>
      </c>
      <c r="G415" s="5">
        <f t="shared" si="25"/>
        <v>-2.2363465160075369E-2</v>
      </c>
      <c r="H415" s="5">
        <f t="shared" si="26"/>
        <v>-2.0920502092050208E-2</v>
      </c>
      <c r="I415" s="5">
        <f t="shared" si="27"/>
        <v>8.3402835696411159E-4</v>
      </c>
    </row>
    <row r="416" spans="1:9" x14ac:dyDescent="0.2">
      <c r="A416" s="42">
        <v>45523</v>
      </c>
      <c r="B416" s="41">
        <v>2041.49</v>
      </c>
      <c r="C416" s="41">
        <v>42480</v>
      </c>
      <c r="D416" s="41">
        <v>7409</v>
      </c>
      <c r="E416" s="41">
        <v>2398</v>
      </c>
      <c r="F416" s="5">
        <f t="shared" si="24"/>
        <v>-4.7435184914342843E-3</v>
      </c>
      <c r="G416" s="5">
        <f t="shared" si="25"/>
        <v>-1.1863224005582707E-2</v>
      </c>
      <c r="H416" s="5">
        <f t="shared" si="26"/>
        <v>-2.4874967096604417E-2</v>
      </c>
      <c r="I416" s="5">
        <f t="shared" si="27"/>
        <v>0</v>
      </c>
    </row>
    <row r="417" spans="1:9" x14ac:dyDescent="0.2">
      <c r="A417" s="42">
        <v>45522</v>
      </c>
      <c r="B417" s="41">
        <v>2051.2199999999998</v>
      </c>
      <c r="C417" s="41">
        <v>42990</v>
      </c>
      <c r="D417" s="41">
        <v>7598</v>
      </c>
      <c r="E417" s="41">
        <v>2398</v>
      </c>
      <c r="F417" s="5">
        <f t="shared" si="24"/>
        <v>5.8944684189876639E-3</v>
      </c>
      <c r="G417" s="5">
        <f t="shared" si="25"/>
        <v>2.7977044476327206E-2</v>
      </c>
      <c r="H417" s="5">
        <f t="shared" si="26"/>
        <v>1.158301158301156E-2</v>
      </c>
      <c r="I417" s="5">
        <f t="shared" si="27"/>
        <v>-2.9106029106028553E-3</v>
      </c>
    </row>
    <row r="418" spans="1:9" x14ac:dyDescent="0.2">
      <c r="A418" s="42">
        <v>45519</v>
      </c>
      <c r="B418" s="41">
        <v>2039.2</v>
      </c>
      <c r="C418" s="41">
        <v>41820</v>
      </c>
      <c r="D418" s="41">
        <v>7511</v>
      </c>
      <c r="E418" s="41">
        <v>2405</v>
      </c>
      <c r="F418" s="5">
        <f t="shared" si="24"/>
        <v>1.5593483706776823E-2</v>
      </c>
      <c r="G418" s="5">
        <f t="shared" si="25"/>
        <v>3.2592592592592506E-2</v>
      </c>
      <c r="H418" s="5">
        <f t="shared" si="26"/>
        <v>3.4288074910493016E-2</v>
      </c>
      <c r="I418" s="5">
        <f t="shared" si="27"/>
        <v>0</v>
      </c>
    </row>
    <row r="419" spans="1:9" x14ac:dyDescent="0.2">
      <c r="A419" s="42">
        <v>45518</v>
      </c>
      <c r="B419" s="41">
        <v>2007.89</v>
      </c>
      <c r="C419" s="41">
        <v>40500</v>
      </c>
      <c r="D419" s="41">
        <v>7262</v>
      </c>
      <c r="E419" s="41">
        <v>2405</v>
      </c>
      <c r="F419" s="5">
        <f t="shared" si="24"/>
        <v>1.7817857396311698E-2</v>
      </c>
      <c r="G419" s="5">
        <f t="shared" si="25"/>
        <v>4.9627791563275903E-3</v>
      </c>
      <c r="H419" s="5">
        <f t="shared" si="26"/>
        <v>3.2413989195337001E-2</v>
      </c>
      <c r="I419" s="5">
        <f t="shared" si="27"/>
        <v>0</v>
      </c>
    </row>
    <row r="420" spans="1:9" x14ac:dyDescent="0.2">
      <c r="A420" s="42">
        <v>45516</v>
      </c>
      <c r="B420" s="41">
        <v>1972.74</v>
      </c>
      <c r="C420" s="41">
        <v>40300</v>
      </c>
      <c r="D420" s="41">
        <v>7034</v>
      </c>
      <c r="E420" s="41">
        <v>2405</v>
      </c>
      <c r="F420" s="5">
        <f t="shared" si="24"/>
        <v>-1.4507088691064984E-2</v>
      </c>
      <c r="G420" s="5">
        <f t="shared" si="25"/>
        <v>-2.1131892154481413E-2</v>
      </c>
      <c r="H420" s="5">
        <f t="shared" si="26"/>
        <v>-2.7378318584070804E-2</v>
      </c>
      <c r="I420" s="5">
        <f t="shared" si="27"/>
        <v>2.083333333333437E-3</v>
      </c>
    </row>
    <row r="421" spans="1:9" x14ac:dyDescent="0.2">
      <c r="A421" s="42">
        <v>45515</v>
      </c>
      <c r="B421" s="41">
        <v>2001.78</v>
      </c>
      <c r="C421" s="41">
        <v>41170</v>
      </c>
      <c r="D421" s="41">
        <v>7232</v>
      </c>
      <c r="E421" s="41">
        <v>2400</v>
      </c>
      <c r="F421" s="5">
        <f t="shared" si="24"/>
        <v>2.8907670803253183E-3</v>
      </c>
      <c r="G421" s="5">
        <f t="shared" si="25"/>
        <v>-1.0098581389757166E-2</v>
      </c>
      <c r="H421" s="5">
        <f t="shared" si="26"/>
        <v>-1.4579643003133969E-2</v>
      </c>
      <c r="I421" s="5">
        <f t="shared" si="27"/>
        <v>-4.9751243781094301E-3</v>
      </c>
    </row>
    <row r="422" spans="1:9" x14ac:dyDescent="0.2">
      <c r="A422" s="42">
        <v>45512</v>
      </c>
      <c r="B422" s="41">
        <v>1996.01</v>
      </c>
      <c r="C422" s="41">
        <v>41590</v>
      </c>
      <c r="D422" s="41">
        <v>7339</v>
      </c>
      <c r="E422" s="41">
        <v>2412</v>
      </c>
      <c r="F422" s="5">
        <f t="shared" si="24"/>
        <v>1.3069341102189602E-2</v>
      </c>
      <c r="G422" s="5">
        <f t="shared" si="25"/>
        <v>2.9710324337707261E-2</v>
      </c>
      <c r="H422" s="5">
        <f t="shared" si="26"/>
        <v>6.1694543460377727E-3</v>
      </c>
      <c r="I422" s="5">
        <f t="shared" si="27"/>
        <v>0</v>
      </c>
    </row>
    <row r="423" spans="1:9" x14ac:dyDescent="0.2">
      <c r="A423" s="42">
        <v>45511</v>
      </c>
      <c r="B423" s="41">
        <v>1970.26</v>
      </c>
      <c r="C423" s="41">
        <v>40390</v>
      </c>
      <c r="D423" s="41">
        <v>7294</v>
      </c>
      <c r="E423" s="41">
        <v>2412</v>
      </c>
      <c r="F423" s="5">
        <f t="shared" si="24"/>
        <v>1.7801425767124623E-2</v>
      </c>
      <c r="G423" s="5">
        <f t="shared" si="25"/>
        <v>1.4824120603015079E-2</v>
      </c>
      <c r="H423" s="5">
        <f t="shared" si="26"/>
        <v>1.207159705841554E-2</v>
      </c>
      <c r="I423" s="5">
        <f t="shared" si="27"/>
        <v>0</v>
      </c>
    </row>
    <row r="424" spans="1:9" x14ac:dyDescent="0.2">
      <c r="A424" s="42">
        <v>45510</v>
      </c>
      <c r="B424" s="41">
        <v>1935.8</v>
      </c>
      <c r="C424" s="41">
        <v>39800</v>
      </c>
      <c r="D424" s="41">
        <v>7207</v>
      </c>
      <c r="E424" s="41">
        <v>2412</v>
      </c>
      <c r="F424" s="5">
        <f t="shared" si="24"/>
        <v>1.5490985012616143E-2</v>
      </c>
      <c r="G424" s="5">
        <f t="shared" si="25"/>
        <v>1.7618927762397263E-3</v>
      </c>
      <c r="H424" s="5">
        <f t="shared" si="26"/>
        <v>-2.4763193504736103E-2</v>
      </c>
      <c r="I424" s="5">
        <f t="shared" si="27"/>
        <v>2.0772746157042832E-3</v>
      </c>
    </row>
    <row r="425" spans="1:9" x14ac:dyDescent="0.2">
      <c r="A425" s="42">
        <v>45509</v>
      </c>
      <c r="B425" s="41">
        <v>1906.27</v>
      </c>
      <c r="C425" s="41">
        <v>39730</v>
      </c>
      <c r="D425" s="41">
        <v>7390</v>
      </c>
      <c r="E425" s="41">
        <v>2407</v>
      </c>
      <c r="F425" s="5">
        <f t="shared" si="24"/>
        <v>-8.5040205552838755E-3</v>
      </c>
      <c r="G425" s="5">
        <f t="shared" si="25"/>
        <v>0</v>
      </c>
      <c r="H425" s="5">
        <f t="shared" si="26"/>
        <v>-1.6633399866932796E-2</v>
      </c>
      <c r="I425" s="5">
        <f t="shared" si="27"/>
        <v>-3.7251655629139124E-3</v>
      </c>
    </row>
    <row r="426" spans="1:9" x14ac:dyDescent="0.2">
      <c r="A426" s="42">
        <v>45508</v>
      </c>
      <c r="B426" s="41">
        <v>1922.62</v>
      </c>
      <c r="C426" s="41">
        <v>39730</v>
      </c>
      <c r="D426" s="41">
        <v>7515</v>
      </c>
      <c r="E426" s="41">
        <v>2416</v>
      </c>
      <c r="F426" s="5">
        <f t="shared" si="24"/>
        <v>-2.2696427028318422E-2</v>
      </c>
      <c r="G426" s="5">
        <f t="shared" si="25"/>
        <v>1.871794871794874E-2</v>
      </c>
      <c r="H426" s="5">
        <f t="shared" si="26"/>
        <v>6.6577896138486636E-4</v>
      </c>
      <c r="I426" s="5">
        <f t="shared" si="27"/>
        <v>0</v>
      </c>
    </row>
    <row r="427" spans="1:9" x14ac:dyDescent="0.2">
      <c r="A427" s="42">
        <v>45505</v>
      </c>
      <c r="B427" s="41">
        <v>1967.27</v>
      </c>
      <c r="C427" s="41">
        <v>39000</v>
      </c>
      <c r="D427" s="41">
        <v>7510</v>
      </c>
      <c r="E427" s="41">
        <v>2416</v>
      </c>
      <c r="F427" s="5">
        <f t="shared" si="24"/>
        <v>-1.5390236333970631E-2</v>
      </c>
      <c r="G427" s="5">
        <f t="shared" si="25"/>
        <v>-2.5487256371814038E-2</v>
      </c>
      <c r="H427" s="5">
        <f t="shared" si="26"/>
        <v>-7.6260762607626043E-2</v>
      </c>
      <c r="I427" s="5">
        <f t="shared" si="27"/>
        <v>1.243265644426117E-3</v>
      </c>
    </row>
    <row r="428" spans="1:9" x14ac:dyDescent="0.2">
      <c r="A428" s="42">
        <v>45504</v>
      </c>
      <c r="B428" s="41">
        <v>1998.02</v>
      </c>
      <c r="C428" s="41">
        <v>40020</v>
      </c>
      <c r="D428" s="41">
        <v>8130</v>
      </c>
      <c r="E428" s="41">
        <v>2413</v>
      </c>
      <c r="F428" s="5">
        <f t="shared" si="24"/>
        <v>1.8452219781983636E-3</v>
      </c>
      <c r="G428" s="5">
        <f t="shared" si="25"/>
        <v>0</v>
      </c>
      <c r="H428" s="5">
        <f t="shared" si="26"/>
        <v>2.6255995960615897E-2</v>
      </c>
      <c r="I428" s="5">
        <f t="shared" si="27"/>
        <v>0</v>
      </c>
    </row>
    <row r="429" spans="1:9" x14ac:dyDescent="0.2">
      <c r="A429" s="42">
        <v>45503</v>
      </c>
      <c r="B429" s="41">
        <v>1994.34</v>
      </c>
      <c r="C429" s="41">
        <v>40020</v>
      </c>
      <c r="D429" s="41">
        <v>7922</v>
      </c>
      <c r="E429" s="41">
        <v>2413</v>
      </c>
      <c r="F429" s="5">
        <f t="shared" si="24"/>
        <v>-8.4520767249693929E-3</v>
      </c>
      <c r="G429" s="5">
        <f t="shared" si="25"/>
        <v>-2.989536621823663E-3</v>
      </c>
      <c r="H429" s="5">
        <f t="shared" si="26"/>
        <v>-1.3326690746045533E-2</v>
      </c>
      <c r="I429" s="5">
        <f t="shared" si="27"/>
        <v>0</v>
      </c>
    </row>
    <row r="430" spans="1:9" x14ac:dyDescent="0.2">
      <c r="A430" s="42">
        <v>45502</v>
      </c>
      <c r="B430" s="41">
        <v>2011.34</v>
      </c>
      <c r="C430" s="41">
        <v>40140</v>
      </c>
      <c r="D430" s="41">
        <v>8029</v>
      </c>
      <c r="E430" s="41">
        <v>2413</v>
      </c>
      <c r="F430" s="5">
        <f t="shared" si="24"/>
        <v>3.4023107776424144E-3</v>
      </c>
      <c r="G430" s="5">
        <f t="shared" si="25"/>
        <v>-1.1573504063038698E-2</v>
      </c>
      <c r="H430" s="5">
        <f t="shared" si="26"/>
        <v>-1.3272704928106172E-2</v>
      </c>
      <c r="I430" s="5">
        <f t="shared" si="27"/>
        <v>0</v>
      </c>
    </row>
    <row r="431" spans="1:9" x14ac:dyDescent="0.2">
      <c r="A431" s="42">
        <v>45501</v>
      </c>
      <c r="B431" s="41">
        <v>2004.52</v>
      </c>
      <c r="C431" s="41">
        <v>40610</v>
      </c>
      <c r="D431" s="41">
        <v>8137</v>
      </c>
      <c r="E431" s="41">
        <v>2413</v>
      </c>
      <c r="F431" s="5">
        <f t="shared" si="24"/>
        <v>-2.397553755063897E-2</v>
      </c>
      <c r="G431" s="5">
        <f t="shared" si="25"/>
        <v>-3.2404098165356165E-2</v>
      </c>
      <c r="H431" s="5">
        <f t="shared" si="26"/>
        <v>-6.592601635941886E-3</v>
      </c>
      <c r="I431" s="5">
        <f t="shared" si="27"/>
        <v>0</v>
      </c>
    </row>
    <row r="432" spans="1:9" x14ac:dyDescent="0.2">
      <c r="A432" s="42">
        <v>45498</v>
      </c>
      <c r="B432" s="41">
        <v>2053.7600000000002</v>
      </c>
      <c r="C432" s="41">
        <v>41970</v>
      </c>
      <c r="D432" s="41">
        <v>8191</v>
      </c>
      <c r="E432" s="41">
        <v>2413</v>
      </c>
      <c r="F432" s="5">
        <f t="shared" si="24"/>
        <v>-5.0624694192934472E-3</v>
      </c>
      <c r="G432" s="5">
        <f t="shared" si="25"/>
        <v>-8.9728453364816829E-3</v>
      </c>
      <c r="H432" s="5">
        <f t="shared" si="26"/>
        <v>-3.7703721722208705E-3</v>
      </c>
      <c r="I432" s="5">
        <f t="shared" si="27"/>
        <v>0</v>
      </c>
    </row>
    <row r="433" spans="1:9" x14ac:dyDescent="0.2">
      <c r="A433" s="42">
        <v>45497</v>
      </c>
      <c r="B433" s="41">
        <v>2064.21</v>
      </c>
      <c r="C433" s="41">
        <v>42350</v>
      </c>
      <c r="D433" s="41">
        <v>8222</v>
      </c>
      <c r="E433" s="41">
        <v>2413</v>
      </c>
      <c r="F433" s="5">
        <f t="shared" si="24"/>
        <v>-2.5368936824099464E-3</v>
      </c>
      <c r="G433" s="5">
        <f t="shared" si="25"/>
        <v>0</v>
      </c>
      <c r="H433" s="5">
        <f t="shared" si="26"/>
        <v>0</v>
      </c>
      <c r="I433" s="5">
        <f t="shared" si="27"/>
        <v>-4.1425020712515526E-4</v>
      </c>
    </row>
    <row r="434" spans="1:9" x14ac:dyDescent="0.2">
      <c r="A434" s="42">
        <v>45496</v>
      </c>
      <c r="B434" s="41">
        <v>2069.46</v>
      </c>
      <c r="C434" s="41">
        <v>42350</v>
      </c>
      <c r="D434" s="41">
        <v>8222</v>
      </c>
      <c r="E434" s="41">
        <v>2414</v>
      </c>
      <c r="F434" s="5">
        <f t="shared" si="24"/>
        <v>1.452572028061172E-2</v>
      </c>
      <c r="G434" s="5">
        <f t="shared" si="25"/>
        <v>5.9382422802849444E-3</v>
      </c>
      <c r="H434" s="5">
        <f t="shared" si="26"/>
        <v>2.6829268292682951E-3</v>
      </c>
      <c r="I434" s="5">
        <f t="shared" si="27"/>
        <v>0</v>
      </c>
    </row>
    <row r="435" spans="1:9" x14ac:dyDescent="0.2">
      <c r="A435" s="42">
        <v>45495</v>
      </c>
      <c r="B435" s="41">
        <v>2039.83</v>
      </c>
      <c r="C435" s="41">
        <v>42100</v>
      </c>
      <c r="D435" s="41">
        <v>8200</v>
      </c>
      <c r="E435" s="41">
        <v>2414</v>
      </c>
      <c r="F435" s="5">
        <f t="shared" si="24"/>
        <v>6.2451595080825761E-3</v>
      </c>
      <c r="G435" s="5">
        <f t="shared" si="25"/>
        <v>-9.8777046095954724E-3</v>
      </c>
      <c r="H435" s="5">
        <f t="shared" si="26"/>
        <v>3.5491371925100434E-3</v>
      </c>
      <c r="I435" s="5">
        <f t="shared" si="27"/>
        <v>1.0887772194304812E-2</v>
      </c>
    </row>
    <row r="436" spans="1:9" x14ac:dyDescent="0.2">
      <c r="A436" s="42">
        <v>45494</v>
      </c>
      <c r="B436" s="41">
        <v>2027.17</v>
      </c>
      <c r="C436" s="41">
        <v>42520</v>
      </c>
      <c r="D436" s="41">
        <v>8171</v>
      </c>
      <c r="E436" s="41">
        <v>2388</v>
      </c>
      <c r="F436" s="5">
        <f t="shared" si="24"/>
        <v>-8.8787628402261509E-3</v>
      </c>
      <c r="G436" s="5">
        <f t="shared" si="25"/>
        <v>-6.077606358111276E-3</v>
      </c>
      <c r="H436" s="5">
        <f t="shared" si="26"/>
        <v>-1.2448634276045478E-2</v>
      </c>
      <c r="I436" s="5">
        <f t="shared" si="27"/>
        <v>-9.5396101202820383E-3</v>
      </c>
    </row>
    <row r="437" spans="1:9" x14ac:dyDescent="0.2">
      <c r="A437" s="42">
        <v>45491</v>
      </c>
      <c r="B437" s="41">
        <v>2045.33</v>
      </c>
      <c r="C437" s="41">
        <v>42780</v>
      </c>
      <c r="D437" s="41">
        <v>8274</v>
      </c>
      <c r="E437" s="41">
        <v>2411</v>
      </c>
      <c r="F437" s="5">
        <f t="shared" si="24"/>
        <v>-4.0416238562935858E-3</v>
      </c>
      <c r="G437" s="5">
        <f t="shared" si="25"/>
        <v>-7.6548364648573175E-3</v>
      </c>
      <c r="H437" s="5">
        <f t="shared" si="26"/>
        <v>-1.02870813397129E-2</v>
      </c>
      <c r="I437" s="5">
        <f t="shared" si="27"/>
        <v>-4.1459369817575809E-4</v>
      </c>
    </row>
    <row r="438" spans="1:9" x14ac:dyDescent="0.2">
      <c r="A438" s="42">
        <v>45490</v>
      </c>
      <c r="B438" s="41">
        <v>2053.63</v>
      </c>
      <c r="C438" s="41">
        <v>43110</v>
      </c>
      <c r="D438" s="41">
        <v>8360</v>
      </c>
      <c r="E438" s="41">
        <v>2412</v>
      </c>
      <c r="F438" s="5">
        <f t="shared" si="24"/>
        <v>-5.4097249128245428E-3</v>
      </c>
      <c r="G438" s="5">
        <f t="shared" si="25"/>
        <v>2.2533206831119479E-2</v>
      </c>
      <c r="H438" s="5">
        <f t="shared" si="26"/>
        <v>2.7587861341009656E-3</v>
      </c>
      <c r="I438" s="5">
        <f t="shared" si="27"/>
        <v>0</v>
      </c>
    </row>
    <row r="439" spans="1:9" x14ac:dyDescent="0.2">
      <c r="A439" s="42">
        <v>45489</v>
      </c>
      <c r="B439" s="41">
        <v>2064.8000000000002</v>
      </c>
      <c r="C439" s="41">
        <v>42160</v>
      </c>
      <c r="D439" s="41">
        <v>8337</v>
      </c>
      <c r="E439" s="41">
        <v>2412</v>
      </c>
      <c r="F439" s="5">
        <f t="shared" si="24"/>
        <v>8.4340736575772013E-4</v>
      </c>
      <c r="G439" s="5">
        <f t="shared" si="25"/>
        <v>-3.780718336483968E-3</v>
      </c>
      <c r="H439" s="5">
        <f t="shared" si="26"/>
        <v>-1.3372781065088768E-2</v>
      </c>
      <c r="I439" s="5">
        <f t="shared" si="27"/>
        <v>2.0736352094794741E-2</v>
      </c>
    </row>
    <row r="440" spans="1:9" x14ac:dyDescent="0.2">
      <c r="A440" s="42">
        <v>45488</v>
      </c>
      <c r="B440" s="41">
        <v>2063.06</v>
      </c>
      <c r="C440" s="41">
        <v>42320</v>
      </c>
      <c r="D440" s="41">
        <v>8450</v>
      </c>
      <c r="E440" s="41">
        <v>2363</v>
      </c>
      <c r="F440" s="5">
        <f t="shared" si="24"/>
        <v>2.322327380142486E-3</v>
      </c>
      <c r="G440" s="5">
        <f t="shared" si="25"/>
        <v>1.0506208213944657E-2</v>
      </c>
      <c r="H440" s="5">
        <f t="shared" si="26"/>
        <v>1.1249401627573041E-2</v>
      </c>
      <c r="I440" s="5">
        <f t="shared" si="27"/>
        <v>0</v>
      </c>
    </row>
    <row r="441" spans="1:9" x14ac:dyDescent="0.2">
      <c r="A441" s="42">
        <v>45487</v>
      </c>
      <c r="B441" s="41">
        <v>2058.2800000000002</v>
      </c>
      <c r="C441" s="41">
        <v>41880</v>
      </c>
      <c r="D441" s="41">
        <v>8356</v>
      </c>
      <c r="E441" s="41">
        <v>2363</v>
      </c>
      <c r="F441" s="5">
        <f t="shared" si="24"/>
        <v>5.0553168322631237E-4</v>
      </c>
      <c r="G441" s="5">
        <f t="shared" si="25"/>
        <v>-1.9065776930410339E-3</v>
      </c>
      <c r="H441" s="5">
        <f t="shared" si="26"/>
        <v>-5.2380952380952639E-3</v>
      </c>
      <c r="I441" s="5">
        <f t="shared" si="27"/>
        <v>1.0692899914456877E-2</v>
      </c>
    </row>
    <row r="442" spans="1:9" x14ac:dyDescent="0.2">
      <c r="A442" s="42">
        <v>45484</v>
      </c>
      <c r="B442" s="41">
        <v>2057.2399999999998</v>
      </c>
      <c r="C442" s="41">
        <v>41960</v>
      </c>
      <c r="D442" s="41">
        <v>8400</v>
      </c>
      <c r="E442" s="41">
        <v>2338</v>
      </c>
      <c r="F442" s="5">
        <f t="shared" si="24"/>
        <v>1.5359406155607713E-2</v>
      </c>
      <c r="G442" s="5">
        <f t="shared" si="25"/>
        <v>2.8179367802009248E-2</v>
      </c>
      <c r="H442" s="5">
        <f t="shared" si="26"/>
        <v>1.3391241404270726E-2</v>
      </c>
      <c r="I442" s="5">
        <f t="shared" si="27"/>
        <v>0</v>
      </c>
    </row>
    <row r="443" spans="1:9" x14ac:dyDescent="0.2">
      <c r="A443" s="42">
        <v>45483</v>
      </c>
      <c r="B443" s="41">
        <v>2026.12</v>
      </c>
      <c r="C443" s="41">
        <v>40810</v>
      </c>
      <c r="D443" s="41">
        <v>8289</v>
      </c>
      <c r="E443" s="41">
        <v>2338</v>
      </c>
      <c r="F443" s="5">
        <f t="shared" si="24"/>
        <v>-6.0584654176908392E-3</v>
      </c>
      <c r="G443" s="5">
        <f t="shared" si="25"/>
        <v>-2.1812080536912748E-2</v>
      </c>
      <c r="H443" s="5">
        <f t="shared" si="26"/>
        <v>-2.4122542515980783E-4</v>
      </c>
      <c r="I443" s="5">
        <f t="shared" si="27"/>
        <v>3.4334763948498104E-3</v>
      </c>
    </row>
    <row r="444" spans="1:9" x14ac:dyDescent="0.2">
      <c r="A444" s="42">
        <v>45482</v>
      </c>
      <c r="B444" s="41">
        <v>2038.47</v>
      </c>
      <c r="C444" s="41">
        <v>41720</v>
      </c>
      <c r="D444" s="41">
        <v>8291</v>
      </c>
      <c r="E444" s="41">
        <v>2330</v>
      </c>
      <c r="F444" s="5">
        <f t="shared" si="24"/>
        <v>5.663570121214212E-3</v>
      </c>
      <c r="G444" s="5">
        <f t="shared" si="25"/>
        <v>5.7859209257473676E-3</v>
      </c>
      <c r="H444" s="5">
        <f t="shared" si="26"/>
        <v>-9.6397156283889451E-4</v>
      </c>
      <c r="I444" s="5">
        <f t="shared" si="27"/>
        <v>0</v>
      </c>
    </row>
    <row r="445" spans="1:9" x14ac:dyDescent="0.2">
      <c r="A445" s="42">
        <v>45481</v>
      </c>
      <c r="B445" s="41">
        <v>2026.99</v>
      </c>
      <c r="C445" s="41">
        <v>41480</v>
      </c>
      <c r="D445" s="41">
        <v>8299</v>
      </c>
      <c r="E445" s="41">
        <v>2330</v>
      </c>
      <c r="F445" s="5">
        <f t="shared" si="24"/>
        <v>-9.7027139262768625E-3</v>
      </c>
      <c r="G445" s="5">
        <f t="shared" si="25"/>
        <v>-3.2649253731343308E-2</v>
      </c>
      <c r="H445" s="5">
        <f t="shared" si="26"/>
        <v>-1.1317607815106046E-2</v>
      </c>
      <c r="I445" s="5">
        <f t="shared" si="27"/>
        <v>3.0133448127420692E-3</v>
      </c>
    </row>
    <row r="446" spans="1:9" x14ac:dyDescent="0.2">
      <c r="A446" s="42">
        <v>45480</v>
      </c>
      <c r="B446" s="41">
        <v>2046.85</v>
      </c>
      <c r="C446" s="41">
        <v>42880</v>
      </c>
      <c r="D446" s="41">
        <v>8394</v>
      </c>
      <c r="E446" s="41">
        <v>2323</v>
      </c>
      <c r="F446" s="5">
        <f t="shared" si="24"/>
        <v>2.727213414236318E-2</v>
      </c>
      <c r="G446" s="5">
        <f t="shared" si="25"/>
        <v>6.5076999503228983E-2</v>
      </c>
      <c r="H446" s="5">
        <f t="shared" si="26"/>
        <v>2.067120622568086E-2</v>
      </c>
      <c r="I446" s="5">
        <f t="shared" si="27"/>
        <v>2.4250440917107596E-2</v>
      </c>
    </row>
    <row r="447" spans="1:9" x14ac:dyDescent="0.2">
      <c r="A447" s="42">
        <v>45477</v>
      </c>
      <c r="B447" s="41">
        <v>1992.51</v>
      </c>
      <c r="C447" s="41">
        <v>40260</v>
      </c>
      <c r="D447" s="41">
        <v>8224</v>
      </c>
      <c r="E447" s="41">
        <v>2268</v>
      </c>
      <c r="F447" s="5">
        <f t="shared" si="24"/>
        <v>1.5840402969247158E-2</v>
      </c>
      <c r="G447" s="5">
        <f t="shared" si="25"/>
        <v>2.8615227388860465E-2</v>
      </c>
      <c r="H447" s="5">
        <f t="shared" si="26"/>
        <v>2.902902902902893E-2</v>
      </c>
      <c r="I447" s="5">
        <f t="shared" si="27"/>
        <v>1.3245033112583293E-3</v>
      </c>
    </row>
    <row r="448" spans="1:9" x14ac:dyDescent="0.2">
      <c r="A448" s="42">
        <v>45476</v>
      </c>
      <c r="B448" s="41">
        <v>1961.44</v>
      </c>
      <c r="C448" s="41">
        <v>39140</v>
      </c>
      <c r="D448" s="41">
        <v>7992</v>
      </c>
      <c r="E448" s="41">
        <v>2265</v>
      </c>
      <c r="F448" s="5">
        <f t="shared" si="24"/>
        <v>6.3053125721468373E-3</v>
      </c>
      <c r="G448" s="5">
        <f t="shared" si="25"/>
        <v>2.7296587926509241E-2</v>
      </c>
      <c r="H448" s="5">
        <f t="shared" si="26"/>
        <v>1.1273957158963732E-3</v>
      </c>
      <c r="I448" s="5">
        <f t="shared" si="27"/>
        <v>0</v>
      </c>
    </row>
    <row r="449" spans="1:9" x14ac:dyDescent="0.2">
      <c r="A449" s="42">
        <v>45475</v>
      </c>
      <c r="B449" s="41">
        <v>1949.15</v>
      </c>
      <c r="C449" s="41">
        <v>38100</v>
      </c>
      <c r="D449" s="41">
        <v>7983</v>
      </c>
      <c r="E449" s="41">
        <v>2265</v>
      </c>
      <c r="F449" s="5">
        <f t="shared" si="24"/>
        <v>4.6129265024223987E-3</v>
      </c>
      <c r="G449" s="5">
        <f t="shared" si="25"/>
        <v>1.3297872340425565E-2</v>
      </c>
      <c r="H449" s="5">
        <f t="shared" si="26"/>
        <v>-1.8754688672167896E-3</v>
      </c>
      <c r="I449" s="5">
        <f t="shared" si="27"/>
        <v>0</v>
      </c>
    </row>
    <row r="450" spans="1:9" x14ac:dyDescent="0.2">
      <c r="A450" s="42">
        <v>45474</v>
      </c>
      <c r="B450" s="41">
        <v>1940.2</v>
      </c>
      <c r="C450" s="41">
        <v>37600</v>
      </c>
      <c r="D450" s="41">
        <v>7998</v>
      </c>
      <c r="E450" s="41">
        <v>2265</v>
      </c>
      <c r="F450" s="5">
        <f t="shared" si="24"/>
        <v>-7.0065356801048972E-3</v>
      </c>
      <c r="G450" s="5">
        <f t="shared" si="25"/>
        <v>-2.9677419354838697E-2</v>
      </c>
      <c r="H450" s="5">
        <f t="shared" si="26"/>
        <v>-1.8770702981229292E-2</v>
      </c>
      <c r="I450" s="5">
        <f t="shared" si="27"/>
        <v>0</v>
      </c>
    </row>
    <row r="451" spans="1:9" x14ac:dyDescent="0.2">
      <c r="A451" s="42">
        <v>45473</v>
      </c>
      <c r="B451" s="41">
        <v>1953.89</v>
      </c>
      <c r="C451" s="41">
        <v>38750</v>
      </c>
      <c r="D451" s="41">
        <v>8151</v>
      </c>
      <c r="E451" s="41">
        <v>2265</v>
      </c>
      <c r="F451" s="5">
        <f t="shared" ref="F451:F514" si="28">B451/B452-1</f>
        <v>3.2914330314046669E-3</v>
      </c>
      <c r="G451" s="5">
        <f t="shared" ref="G451:G514" si="29">C451/C452-1</f>
        <v>-5.1586278050042012E-4</v>
      </c>
      <c r="H451" s="5">
        <f t="shared" ref="H451:H514" si="30">D451/D452-1</f>
        <v>2.5154068670607543E-2</v>
      </c>
      <c r="I451" s="5">
        <f t="shared" ref="I451:I514" si="31">E451/E452-1</f>
        <v>0</v>
      </c>
    </row>
    <row r="452" spans="1:9" x14ac:dyDescent="0.2">
      <c r="A452" s="42">
        <v>45470</v>
      </c>
      <c r="B452" s="41">
        <v>1947.48</v>
      </c>
      <c r="C452" s="41">
        <v>38770</v>
      </c>
      <c r="D452" s="41">
        <v>7951</v>
      </c>
      <c r="E452" s="41">
        <v>2265</v>
      </c>
      <c r="F452" s="5">
        <f t="shared" si="28"/>
        <v>-7.699009981707805E-3</v>
      </c>
      <c r="G452" s="5">
        <f t="shared" si="29"/>
        <v>-4.62130937098848E-3</v>
      </c>
      <c r="H452" s="5">
        <f t="shared" si="30"/>
        <v>2.237366593802248E-2</v>
      </c>
      <c r="I452" s="5">
        <f t="shared" si="31"/>
        <v>0</v>
      </c>
    </row>
    <row r="453" spans="1:9" x14ac:dyDescent="0.2">
      <c r="A453" s="42">
        <v>45469</v>
      </c>
      <c r="B453" s="41">
        <v>1962.59</v>
      </c>
      <c r="C453" s="41">
        <v>38950</v>
      </c>
      <c r="D453" s="41">
        <v>7777</v>
      </c>
      <c r="E453" s="41">
        <v>2265</v>
      </c>
      <c r="F453" s="5">
        <f t="shared" si="28"/>
        <v>1.1013749156453922E-2</v>
      </c>
      <c r="G453" s="5">
        <f t="shared" si="29"/>
        <v>3.1788079470198571E-2</v>
      </c>
      <c r="H453" s="5">
        <f t="shared" si="30"/>
        <v>1.1839708561020013E-2</v>
      </c>
      <c r="I453" s="5">
        <f t="shared" si="31"/>
        <v>-8.7527352297592786E-3</v>
      </c>
    </row>
    <row r="454" spans="1:9" x14ac:dyDescent="0.2">
      <c r="A454" s="42">
        <v>45468</v>
      </c>
      <c r="B454" s="41">
        <v>1941.21</v>
      </c>
      <c r="C454" s="41">
        <v>37750</v>
      </c>
      <c r="D454" s="41">
        <v>7686</v>
      </c>
      <c r="E454" s="41">
        <v>2285</v>
      </c>
      <c r="F454" s="5">
        <f t="shared" si="28"/>
        <v>8.3422071007452914E-3</v>
      </c>
      <c r="G454" s="5">
        <f t="shared" si="29"/>
        <v>3.9893617021276029E-3</v>
      </c>
      <c r="H454" s="5">
        <f t="shared" si="30"/>
        <v>6.5479308538500813E-3</v>
      </c>
      <c r="I454" s="5">
        <f t="shared" si="31"/>
        <v>0</v>
      </c>
    </row>
    <row r="455" spans="1:9" x14ac:dyDescent="0.2">
      <c r="A455" s="42">
        <v>45467</v>
      </c>
      <c r="B455" s="41">
        <v>1925.15</v>
      </c>
      <c r="C455" s="41">
        <v>37600</v>
      </c>
      <c r="D455" s="41">
        <v>7636</v>
      </c>
      <c r="E455" s="41">
        <v>2285</v>
      </c>
      <c r="F455" s="5">
        <f t="shared" si="28"/>
        <v>-1.4419610670511895E-3</v>
      </c>
      <c r="G455" s="5">
        <f t="shared" si="29"/>
        <v>-5.8170280274987274E-3</v>
      </c>
      <c r="H455" s="5">
        <f t="shared" si="30"/>
        <v>1.0855176065660554E-2</v>
      </c>
      <c r="I455" s="5">
        <f t="shared" si="31"/>
        <v>4.39560439560438E-3</v>
      </c>
    </row>
    <row r="456" spans="1:9" x14ac:dyDescent="0.2">
      <c r="A456" s="42">
        <v>45466</v>
      </c>
      <c r="B456" s="41">
        <v>1927.93</v>
      </c>
      <c r="C456" s="41">
        <v>37820</v>
      </c>
      <c r="D456" s="41">
        <v>7554</v>
      </c>
      <c r="E456" s="41">
        <v>2275</v>
      </c>
      <c r="F456" s="5">
        <f t="shared" si="28"/>
        <v>-5.237141913646437E-3</v>
      </c>
      <c r="G456" s="5">
        <f t="shared" si="29"/>
        <v>-1.9699326075686918E-2</v>
      </c>
      <c r="H456" s="5">
        <f t="shared" si="30"/>
        <v>-5.5292259083727924E-3</v>
      </c>
      <c r="I456" s="5">
        <f t="shared" si="31"/>
        <v>0</v>
      </c>
    </row>
    <row r="457" spans="1:9" x14ac:dyDescent="0.2">
      <c r="A457" s="42">
        <v>45463</v>
      </c>
      <c r="B457" s="41">
        <v>1938.08</v>
      </c>
      <c r="C457" s="41">
        <v>38580</v>
      </c>
      <c r="D457" s="41">
        <v>7596</v>
      </c>
      <c r="E457" s="41">
        <v>2275</v>
      </c>
      <c r="F457" s="5">
        <f t="shared" si="28"/>
        <v>-1.7997567896230193E-2</v>
      </c>
      <c r="G457" s="5">
        <f t="shared" si="29"/>
        <v>-2.5265285497726109E-2</v>
      </c>
      <c r="H457" s="5">
        <f t="shared" si="30"/>
        <v>-1.8396846254927768E-3</v>
      </c>
      <c r="I457" s="5">
        <f t="shared" si="31"/>
        <v>0</v>
      </c>
    </row>
    <row r="458" spans="1:9" x14ac:dyDescent="0.2">
      <c r="A458" s="42">
        <v>45462</v>
      </c>
      <c r="B458" s="41">
        <v>1973.6</v>
      </c>
      <c r="C458" s="41">
        <v>39580</v>
      </c>
      <c r="D458" s="41">
        <v>7610</v>
      </c>
      <c r="E458" s="41">
        <v>2275</v>
      </c>
      <c r="F458" s="5">
        <f t="shared" si="28"/>
        <v>-1.5704870029542572E-4</v>
      </c>
      <c r="G458" s="5">
        <f t="shared" si="29"/>
        <v>-1.9326065411298332E-2</v>
      </c>
      <c r="H458" s="5">
        <f t="shared" si="30"/>
        <v>-1.050144394854291E-3</v>
      </c>
      <c r="I458" s="5">
        <f t="shared" si="31"/>
        <v>0</v>
      </c>
    </row>
    <row r="459" spans="1:9" x14ac:dyDescent="0.2">
      <c r="A459" s="42">
        <v>45461</v>
      </c>
      <c r="B459" s="41">
        <v>1973.91</v>
      </c>
      <c r="C459" s="41">
        <v>40360</v>
      </c>
      <c r="D459" s="41">
        <v>7618</v>
      </c>
      <c r="E459" s="41">
        <v>2275</v>
      </c>
      <c r="F459" s="5">
        <f t="shared" si="28"/>
        <v>-2.1434168288552158E-3</v>
      </c>
      <c r="G459" s="5">
        <f t="shared" si="29"/>
        <v>-1.151114376683815E-2</v>
      </c>
      <c r="H459" s="5">
        <f t="shared" si="30"/>
        <v>-3.1405391258833015E-3</v>
      </c>
      <c r="I459" s="5">
        <f t="shared" si="31"/>
        <v>0</v>
      </c>
    </row>
    <row r="460" spans="1:9" x14ac:dyDescent="0.2">
      <c r="A460" s="42">
        <v>45460</v>
      </c>
      <c r="B460" s="41">
        <v>1978.15</v>
      </c>
      <c r="C460" s="41">
        <v>40830</v>
      </c>
      <c r="D460" s="41">
        <v>7642</v>
      </c>
      <c r="E460" s="41">
        <v>2275</v>
      </c>
      <c r="F460" s="5">
        <f t="shared" si="28"/>
        <v>1.491472900034907E-2</v>
      </c>
      <c r="G460" s="5">
        <f t="shared" si="29"/>
        <v>3.8667005850928415E-2</v>
      </c>
      <c r="H460" s="5">
        <f t="shared" si="30"/>
        <v>1.8353434714211136E-3</v>
      </c>
      <c r="I460" s="5">
        <f t="shared" si="31"/>
        <v>0</v>
      </c>
    </row>
    <row r="461" spans="1:9" x14ac:dyDescent="0.2">
      <c r="A461" s="42">
        <v>45459</v>
      </c>
      <c r="B461" s="41">
        <v>1949.08</v>
      </c>
      <c r="C461" s="41">
        <v>39310</v>
      </c>
      <c r="D461" s="41">
        <v>7628</v>
      </c>
      <c r="E461" s="41">
        <v>2275</v>
      </c>
      <c r="F461" s="5">
        <f t="shared" si="28"/>
        <v>-8.7373999369361188E-3</v>
      </c>
      <c r="G461" s="5">
        <f t="shared" si="29"/>
        <v>2.2947475777663762E-3</v>
      </c>
      <c r="H461" s="5">
        <f t="shared" si="30"/>
        <v>-3.0010172939979651E-2</v>
      </c>
      <c r="I461" s="5">
        <f t="shared" si="31"/>
        <v>0</v>
      </c>
    </row>
    <row r="462" spans="1:9" x14ac:dyDescent="0.2">
      <c r="A462" s="42">
        <v>45456</v>
      </c>
      <c r="B462" s="41">
        <v>1966.26</v>
      </c>
      <c r="C462" s="41">
        <v>39220</v>
      </c>
      <c r="D462" s="41">
        <v>7864</v>
      </c>
      <c r="E462" s="41">
        <v>2275</v>
      </c>
      <c r="F462" s="5">
        <f t="shared" si="28"/>
        <v>3.6188794234293109E-3</v>
      </c>
      <c r="G462" s="5">
        <f t="shared" si="29"/>
        <v>-1.5809284818067759E-2</v>
      </c>
      <c r="H462" s="5">
        <f t="shared" si="30"/>
        <v>0</v>
      </c>
      <c r="I462" s="5">
        <f t="shared" si="31"/>
        <v>0</v>
      </c>
    </row>
    <row r="463" spans="1:9" x14ac:dyDescent="0.2">
      <c r="A463" s="42">
        <v>45453</v>
      </c>
      <c r="B463" s="41">
        <v>1959.17</v>
      </c>
      <c r="C463" s="41">
        <v>39850</v>
      </c>
      <c r="D463" s="41">
        <v>7864</v>
      </c>
      <c r="E463" s="41">
        <v>2275</v>
      </c>
      <c r="F463" s="5">
        <f t="shared" si="28"/>
        <v>4.1309818513564078E-3</v>
      </c>
      <c r="G463" s="5">
        <f t="shared" si="29"/>
        <v>1.0395537525355047E-2</v>
      </c>
      <c r="H463" s="5">
        <f t="shared" si="30"/>
        <v>1.2358393408856916E-2</v>
      </c>
      <c r="I463" s="5">
        <f t="shared" si="31"/>
        <v>3.6446469248291535E-2</v>
      </c>
    </row>
    <row r="464" spans="1:9" x14ac:dyDescent="0.2">
      <c r="A464" s="42">
        <v>45452</v>
      </c>
      <c r="B464" s="41">
        <v>1951.11</v>
      </c>
      <c r="C464" s="41">
        <v>39440</v>
      </c>
      <c r="D464" s="41">
        <v>7768</v>
      </c>
      <c r="E464" s="41">
        <v>2195</v>
      </c>
      <c r="F464" s="5">
        <f t="shared" si="28"/>
        <v>3.6883854439950792E-3</v>
      </c>
      <c r="G464" s="5">
        <f t="shared" si="29"/>
        <v>-1.7928286852589626E-2</v>
      </c>
      <c r="H464" s="5">
        <f t="shared" si="30"/>
        <v>-1.5424164524421302E-3</v>
      </c>
      <c r="I464" s="5">
        <f t="shared" si="31"/>
        <v>0</v>
      </c>
    </row>
    <row r="465" spans="1:9" x14ac:dyDescent="0.2">
      <c r="A465" s="42">
        <v>45449</v>
      </c>
      <c r="B465" s="41">
        <v>1943.94</v>
      </c>
      <c r="C465" s="41">
        <v>40160</v>
      </c>
      <c r="D465" s="41">
        <v>7780</v>
      </c>
      <c r="E465" s="41">
        <v>2195</v>
      </c>
      <c r="F465" s="5">
        <f t="shared" si="28"/>
        <v>-9.9315487104265632E-3</v>
      </c>
      <c r="G465" s="5">
        <f t="shared" si="29"/>
        <v>-2.6896050399806137E-2</v>
      </c>
      <c r="H465" s="5">
        <f t="shared" si="30"/>
        <v>-3.5577042270980574E-2</v>
      </c>
      <c r="I465" s="5">
        <f t="shared" si="31"/>
        <v>2.7409776153495269E-3</v>
      </c>
    </row>
    <row r="466" spans="1:9" x14ac:dyDescent="0.2">
      <c r="A466" s="42">
        <v>45448</v>
      </c>
      <c r="B466" s="41">
        <v>1963.44</v>
      </c>
      <c r="C466" s="41">
        <v>41270</v>
      </c>
      <c r="D466" s="41">
        <v>8067</v>
      </c>
      <c r="E466" s="41">
        <v>2189</v>
      </c>
      <c r="F466" s="5">
        <f t="shared" si="28"/>
        <v>-1.5429668891440707E-2</v>
      </c>
      <c r="G466" s="5">
        <f t="shared" si="29"/>
        <v>-1.9482062247564769E-2</v>
      </c>
      <c r="H466" s="5">
        <f t="shared" si="30"/>
        <v>-2.0043731778425666E-2</v>
      </c>
      <c r="I466" s="5">
        <f t="shared" si="31"/>
        <v>2.1465235650956593E-2</v>
      </c>
    </row>
    <row r="467" spans="1:9" x14ac:dyDescent="0.2">
      <c r="A467" s="42">
        <v>45447</v>
      </c>
      <c r="B467" s="41">
        <v>1994.21</v>
      </c>
      <c r="C467" s="41">
        <v>42090</v>
      </c>
      <c r="D467" s="41">
        <v>8232</v>
      </c>
      <c r="E467" s="41">
        <v>2143</v>
      </c>
      <c r="F467" s="5">
        <f t="shared" si="28"/>
        <v>-5.0242481090465585E-3</v>
      </c>
      <c r="G467" s="5">
        <f t="shared" si="29"/>
        <v>1.0564225690276041E-2</v>
      </c>
      <c r="H467" s="5">
        <f t="shared" si="30"/>
        <v>-1.0921004732434847E-3</v>
      </c>
      <c r="I467" s="5">
        <f t="shared" si="31"/>
        <v>0</v>
      </c>
    </row>
    <row r="468" spans="1:9" x14ac:dyDescent="0.2">
      <c r="A468" s="42">
        <v>45446</v>
      </c>
      <c r="B468" s="41">
        <v>2004.28</v>
      </c>
      <c r="C468" s="41">
        <v>41650</v>
      </c>
      <c r="D468" s="41">
        <v>8241</v>
      </c>
      <c r="E468" s="41">
        <v>2143</v>
      </c>
      <c r="F468" s="5">
        <f t="shared" si="28"/>
        <v>9.1637799081607518E-3</v>
      </c>
      <c r="G468" s="5">
        <f t="shared" si="29"/>
        <v>-1.4434453383814438E-2</v>
      </c>
      <c r="H468" s="5">
        <f t="shared" si="30"/>
        <v>8.5668828784726259E-3</v>
      </c>
      <c r="I468" s="5">
        <f t="shared" si="31"/>
        <v>0</v>
      </c>
    </row>
    <row r="469" spans="1:9" x14ac:dyDescent="0.2">
      <c r="A469" s="42">
        <v>45445</v>
      </c>
      <c r="B469" s="41">
        <v>1986.08</v>
      </c>
      <c r="C469" s="41">
        <v>42260</v>
      </c>
      <c r="D469" s="41">
        <v>8171</v>
      </c>
      <c r="E469" s="41">
        <v>2143</v>
      </c>
      <c r="F469" s="5">
        <f t="shared" si="28"/>
        <v>-3.6871121634570736E-3</v>
      </c>
      <c r="G469" s="5">
        <f t="shared" si="29"/>
        <v>-1.007261653783087E-2</v>
      </c>
      <c r="H469" s="5">
        <f t="shared" si="30"/>
        <v>-3.6580904767711253E-3</v>
      </c>
      <c r="I469" s="5">
        <f t="shared" si="31"/>
        <v>-1.6972477064220226E-2</v>
      </c>
    </row>
    <row r="470" spans="1:9" x14ac:dyDescent="0.2">
      <c r="A470" s="42">
        <v>45442</v>
      </c>
      <c r="B470" s="41">
        <v>1993.43</v>
      </c>
      <c r="C470" s="41">
        <v>42690</v>
      </c>
      <c r="D470" s="41">
        <v>8201</v>
      </c>
      <c r="E470" s="41">
        <v>2180</v>
      </c>
      <c r="F470" s="5">
        <f t="shared" si="28"/>
        <v>1.794096067060158E-3</v>
      </c>
      <c r="G470" s="5">
        <f t="shared" si="29"/>
        <v>-1.6359447004608341E-2</v>
      </c>
      <c r="H470" s="5">
        <f t="shared" si="30"/>
        <v>2.4356732450661944E-2</v>
      </c>
      <c r="I470" s="5">
        <f t="shared" si="31"/>
        <v>0</v>
      </c>
    </row>
    <row r="471" spans="1:9" x14ac:dyDescent="0.2">
      <c r="A471" s="42">
        <v>45441</v>
      </c>
      <c r="B471" s="41">
        <v>1989.86</v>
      </c>
      <c r="C471" s="41">
        <v>43400</v>
      </c>
      <c r="D471" s="41">
        <v>8006</v>
      </c>
      <c r="E471" s="41">
        <v>2180</v>
      </c>
      <c r="F471" s="5">
        <f t="shared" si="28"/>
        <v>2.3574688441350133E-3</v>
      </c>
      <c r="G471" s="5">
        <f t="shared" si="29"/>
        <v>0</v>
      </c>
      <c r="H471" s="5">
        <f t="shared" si="30"/>
        <v>-2.9887920298878878E-3</v>
      </c>
      <c r="I471" s="5">
        <f t="shared" si="31"/>
        <v>0</v>
      </c>
    </row>
    <row r="472" spans="1:9" x14ac:dyDescent="0.2">
      <c r="A472" s="42">
        <v>45440</v>
      </c>
      <c r="B472" s="41">
        <v>1985.18</v>
      </c>
      <c r="C472" s="41">
        <v>43400</v>
      </c>
      <c r="D472" s="41">
        <v>8030</v>
      </c>
      <c r="E472" s="41">
        <v>2180</v>
      </c>
      <c r="F472" s="5">
        <f t="shared" si="28"/>
        <v>9.9870265320138873E-3</v>
      </c>
      <c r="G472" s="5">
        <f t="shared" si="29"/>
        <v>5.327773917072065E-3</v>
      </c>
      <c r="H472" s="5">
        <f t="shared" si="30"/>
        <v>2.4234693877551061E-2</v>
      </c>
      <c r="I472" s="5">
        <f t="shared" si="31"/>
        <v>0</v>
      </c>
    </row>
    <row r="473" spans="1:9" x14ac:dyDescent="0.2">
      <c r="A473" s="42">
        <v>45439</v>
      </c>
      <c r="B473" s="41">
        <v>1965.55</v>
      </c>
      <c r="C473" s="41">
        <v>43170</v>
      </c>
      <c r="D473" s="41">
        <v>7840</v>
      </c>
      <c r="E473" s="41">
        <v>2180</v>
      </c>
      <c r="F473" s="5">
        <f t="shared" si="28"/>
        <v>-9.9618299271675426E-4</v>
      </c>
      <c r="G473" s="5">
        <f t="shared" si="29"/>
        <v>-9.1806288730778007E-3</v>
      </c>
      <c r="H473" s="5">
        <f t="shared" si="30"/>
        <v>-1.5940755616919766E-2</v>
      </c>
      <c r="I473" s="5">
        <f t="shared" si="31"/>
        <v>-2.7447392497712553E-3</v>
      </c>
    </row>
    <row r="474" spans="1:9" x14ac:dyDescent="0.2">
      <c r="A474" s="42">
        <v>45438</v>
      </c>
      <c r="B474" s="41">
        <v>1967.51</v>
      </c>
      <c r="C474" s="41">
        <v>43570</v>
      </c>
      <c r="D474" s="41">
        <v>7967</v>
      </c>
      <c r="E474" s="41">
        <v>2186</v>
      </c>
      <c r="F474" s="5">
        <f t="shared" si="28"/>
        <v>1.3894685410071883E-3</v>
      </c>
      <c r="G474" s="5">
        <f t="shared" si="29"/>
        <v>4.861612515042113E-2</v>
      </c>
      <c r="H474" s="5">
        <f t="shared" si="30"/>
        <v>-6.7323276399451348E-3</v>
      </c>
      <c r="I474" s="5">
        <f t="shared" si="31"/>
        <v>0</v>
      </c>
    </row>
    <row r="475" spans="1:9" x14ac:dyDescent="0.2">
      <c r="A475" s="42">
        <v>45435</v>
      </c>
      <c r="B475" s="41">
        <v>1964.78</v>
      </c>
      <c r="C475" s="41">
        <v>41550</v>
      </c>
      <c r="D475" s="41">
        <v>8021</v>
      </c>
      <c r="E475" s="41">
        <v>2186</v>
      </c>
      <c r="F475" s="5">
        <f t="shared" si="28"/>
        <v>-1.8137018314832165E-3</v>
      </c>
      <c r="G475" s="5">
        <f t="shared" si="29"/>
        <v>-1.189060642092743E-2</v>
      </c>
      <c r="H475" s="5">
        <f t="shared" si="30"/>
        <v>-4.5917101017621809E-3</v>
      </c>
      <c r="I475" s="5">
        <f t="shared" si="31"/>
        <v>0</v>
      </c>
    </row>
    <row r="476" spans="1:9" x14ac:dyDescent="0.2">
      <c r="A476" s="42">
        <v>45434</v>
      </c>
      <c r="B476" s="41">
        <v>1968.35</v>
      </c>
      <c r="C476" s="41">
        <v>42050</v>
      </c>
      <c r="D476" s="41">
        <v>8058</v>
      </c>
      <c r="E476" s="41">
        <v>2186</v>
      </c>
      <c r="F476" s="5">
        <f t="shared" si="28"/>
        <v>-3.8059184055631023E-3</v>
      </c>
      <c r="G476" s="5">
        <f t="shared" si="29"/>
        <v>-1.0588235294117676E-2</v>
      </c>
      <c r="H476" s="5">
        <f t="shared" si="30"/>
        <v>7.3759219902487239E-3</v>
      </c>
      <c r="I476" s="5">
        <f t="shared" si="31"/>
        <v>-1.752808988764043E-2</v>
      </c>
    </row>
    <row r="477" spans="1:9" x14ac:dyDescent="0.2">
      <c r="A477" s="42">
        <v>45433</v>
      </c>
      <c r="B477" s="41">
        <v>1975.87</v>
      </c>
      <c r="C477" s="41">
        <v>42500</v>
      </c>
      <c r="D477" s="41">
        <v>7999</v>
      </c>
      <c r="E477" s="41">
        <v>2225</v>
      </c>
      <c r="F477" s="5">
        <f t="shared" si="28"/>
        <v>-6.3465242470417405E-3</v>
      </c>
      <c r="G477" s="5">
        <f t="shared" si="29"/>
        <v>-1.3234269793359621E-2</v>
      </c>
      <c r="H477" s="5">
        <f t="shared" si="30"/>
        <v>5.6575308021120652E-3</v>
      </c>
      <c r="I477" s="5">
        <f t="shared" si="31"/>
        <v>8.9968511021143449E-4</v>
      </c>
    </row>
    <row r="478" spans="1:9" x14ac:dyDescent="0.2">
      <c r="A478" s="42">
        <v>45432</v>
      </c>
      <c r="B478" s="41">
        <v>1988.49</v>
      </c>
      <c r="C478" s="41">
        <v>43070</v>
      </c>
      <c r="D478" s="41">
        <v>7954</v>
      </c>
      <c r="E478" s="41">
        <v>2223</v>
      </c>
      <c r="F478" s="5">
        <f t="shared" si="28"/>
        <v>9.6728003899584358E-3</v>
      </c>
      <c r="G478" s="5">
        <f t="shared" si="29"/>
        <v>-2.778420930770964E-3</v>
      </c>
      <c r="H478" s="5">
        <f t="shared" si="30"/>
        <v>1.467023855083549E-2</v>
      </c>
      <c r="I478" s="5">
        <f t="shared" si="31"/>
        <v>-8.9887640449437534E-4</v>
      </c>
    </row>
    <row r="479" spans="1:9" x14ac:dyDescent="0.2">
      <c r="A479" s="42">
        <v>45431</v>
      </c>
      <c r="B479" s="41">
        <v>1969.44</v>
      </c>
      <c r="C479" s="41">
        <v>43190</v>
      </c>
      <c r="D479" s="41">
        <v>7839</v>
      </c>
      <c r="E479" s="41">
        <v>2225</v>
      </c>
      <c r="F479" s="5">
        <f t="shared" si="28"/>
        <v>-1.380070105157738E-2</v>
      </c>
      <c r="G479" s="5">
        <f t="shared" si="29"/>
        <v>-1.6621129326047313E-2</v>
      </c>
      <c r="H479" s="5">
        <f t="shared" si="30"/>
        <v>-1.8775816748028529E-2</v>
      </c>
      <c r="I479" s="5">
        <f t="shared" si="31"/>
        <v>0</v>
      </c>
    </row>
    <row r="480" spans="1:9" x14ac:dyDescent="0.2">
      <c r="A480" s="42">
        <v>45428</v>
      </c>
      <c r="B480" s="41">
        <v>1997</v>
      </c>
      <c r="C480" s="41">
        <v>43920</v>
      </c>
      <c r="D480" s="41">
        <v>7989</v>
      </c>
      <c r="E480" s="41">
        <v>2225</v>
      </c>
      <c r="F480" s="5">
        <f t="shared" si="28"/>
        <v>-1.7886562701328268E-2</v>
      </c>
      <c r="G480" s="5">
        <f t="shared" si="29"/>
        <v>-3.3663366336633693E-2</v>
      </c>
      <c r="H480" s="5">
        <f t="shared" si="30"/>
        <v>-1.3216403162055301E-2</v>
      </c>
      <c r="I480" s="5">
        <f t="shared" si="31"/>
        <v>0</v>
      </c>
    </row>
    <row r="481" spans="1:9" x14ac:dyDescent="0.2">
      <c r="A481" s="42">
        <v>45427</v>
      </c>
      <c r="B481" s="41">
        <v>2033.37</v>
      </c>
      <c r="C481" s="41">
        <v>45450</v>
      </c>
      <c r="D481" s="41">
        <v>8096</v>
      </c>
      <c r="E481" s="41">
        <v>2225</v>
      </c>
      <c r="F481" s="5">
        <f t="shared" si="28"/>
        <v>1.0929768850158617E-3</v>
      </c>
      <c r="G481" s="5">
        <f t="shared" si="29"/>
        <v>7.0906270773321012E-3</v>
      </c>
      <c r="H481" s="5">
        <f t="shared" si="30"/>
        <v>-7.356547327121099E-3</v>
      </c>
      <c r="I481" s="5">
        <f t="shared" si="31"/>
        <v>2.2522522522523403E-3</v>
      </c>
    </row>
    <row r="482" spans="1:9" x14ac:dyDescent="0.2">
      <c r="A482" s="42">
        <v>45424</v>
      </c>
      <c r="B482" s="41">
        <v>2031.15</v>
      </c>
      <c r="C482" s="41">
        <v>45130</v>
      </c>
      <c r="D482" s="41">
        <v>8156</v>
      </c>
      <c r="E482" s="41">
        <v>2220</v>
      </c>
      <c r="F482" s="5">
        <f t="shared" si="28"/>
        <v>3.6069866837957765E-3</v>
      </c>
      <c r="G482" s="5">
        <f t="shared" si="29"/>
        <v>1.9982238010656239E-3</v>
      </c>
      <c r="H482" s="5">
        <f t="shared" si="30"/>
        <v>-1.3068731848983495E-2</v>
      </c>
      <c r="I482" s="5">
        <f t="shared" si="31"/>
        <v>-4.1036717062635009E-2</v>
      </c>
    </row>
    <row r="483" spans="1:9" x14ac:dyDescent="0.2">
      <c r="A483" s="42">
        <v>45421</v>
      </c>
      <c r="B483" s="41">
        <v>2023.85</v>
      </c>
      <c r="C483" s="41">
        <v>45040</v>
      </c>
      <c r="D483" s="41">
        <v>8264</v>
      </c>
      <c r="E483" s="41">
        <v>2315</v>
      </c>
      <c r="F483" s="5">
        <f t="shared" si="28"/>
        <v>8.4760120388271964E-3</v>
      </c>
      <c r="G483" s="5">
        <f t="shared" si="29"/>
        <v>6.4804469273742615E-3</v>
      </c>
      <c r="H483" s="5">
        <f t="shared" si="30"/>
        <v>6.054001695119382E-4</v>
      </c>
      <c r="I483" s="5">
        <f t="shared" si="31"/>
        <v>0</v>
      </c>
    </row>
    <row r="484" spans="1:9" x14ac:dyDescent="0.2">
      <c r="A484" s="42">
        <v>45420</v>
      </c>
      <c r="B484" s="41">
        <v>2006.84</v>
      </c>
      <c r="C484" s="41">
        <v>44750</v>
      </c>
      <c r="D484" s="41">
        <v>8259</v>
      </c>
      <c r="E484" s="41">
        <v>2315</v>
      </c>
      <c r="F484" s="5">
        <f t="shared" si="28"/>
        <v>5.0079125017528092E-3</v>
      </c>
      <c r="G484" s="5">
        <f t="shared" si="29"/>
        <v>-1.1160714285713969E-3</v>
      </c>
      <c r="H484" s="5">
        <f t="shared" si="30"/>
        <v>2.2913054248204112E-2</v>
      </c>
      <c r="I484" s="5">
        <f t="shared" si="31"/>
        <v>0</v>
      </c>
    </row>
    <row r="485" spans="1:9" x14ac:dyDescent="0.2">
      <c r="A485" s="42">
        <v>45419</v>
      </c>
      <c r="B485" s="41">
        <v>1996.84</v>
      </c>
      <c r="C485" s="41">
        <v>44800</v>
      </c>
      <c r="D485" s="41">
        <v>8074</v>
      </c>
      <c r="E485" s="41">
        <v>2315</v>
      </c>
      <c r="F485" s="5">
        <f t="shared" si="28"/>
        <v>1.5258054839513369E-2</v>
      </c>
      <c r="G485" s="5">
        <f t="shared" si="29"/>
        <v>1.4952424105119988E-2</v>
      </c>
      <c r="H485" s="5">
        <f t="shared" si="30"/>
        <v>4.7287207565953615E-3</v>
      </c>
      <c r="I485" s="5">
        <f t="shared" si="31"/>
        <v>0</v>
      </c>
    </row>
    <row r="486" spans="1:9" x14ac:dyDescent="0.2">
      <c r="A486" s="42">
        <v>45418</v>
      </c>
      <c r="B486" s="41">
        <v>1966.83</v>
      </c>
      <c r="C486" s="41">
        <v>44140</v>
      </c>
      <c r="D486" s="41">
        <v>8036</v>
      </c>
      <c r="E486" s="41">
        <v>2315</v>
      </c>
      <c r="F486" s="5">
        <f t="shared" si="28"/>
        <v>-2.6874496103198586E-3</v>
      </c>
      <c r="G486" s="5">
        <f t="shared" si="29"/>
        <v>-2.0199778024417303E-2</v>
      </c>
      <c r="H486" s="5">
        <f t="shared" si="30"/>
        <v>-2.3928094254828114E-2</v>
      </c>
      <c r="I486" s="5">
        <f t="shared" si="31"/>
        <v>0</v>
      </c>
    </row>
    <row r="487" spans="1:9" x14ac:dyDescent="0.2">
      <c r="A487" s="42">
        <v>45417</v>
      </c>
      <c r="B487" s="41">
        <v>1972.13</v>
      </c>
      <c r="C487" s="41">
        <v>45050</v>
      </c>
      <c r="D487" s="41">
        <v>8233</v>
      </c>
      <c r="E487" s="41">
        <v>2315</v>
      </c>
      <c r="F487" s="5">
        <f t="shared" si="28"/>
        <v>5.0862574217058754E-3</v>
      </c>
      <c r="G487" s="5">
        <f t="shared" si="29"/>
        <v>-1.1411016019310938E-2</v>
      </c>
      <c r="H487" s="5">
        <f t="shared" si="30"/>
        <v>-4.5943658566074408E-3</v>
      </c>
      <c r="I487" s="5">
        <f t="shared" si="31"/>
        <v>0</v>
      </c>
    </row>
    <row r="488" spans="1:9" x14ac:dyDescent="0.2">
      <c r="A488" s="42">
        <v>45414</v>
      </c>
      <c r="B488" s="41">
        <v>1962.15</v>
      </c>
      <c r="C488" s="41">
        <v>45570</v>
      </c>
      <c r="D488" s="41">
        <v>8271</v>
      </c>
      <c r="E488" s="41">
        <v>2315</v>
      </c>
      <c r="F488" s="5">
        <f t="shared" si="28"/>
        <v>3.4519791347038531E-3</v>
      </c>
      <c r="G488" s="5">
        <f t="shared" si="29"/>
        <v>0</v>
      </c>
      <c r="H488" s="5">
        <f t="shared" si="30"/>
        <v>-2.9111398051414494E-2</v>
      </c>
      <c r="I488" s="5">
        <f t="shared" si="31"/>
        <v>0</v>
      </c>
    </row>
    <row r="489" spans="1:9" x14ac:dyDescent="0.2">
      <c r="A489" s="42">
        <v>45413</v>
      </c>
      <c r="B489" s="41">
        <v>1955.4</v>
      </c>
      <c r="C489" s="41">
        <v>45570</v>
      </c>
      <c r="D489" s="41">
        <v>8519</v>
      </c>
      <c r="E489" s="41">
        <v>2315</v>
      </c>
      <c r="F489" s="5">
        <f t="shared" si="28"/>
        <v>-7.7788433727603579E-3</v>
      </c>
      <c r="G489" s="5">
        <f t="shared" si="29"/>
        <v>1.9788918205805306E-3</v>
      </c>
      <c r="H489" s="5">
        <f t="shared" si="30"/>
        <v>-1.6054516054516021E-2</v>
      </c>
      <c r="I489" s="5">
        <f t="shared" si="31"/>
        <v>0</v>
      </c>
    </row>
    <row r="490" spans="1:9" x14ac:dyDescent="0.2">
      <c r="A490" s="42">
        <v>45412</v>
      </c>
      <c r="B490" s="41">
        <v>1970.73</v>
      </c>
      <c r="C490" s="41">
        <v>45480</v>
      </c>
      <c r="D490" s="41">
        <v>8658</v>
      </c>
      <c r="E490" s="41">
        <v>2315</v>
      </c>
      <c r="F490" s="5">
        <f t="shared" si="28"/>
        <v>1.1481451066537973E-2</v>
      </c>
      <c r="G490" s="5">
        <f t="shared" si="29"/>
        <v>-2.6315789473684292E-3</v>
      </c>
      <c r="H490" s="5">
        <f t="shared" si="30"/>
        <v>1.1551345731786178E-4</v>
      </c>
      <c r="I490" s="5">
        <f t="shared" si="31"/>
        <v>0</v>
      </c>
    </row>
    <row r="491" spans="1:9" x14ac:dyDescent="0.2">
      <c r="A491" s="42">
        <v>45407</v>
      </c>
      <c r="B491" s="41">
        <v>1948.36</v>
      </c>
      <c r="C491" s="41">
        <v>45600</v>
      </c>
      <c r="D491" s="41">
        <v>8657</v>
      </c>
      <c r="E491" s="41">
        <v>2315</v>
      </c>
      <c r="F491" s="5">
        <f t="shared" si="28"/>
        <v>-7.0684884035001616E-3</v>
      </c>
      <c r="G491" s="5">
        <f t="shared" si="29"/>
        <v>-1.5118790496760237E-2</v>
      </c>
      <c r="H491" s="5">
        <f t="shared" si="30"/>
        <v>2.4497041420118437E-2</v>
      </c>
      <c r="I491" s="5">
        <f t="shared" si="31"/>
        <v>0</v>
      </c>
    </row>
    <row r="492" spans="1:9" x14ac:dyDescent="0.2">
      <c r="A492" s="42">
        <v>45406</v>
      </c>
      <c r="B492" s="41">
        <v>1962.23</v>
      </c>
      <c r="C492" s="41">
        <v>46300</v>
      </c>
      <c r="D492" s="41">
        <v>8450</v>
      </c>
      <c r="E492" s="41">
        <v>2315</v>
      </c>
      <c r="F492" s="5">
        <f t="shared" si="28"/>
        <v>2.4880451220010702E-3</v>
      </c>
      <c r="G492" s="5">
        <f t="shared" si="29"/>
        <v>2.6607538802660757E-2</v>
      </c>
      <c r="H492" s="5">
        <f t="shared" si="30"/>
        <v>-5.1801271485755196E-3</v>
      </c>
      <c r="I492" s="5">
        <f t="shared" si="31"/>
        <v>0</v>
      </c>
    </row>
    <row r="493" spans="1:9" x14ac:dyDescent="0.2">
      <c r="A493" s="42">
        <v>45403</v>
      </c>
      <c r="B493" s="41">
        <v>1957.36</v>
      </c>
      <c r="C493" s="41">
        <v>45100</v>
      </c>
      <c r="D493" s="41">
        <v>8494</v>
      </c>
      <c r="E493" s="41">
        <v>2315</v>
      </c>
      <c r="F493" s="5">
        <f t="shared" si="28"/>
        <v>1.2089059866182694E-2</v>
      </c>
      <c r="G493" s="5">
        <f t="shared" si="29"/>
        <v>4.5191193511008088E-2</v>
      </c>
      <c r="H493" s="5">
        <f t="shared" si="30"/>
        <v>-4.45382090951707E-3</v>
      </c>
      <c r="I493" s="5">
        <f t="shared" si="31"/>
        <v>0</v>
      </c>
    </row>
    <row r="494" spans="1:9" x14ac:dyDescent="0.2">
      <c r="A494" s="42">
        <v>45400</v>
      </c>
      <c r="B494" s="41">
        <v>1933.98</v>
      </c>
      <c r="C494" s="41">
        <v>43150</v>
      </c>
      <c r="D494" s="41">
        <v>8532</v>
      </c>
      <c r="E494" s="41">
        <v>2315</v>
      </c>
      <c r="F494" s="5">
        <f t="shared" si="28"/>
        <v>1.1146779877238888E-2</v>
      </c>
      <c r="G494" s="5">
        <f t="shared" si="29"/>
        <v>-8.2739600091933374E-3</v>
      </c>
      <c r="H494" s="5">
        <f t="shared" si="30"/>
        <v>-7.7916036748458817E-3</v>
      </c>
      <c r="I494" s="5">
        <f t="shared" si="31"/>
        <v>0</v>
      </c>
    </row>
    <row r="495" spans="1:9" x14ac:dyDescent="0.2">
      <c r="A495" s="42">
        <v>45399</v>
      </c>
      <c r="B495" s="41">
        <v>1912.66</v>
      </c>
      <c r="C495" s="41">
        <v>43510</v>
      </c>
      <c r="D495" s="41">
        <v>8599</v>
      </c>
      <c r="E495" s="41">
        <v>2315</v>
      </c>
      <c r="F495" s="5">
        <f t="shared" si="28"/>
        <v>-1.0153807936737924E-2</v>
      </c>
      <c r="G495" s="5">
        <f t="shared" si="29"/>
        <v>-1.5833521827640751E-2</v>
      </c>
      <c r="H495" s="5">
        <f t="shared" si="30"/>
        <v>0</v>
      </c>
      <c r="I495" s="5">
        <f t="shared" si="31"/>
        <v>0</v>
      </c>
    </row>
    <row r="496" spans="1:9" x14ac:dyDescent="0.2">
      <c r="A496" s="42">
        <v>45398</v>
      </c>
      <c r="B496" s="41">
        <v>1932.28</v>
      </c>
      <c r="C496" s="41">
        <v>44210</v>
      </c>
      <c r="D496" s="41">
        <v>8599</v>
      </c>
      <c r="E496" s="41">
        <v>2315</v>
      </c>
      <c r="F496" s="5">
        <f t="shared" si="28"/>
        <v>-3.2960741126649706E-3</v>
      </c>
      <c r="G496" s="5">
        <f t="shared" si="29"/>
        <v>-1.3169642857142838E-2</v>
      </c>
      <c r="H496" s="5">
        <f t="shared" si="30"/>
        <v>-1.3536767236434599E-2</v>
      </c>
      <c r="I496" s="5">
        <f t="shared" si="31"/>
        <v>0</v>
      </c>
    </row>
    <row r="497" spans="1:9" x14ac:dyDescent="0.2">
      <c r="A497" s="42">
        <v>45397</v>
      </c>
      <c r="B497" s="41">
        <v>1938.67</v>
      </c>
      <c r="C497" s="41">
        <v>44800</v>
      </c>
      <c r="D497" s="41">
        <v>8717</v>
      </c>
      <c r="E497" s="41">
        <v>2315</v>
      </c>
      <c r="F497" s="5">
        <f t="shared" si="28"/>
        <v>-1.0397950016334478E-2</v>
      </c>
      <c r="G497" s="5">
        <f t="shared" si="29"/>
        <v>-9.5069644041565482E-3</v>
      </c>
      <c r="H497" s="5">
        <f t="shared" si="30"/>
        <v>-5.7032052013231693E-3</v>
      </c>
      <c r="I497" s="5">
        <f t="shared" si="31"/>
        <v>0</v>
      </c>
    </row>
    <row r="498" spans="1:9" x14ac:dyDescent="0.2">
      <c r="A498" s="42">
        <v>45396</v>
      </c>
      <c r="B498" s="41">
        <v>1959.04</v>
      </c>
      <c r="C498" s="41">
        <v>45230</v>
      </c>
      <c r="D498" s="41">
        <v>8767</v>
      </c>
      <c r="E498" s="41">
        <v>2315</v>
      </c>
      <c r="F498" s="5">
        <f t="shared" si="28"/>
        <v>3.1132230050794352E-3</v>
      </c>
      <c r="G498" s="5">
        <f t="shared" si="29"/>
        <v>2.211410880141873E-4</v>
      </c>
      <c r="H498" s="5">
        <f t="shared" si="30"/>
        <v>-3.7500000000000311E-3</v>
      </c>
      <c r="I498" s="5">
        <f t="shared" si="31"/>
        <v>0</v>
      </c>
    </row>
    <row r="499" spans="1:9" x14ac:dyDescent="0.2">
      <c r="A499" s="42">
        <v>45393</v>
      </c>
      <c r="B499" s="41">
        <v>1952.96</v>
      </c>
      <c r="C499" s="41">
        <v>45220</v>
      </c>
      <c r="D499" s="41">
        <v>8800</v>
      </c>
      <c r="E499" s="41">
        <v>2315</v>
      </c>
      <c r="F499" s="5">
        <f t="shared" si="28"/>
        <v>-1.6423495520178077E-2</v>
      </c>
      <c r="G499" s="5">
        <f t="shared" si="29"/>
        <v>-7.6804915514593342E-3</v>
      </c>
      <c r="H499" s="5">
        <f t="shared" si="30"/>
        <v>-6.7720090293453827E-3</v>
      </c>
      <c r="I499" s="5">
        <f t="shared" si="31"/>
        <v>0</v>
      </c>
    </row>
    <row r="500" spans="1:9" x14ac:dyDescent="0.2">
      <c r="A500" s="42">
        <v>45392</v>
      </c>
      <c r="B500" s="41">
        <v>1985.57</v>
      </c>
      <c r="C500" s="41">
        <v>45570</v>
      </c>
      <c r="D500" s="41">
        <v>8860</v>
      </c>
      <c r="E500" s="41">
        <v>2315</v>
      </c>
      <c r="F500" s="5">
        <f t="shared" si="28"/>
        <v>-9.5475156007602813E-3</v>
      </c>
      <c r="G500" s="5">
        <f t="shared" si="29"/>
        <v>-1.1711125569290881E-2</v>
      </c>
      <c r="H500" s="5">
        <f t="shared" si="30"/>
        <v>-2.9259509340535672E-3</v>
      </c>
      <c r="I500" s="5">
        <f t="shared" si="31"/>
        <v>0</v>
      </c>
    </row>
    <row r="501" spans="1:9" x14ac:dyDescent="0.2">
      <c r="A501" s="42">
        <v>45391</v>
      </c>
      <c r="B501" s="41">
        <v>2004.71</v>
      </c>
      <c r="C501" s="41">
        <v>46110</v>
      </c>
      <c r="D501" s="41">
        <v>8886</v>
      </c>
      <c r="E501" s="41">
        <v>2315</v>
      </c>
      <c r="F501" s="5">
        <f t="shared" si="28"/>
        <v>-1.0376506247130601E-2</v>
      </c>
      <c r="G501" s="5">
        <f t="shared" si="29"/>
        <v>-6.6781559672555169E-3</v>
      </c>
      <c r="H501" s="5">
        <f t="shared" si="30"/>
        <v>1.1254924029269198E-4</v>
      </c>
      <c r="I501" s="5">
        <f t="shared" si="31"/>
        <v>-2.3618726275832946E-2</v>
      </c>
    </row>
    <row r="502" spans="1:9" x14ac:dyDescent="0.2">
      <c r="A502" s="42">
        <v>45390</v>
      </c>
      <c r="B502" s="41">
        <v>2025.73</v>
      </c>
      <c r="C502" s="41">
        <v>46420</v>
      </c>
      <c r="D502" s="41">
        <v>8885</v>
      </c>
      <c r="E502" s="41">
        <v>2371</v>
      </c>
      <c r="F502" s="5">
        <f t="shared" si="28"/>
        <v>1.3057480921375042E-2</v>
      </c>
      <c r="G502" s="5">
        <f t="shared" si="29"/>
        <v>1.7313171159325069E-2</v>
      </c>
      <c r="H502" s="5">
        <f t="shared" si="30"/>
        <v>2.1381768019312464E-2</v>
      </c>
      <c r="I502" s="5">
        <f t="shared" si="31"/>
        <v>0</v>
      </c>
    </row>
    <row r="503" spans="1:9" x14ac:dyDescent="0.2">
      <c r="A503" s="42">
        <v>45389</v>
      </c>
      <c r="B503" s="41">
        <v>1999.62</v>
      </c>
      <c r="C503" s="41">
        <v>45630</v>
      </c>
      <c r="D503" s="41">
        <v>8699</v>
      </c>
      <c r="E503" s="41">
        <v>2371</v>
      </c>
      <c r="F503" s="5">
        <f t="shared" si="28"/>
        <v>1.214808515807686E-2</v>
      </c>
      <c r="G503" s="5">
        <f t="shared" si="29"/>
        <v>2.8571428571428914E-3</v>
      </c>
      <c r="H503" s="5">
        <f t="shared" si="30"/>
        <v>7.1784184323260281E-3</v>
      </c>
      <c r="I503" s="5">
        <f t="shared" si="31"/>
        <v>0</v>
      </c>
    </row>
    <row r="504" spans="1:9" x14ac:dyDescent="0.2">
      <c r="A504" s="42">
        <v>45386</v>
      </c>
      <c r="B504" s="41">
        <v>1975.62</v>
      </c>
      <c r="C504" s="41">
        <v>45500</v>
      </c>
      <c r="D504" s="41">
        <v>8637</v>
      </c>
      <c r="E504" s="41">
        <v>2371</v>
      </c>
      <c r="F504" s="5">
        <f t="shared" si="28"/>
        <v>-1.5851034152951082E-2</v>
      </c>
      <c r="G504" s="5">
        <f t="shared" si="29"/>
        <v>-1.6216216216216162E-2</v>
      </c>
      <c r="H504" s="5">
        <f t="shared" si="30"/>
        <v>9.4670406732118018E-3</v>
      </c>
      <c r="I504" s="5">
        <f t="shared" si="31"/>
        <v>0</v>
      </c>
    </row>
    <row r="505" spans="1:9" x14ac:dyDescent="0.2">
      <c r="A505" s="42">
        <v>45385</v>
      </c>
      <c r="B505" s="41">
        <v>2007.44</v>
      </c>
      <c r="C505" s="41">
        <v>46250</v>
      </c>
      <c r="D505" s="41">
        <v>8556</v>
      </c>
      <c r="E505" s="41">
        <v>2371</v>
      </c>
      <c r="F505" s="5">
        <f t="shared" si="28"/>
        <v>1.4448347158912966E-4</v>
      </c>
      <c r="G505" s="5">
        <f t="shared" si="29"/>
        <v>-2.0127118644067798E-2</v>
      </c>
      <c r="H505" s="5">
        <f t="shared" si="30"/>
        <v>-2.5647003963628068E-3</v>
      </c>
      <c r="I505" s="5">
        <f t="shared" si="31"/>
        <v>-1.2905911740216491E-2</v>
      </c>
    </row>
    <row r="506" spans="1:9" x14ac:dyDescent="0.2">
      <c r="A506" s="42">
        <v>45384</v>
      </c>
      <c r="B506" s="41">
        <v>2007.15</v>
      </c>
      <c r="C506" s="41">
        <v>47200</v>
      </c>
      <c r="D506" s="41">
        <v>8578</v>
      </c>
      <c r="E506" s="41">
        <v>2402</v>
      </c>
      <c r="F506" s="5">
        <f t="shared" si="28"/>
        <v>-1.5311328715241546E-2</v>
      </c>
      <c r="G506" s="5">
        <f t="shared" si="29"/>
        <v>-2.0746887966805017E-2</v>
      </c>
      <c r="H506" s="5">
        <f t="shared" si="30"/>
        <v>-1.1523392486748052E-2</v>
      </c>
      <c r="I506" s="5">
        <f t="shared" si="31"/>
        <v>8.3333333333324155E-4</v>
      </c>
    </row>
    <row r="507" spans="1:9" x14ac:dyDescent="0.2">
      <c r="A507" s="42">
        <v>45383</v>
      </c>
      <c r="B507" s="41">
        <v>2038.36</v>
      </c>
      <c r="C507" s="41">
        <v>48200</v>
      </c>
      <c r="D507" s="41">
        <v>8678</v>
      </c>
      <c r="E507" s="41">
        <v>2400</v>
      </c>
      <c r="F507" s="5">
        <f t="shared" si="28"/>
        <v>-2.5396980744293307E-3</v>
      </c>
      <c r="G507" s="5">
        <f t="shared" si="29"/>
        <v>0</v>
      </c>
      <c r="H507" s="5">
        <f t="shared" si="30"/>
        <v>-1.921338155515373E-2</v>
      </c>
      <c r="I507" s="5">
        <f t="shared" si="31"/>
        <v>0</v>
      </c>
    </row>
    <row r="508" spans="1:9" x14ac:dyDescent="0.2">
      <c r="A508" s="42">
        <v>45382</v>
      </c>
      <c r="B508" s="41">
        <v>2043.55</v>
      </c>
      <c r="C508" s="41">
        <v>48200</v>
      </c>
      <c r="D508" s="41">
        <v>8848</v>
      </c>
      <c r="E508" s="41">
        <v>2400</v>
      </c>
      <c r="F508" s="5">
        <f t="shared" si="28"/>
        <v>5.0114096864304347E-3</v>
      </c>
      <c r="G508" s="5">
        <f t="shared" si="29"/>
        <v>2.1186440677966045E-2</v>
      </c>
      <c r="H508" s="5">
        <f t="shared" si="30"/>
        <v>9.009009009008917E-3</v>
      </c>
      <c r="I508" s="5">
        <f t="shared" si="31"/>
        <v>0</v>
      </c>
    </row>
    <row r="509" spans="1:9" x14ac:dyDescent="0.2">
      <c r="A509" s="42">
        <v>45379</v>
      </c>
      <c r="B509" s="41">
        <v>2033.36</v>
      </c>
      <c r="C509" s="41">
        <v>47200</v>
      </c>
      <c r="D509" s="41">
        <v>8769</v>
      </c>
      <c r="E509" s="41">
        <v>2400</v>
      </c>
      <c r="F509" s="5">
        <f t="shared" si="28"/>
        <v>-4.9646819408466492E-4</v>
      </c>
      <c r="G509" s="5">
        <f t="shared" si="29"/>
        <v>-5.6878028228354305E-3</v>
      </c>
      <c r="H509" s="5">
        <f t="shared" si="30"/>
        <v>2.8501055594651659E-2</v>
      </c>
      <c r="I509" s="5">
        <f t="shared" si="31"/>
        <v>-4.1649312786340431E-4</v>
      </c>
    </row>
    <row r="510" spans="1:9" x14ac:dyDescent="0.2">
      <c r="A510" s="42">
        <v>45378</v>
      </c>
      <c r="B510" s="41">
        <v>2034.37</v>
      </c>
      <c r="C510" s="41">
        <v>47470</v>
      </c>
      <c r="D510" s="41">
        <v>8526</v>
      </c>
      <c r="E510" s="41">
        <v>2401</v>
      </c>
      <c r="F510" s="5">
        <f t="shared" si="28"/>
        <v>-3.1604943111103179E-3</v>
      </c>
      <c r="G510" s="5">
        <f t="shared" si="29"/>
        <v>0</v>
      </c>
      <c r="H510" s="5">
        <f t="shared" si="30"/>
        <v>-2.1067415730336991E-3</v>
      </c>
      <c r="I510" s="5">
        <f t="shared" si="31"/>
        <v>-8.261049153242439E-3</v>
      </c>
    </row>
    <row r="511" spans="1:9" x14ac:dyDescent="0.2">
      <c r="A511" s="42">
        <v>45377</v>
      </c>
      <c r="B511" s="41">
        <v>2040.82</v>
      </c>
      <c r="C511" s="41">
        <v>47470</v>
      </c>
      <c r="D511" s="41">
        <v>8544</v>
      </c>
      <c r="E511" s="41">
        <v>2421</v>
      </c>
      <c r="F511" s="5">
        <f t="shared" si="28"/>
        <v>1.0988040694994705E-3</v>
      </c>
      <c r="G511" s="5">
        <f t="shared" si="29"/>
        <v>-1.9012192601777222E-2</v>
      </c>
      <c r="H511" s="5">
        <f t="shared" si="30"/>
        <v>1.9936671748563839E-3</v>
      </c>
      <c r="I511" s="5">
        <f t="shared" si="31"/>
        <v>8.2678792889634423E-4</v>
      </c>
    </row>
    <row r="512" spans="1:9" x14ac:dyDescent="0.2">
      <c r="A512" s="42">
        <v>45376</v>
      </c>
      <c r="B512" s="41">
        <v>2038.58</v>
      </c>
      <c r="C512" s="41">
        <v>48390</v>
      </c>
      <c r="D512" s="41">
        <v>8527</v>
      </c>
      <c r="E512" s="41">
        <v>2419</v>
      </c>
      <c r="F512" s="5">
        <f t="shared" si="28"/>
        <v>7.0741900743975794E-3</v>
      </c>
      <c r="G512" s="5">
        <f t="shared" si="29"/>
        <v>-3.9110745162618255E-3</v>
      </c>
      <c r="H512" s="5">
        <f t="shared" si="30"/>
        <v>-1.1726078799245698E-4</v>
      </c>
      <c r="I512" s="5">
        <f t="shared" si="31"/>
        <v>4.5681063122924304E-3</v>
      </c>
    </row>
    <row r="513" spans="1:9" x14ac:dyDescent="0.2">
      <c r="A513" s="42">
        <v>45372</v>
      </c>
      <c r="B513" s="41">
        <v>2024.26</v>
      </c>
      <c r="C513" s="41">
        <v>48580</v>
      </c>
      <c r="D513" s="41">
        <v>8528</v>
      </c>
      <c r="E513" s="41">
        <v>2408</v>
      </c>
      <c r="F513" s="5">
        <f t="shared" si="28"/>
        <v>7.8617056764602733E-3</v>
      </c>
      <c r="G513" s="5">
        <f t="shared" si="29"/>
        <v>-8.2270670505968369E-4</v>
      </c>
      <c r="H513" s="5">
        <f t="shared" si="30"/>
        <v>1.0426540284360186E-2</v>
      </c>
      <c r="I513" s="5">
        <f t="shared" si="31"/>
        <v>3.3333333333334103E-3</v>
      </c>
    </row>
    <row r="514" spans="1:9" x14ac:dyDescent="0.2">
      <c r="A514" s="42">
        <v>45371</v>
      </c>
      <c r="B514" s="41">
        <v>2008.47</v>
      </c>
      <c r="C514" s="41">
        <v>48620</v>
      </c>
      <c r="D514" s="41">
        <v>8440</v>
      </c>
      <c r="E514" s="41">
        <v>2400</v>
      </c>
      <c r="F514" s="5">
        <f t="shared" si="28"/>
        <v>1.374391795037444E-2</v>
      </c>
      <c r="G514" s="5">
        <f t="shared" si="29"/>
        <v>5.3763440860215006E-3</v>
      </c>
      <c r="H514" s="5">
        <f t="shared" si="30"/>
        <v>-1.3788268286982985E-2</v>
      </c>
      <c r="I514" s="5">
        <f t="shared" si="31"/>
        <v>0</v>
      </c>
    </row>
    <row r="515" spans="1:9" x14ac:dyDescent="0.2">
      <c r="A515" s="42">
        <v>45370</v>
      </c>
      <c r="B515" s="41">
        <v>1981.24</v>
      </c>
      <c r="C515" s="41">
        <v>48360</v>
      </c>
      <c r="D515" s="41">
        <v>8558</v>
      </c>
      <c r="E515" s="41">
        <v>2400</v>
      </c>
      <c r="F515" s="5">
        <f t="shared" ref="F515:F578" si="32">B515/B516-1</f>
        <v>5.746426250812231E-3</v>
      </c>
      <c r="G515" s="5">
        <f t="shared" ref="G515:G578" si="33">C515/C516-1</f>
        <v>-1.0030706243602916E-2</v>
      </c>
      <c r="H515" s="5">
        <f t="shared" ref="H515:H578" si="34">D515/D516-1</f>
        <v>1.6389548693586775E-2</v>
      </c>
      <c r="I515" s="5">
        <f t="shared" ref="I515:I578" si="35">E515/E516-1</f>
        <v>0</v>
      </c>
    </row>
    <row r="516" spans="1:9" x14ac:dyDescent="0.2">
      <c r="A516" s="42">
        <v>45369</v>
      </c>
      <c r="B516" s="41">
        <v>1969.92</v>
      </c>
      <c r="C516" s="41">
        <v>48850</v>
      </c>
      <c r="D516" s="41">
        <v>8420</v>
      </c>
      <c r="E516" s="41">
        <v>2400</v>
      </c>
      <c r="F516" s="5">
        <f t="shared" si="32"/>
        <v>1.2083847102342782E-2</v>
      </c>
      <c r="G516" s="5">
        <f t="shared" si="33"/>
        <v>2.0512820512821328E-3</v>
      </c>
      <c r="H516" s="5">
        <f t="shared" si="34"/>
        <v>1.1877895236955816E-4</v>
      </c>
      <c r="I516" s="5">
        <f t="shared" si="35"/>
        <v>0</v>
      </c>
    </row>
    <row r="517" spans="1:9" x14ac:dyDescent="0.2">
      <c r="A517" s="42">
        <v>45368</v>
      </c>
      <c r="B517" s="41">
        <v>1946.4</v>
      </c>
      <c r="C517" s="41">
        <v>48750</v>
      </c>
      <c r="D517" s="41">
        <v>8419</v>
      </c>
      <c r="E517" s="41">
        <v>2400</v>
      </c>
      <c r="F517" s="5">
        <f t="shared" si="32"/>
        <v>1.3185360241948496E-2</v>
      </c>
      <c r="G517" s="5">
        <f t="shared" si="33"/>
        <v>6.1919504643963563E-3</v>
      </c>
      <c r="H517" s="5">
        <f t="shared" si="34"/>
        <v>-6.9591884878509314E-3</v>
      </c>
      <c r="I517" s="5">
        <f t="shared" si="35"/>
        <v>-1.5990159901599021E-2</v>
      </c>
    </row>
    <row r="518" spans="1:9" x14ac:dyDescent="0.2">
      <c r="A518" s="42">
        <v>45365</v>
      </c>
      <c r="B518" s="41">
        <v>1921.07</v>
      </c>
      <c r="C518" s="41">
        <v>48450</v>
      </c>
      <c r="D518" s="41">
        <v>8478</v>
      </c>
      <c r="E518" s="41">
        <v>2439</v>
      </c>
      <c r="F518" s="5">
        <f t="shared" si="32"/>
        <v>-6.9269619068789146E-3</v>
      </c>
      <c r="G518" s="5">
        <f t="shared" si="33"/>
        <v>1.6539177175936004E-3</v>
      </c>
      <c r="H518" s="5">
        <f t="shared" si="34"/>
        <v>-1.6486104569005677E-3</v>
      </c>
      <c r="I518" s="5">
        <f t="shared" si="35"/>
        <v>0</v>
      </c>
    </row>
    <row r="519" spans="1:9" x14ac:dyDescent="0.2">
      <c r="A519" s="42">
        <v>45364</v>
      </c>
      <c r="B519" s="41">
        <v>1934.47</v>
      </c>
      <c r="C519" s="41">
        <v>48370</v>
      </c>
      <c r="D519" s="41">
        <v>8492</v>
      </c>
      <c r="E519" s="41">
        <v>2439</v>
      </c>
      <c r="F519" s="5">
        <f t="shared" si="32"/>
        <v>3.8785346378999996E-4</v>
      </c>
      <c r="G519" s="5">
        <f t="shared" si="33"/>
        <v>1.6176470588235237E-2</v>
      </c>
      <c r="H519" s="5">
        <f t="shared" si="34"/>
        <v>-9.1015169194865742E-3</v>
      </c>
      <c r="I519" s="5">
        <f t="shared" si="35"/>
        <v>0</v>
      </c>
    </row>
    <row r="520" spans="1:9" x14ac:dyDescent="0.2">
      <c r="A520" s="42">
        <v>45363</v>
      </c>
      <c r="B520" s="41">
        <v>1933.72</v>
      </c>
      <c r="C520" s="41">
        <v>47600</v>
      </c>
      <c r="D520" s="41">
        <v>8570</v>
      </c>
      <c r="E520" s="41">
        <v>2439</v>
      </c>
      <c r="F520" s="5">
        <f t="shared" si="32"/>
        <v>-5.6154352476551761E-3</v>
      </c>
      <c r="G520" s="5">
        <f t="shared" si="33"/>
        <v>-7.0921985815602939E-3</v>
      </c>
      <c r="H520" s="5">
        <f t="shared" si="34"/>
        <v>-6.3768115942028913E-3</v>
      </c>
      <c r="I520" s="5">
        <f t="shared" si="35"/>
        <v>0</v>
      </c>
    </row>
    <row r="521" spans="1:9" x14ac:dyDescent="0.2">
      <c r="A521" s="42">
        <v>45362</v>
      </c>
      <c r="B521" s="41">
        <v>1944.64</v>
      </c>
      <c r="C521" s="41">
        <v>47940</v>
      </c>
      <c r="D521" s="41">
        <v>8625</v>
      </c>
      <c r="E521" s="41">
        <v>2439</v>
      </c>
      <c r="F521" s="5">
        <f t="shared" si="32"/>
        <v>-1.7043471118503017E-3</v>
      </c>
      <c r="G521" s="5">
        <f t="shared" si="33"/>
        <v>1.6108520559559025E-2</v>
      </c>
      <c r="H521" s="5">
        <f t="shared" si="34"/>
        <v>-8.1093605189985762E-4</v>
      </c>
      <c r="I521" s="5">
        <f t="shared" si="35"/>
        <v>8.2068116536726521E-4</v>
      </c>
    </row>
    <row r="522" spans="1:9" x14ac:dyDescent="0.2">
      <c r="A522" s="42">
        <v>45361</v>
      </c>
      <c r="B522" s="41">
        <v>1947.96</v>
      </c>
      <c r="C522" s="41">
        <v>47180</v>
      </c>
      <c r="D522" s="41">
        <v>8632</v>
      </c>
      <c r="E522" s="41">
        <v>2437</v>
      </c>
      <c r="F522" s="5">
        <f t="shared" si="32"/>
        <v>-1.1574156294240301E-2</v>
      </c>
      <c r="G522" s="5">
        <f t="shared" si="33"/>
        <v>-6.7368421052631522E-3</v>
      </c>
      <c r="H522" s="5">
        <f t="shared" si="34"/>
        <v>-2.4269039639431833E-3</v>
      </c>
      <c r="I522" s="5">
        <f t="shared" si="35"/>
        <v>0</v>
      </c>
    </row>
    <row r="523" spans="1:9" x14ac:dyDescent="0.2">
      <c r="A523" s="42">
        <v>45358</v>
      </c>
      <c r="B523" s="41">
        <v>1970.77</v>
      </c>
      <c r="C523" s="41">
        <v>47500</v>
      </c>
      <c r="D523" s="41">
        <v>8653</v>
      </c>
      <c r="E523" s="41">
        <v>2437</v>
      </c>
      <c r="F523" s="5">
        <f t="shared" si="32"/>
        <v>-8.4774755738017404E-3</v>
      </c>
      <c r="G523" s="5">
        <f t="shared" si="33"/>
        <v>-1.5544041450777257E-2</v>
      </c>
      <c r="H523" s="5">
        <f t="shared" si="34"/>
        <v>-1.0180736673530033E-2</v>
      </c>
      <c r="I523" s="5">
        <f t="shared" si="35"/>
        <v>0</v>
      </c>
    </row>
    <row r="524" spans="1:9" x14ac:dyDescent="0.2">
      <c r="A524" s="42">
        <v>45357</v>
      </c>
      <c r="B524" s="41">
        <v>1987.62</v>
      </c>
      <c r="C524" s="41">
        <v>48250</v>
      </c>
      <c r="D524" s="41">
        <v>8742</v>
      </c>
      <c r="E524" s="41">
        <v>2437</v>
      </c>
      <c r="F524" s="5">
        <f t="shared" si="32"/>
        <v>2.2186141729105824E-3</v>
      </c>
      <c r="G524" s="5">
        <f t="shared" si="33"/>
        <v>-1.2080262080262028E-2</v>
      </c>
      <c r="H524" s="5">
        <f t="shared" si="34"/>
        <v>-6.7037836609475931E-3</v>
      </c>
      <c r="I524" s="5">
        <f t="shared" si="35"/>
        <v>0</v>
      </c>
    </row>
    <row r="525" spans="1:9" x14ac:dyDescent="0.2">
      <c r="A525" s="42">
        <v>45356</v>
      </c>
      <c r="B525" s="41">
        <v>1983.22</v>
      </c>
      <c r="C525" s="41">
        <v>48840</v>
      </c>
      <c r="D525" s="41">
        <v>8801</v>
      </c>
      <c r="E525" s="41">
        <v>2437</v>
      </c>
      <c r="F525" s="5">
        <f t="shared" si="32"/>
        <v>-6.6267625034436284E-3</v>
      </c>
      <c r="G525" s="5">
        <f t="shared" si="33"/>
        <v>4.1118421052630527E-3</v>
      </c>
      <c r="H525" s="5">
        <f t="shared" si="34"/>
        <v>1.7339035949601289E-2</v>
      </c>
      <c r="I525" s="5">
        <f t="shared" si="35"/>
        <v>-1.2295081967212962E-3</v>
      </c>
    </row>
    <row r="526" spans="1:9" x14ac:dyDescent="0.2">
      <c r="A526" s="42">
        <v>45355</v>
      </c>
      <c r="B526" s="41">
        <v>1996.45</v>
      </c>
      <c r="C526" s="41">
        <v>48640</v>
      </c>
      <c r="D526" s="41">
        <v>8651</v>
      </c>
      <c r="E526" s="41">
        <v>2440</v>
      </c>
      <c r="F526" s="5">
        <f t="shared" si="32"/>
        <v>-5.8569697940547005E-4</v>
      </c>
      <c r="G526" s="5">
        <f t="shared" si="33"/>
        <v>5.1663566852655496E-3</v>
      </c>
      <c r="H526" s="5">
        <f t="shared" si="34"/>
        <v>2.3544723142451485E-2</v>
      </c>
      <c r="I526" s="5">
        <f t="shared" si="35"/>
        <v>-4.4879640962872669E-3</v>
      </c>
    </row>
    <row r="527" spans="1:9" x14ac:dyDescent="0.2">
      <c r="A527" s="42">
        <v>45354</v>
      </c>
      <c r="B527" s="41">
        <v>1997.62</v>
      </c>
      <c r="C527" s="41">
        <v>48390</v>
      </c>
      <c r="D527" s="41">
        <v>8452</v>
      </c>
      <c r="E527" s="41">
        <v>2451</v>
      </c>
      <c r="F527" s="5">
        <f t="shared" si="32"/>
        <v>8.3235325294148677E-3</v>
      </c>
      <c r="G527" s="5">
        <f t="shared" si="33"/>
        <v>-8.4016393442623016E-3</v>
      </c>
      <c r="H527" s="5">
        <f t="shared" si="34"/>
        <v>-2.8058877644894231E-2</v>
      </c>
      <c r="I527" s="5">
        <f t="shared" si="35"/>
        <v>4.5081967213114194E-3</v>
      </c>
    </row>
    <row r="528" spans="1:9" x14ac:dyDescent="0.2">
      <c r="A528" s="42">
        <v>45351</v>
      </c>
      <c r="B528" s="41">
        <v>1981.13</v>
      </c>
      <c r="C528" s="41">
        <v>48800</v>
      </c>
      <c r="D528" s="41">
        <v>8696</v>
      </c>
      <c r="E528" s="41">
        <v>2440</v>
      </c>
      <c r="F528" s="5">
        <f t="shared" si="32"/>
        <v>8.6244202444774043E-3</v>
      </c>
      <c r="G528" s="5">
        <f t="shared" si="33"/>
        <v>0</v>
      </c>
      <c r="H528" s="5">
        <f t="shared" si="34"/>
        <v>5.0876132930513629E-2</v>
      </c>
      <c r="I528" s="5">
        <f t="shared" si="35"/>
        <v>4.5415595544130216E-2</v>
      </c>
    </row>
    <row r="529" spans="1:9" x14ac:dyDescent="0.2">
      <c r="A529" s="42">
        <v>45350</v>
      </c>
      <c r="B529" s="41">
        <v>1964.19</v>
      </c>
      <c r="C529" s="41">
        <v>48800</v>
      </c>
      <c r="D529" s="41">
        <v>8275</v>
      </c>
      <c r="E529" s="41">
        <v>2334</v>
      </c>
      <c r="F529" s="5">
        <f t="shared" si="32"/>
        <v>-5.9062889071087588E-3</v>
      </c>
      <c r="G529" s="5">
        <f t="shared" si="33"/>
        <v>-2.2490288284604532E-3</v>
      </c>
      <c r="H529" s="5">
        <f t="shared" si="34"/>
        <v>9.1400685834872153E-2</v>
      </c>
      <c r="I529" s="5">
        <f t="shared" si="35"/>
        <v>1.3460703430308252E-2</v>
      </c>
    </row>
    <row r="530" spans="1:9" x14ac:dyDescent="0.2">
      <c r="A530" s="42">
        <v>45348</v>
      </c>
      <c r="B530" s="41">
        <v>1975.86</v>
      </c>
      <c r="C530" s="41">
        <v>48910</v>
      </c>
      <c r="D530" s="41">
        <v>7582</v>
      </c>
      <c r="E530" s="41">
        <v>2303</v>
      </c>
      <c r="F530" s="5">
        <f t="shared" si="32"/>
        <v>3.0866391170587537E-3</v>
      </c>
      <c r="G530" s="5">
        <f t="shared" si="33"/>
        <v>1.9595580571190263E-2</v>
      </c>
      <c r="H530" s="5">
        <f t="shared" si="34"/>
        <v>1.0798560191974449E-2</v>
      </c>
      <c r="I530" s="5">
        <f t="shared" si="35"/>
        <v>1.3043478260870156E-3</v>
      </c>
    </row>
    <row r="531" spans="1:9" x14ac:dyDescent="0.2">
      <c r="A531" s="42">
        <v>45347</v>
      </c>
      <c r="B531" s="41">
        <v>1969.78</v>
      </c>
      <c r="C531" s="41">
        <v>47970</v>
      </c>
      <c r="D531" s="41">
        <v>7501</v>
      </c>
      <c r="E531" s="41">
        <v>2300</v>
      </c>
      <c r="F531" s="5">
        <f t="shared" si="32"/>
        <v>1.248528648309688E-2</v>
      </c>
      <c r="G531" s="5">
        <f t="shared" si="33"/>
        <v>1.3093980992608278E-2</v>
      </c>
      <c r="H531" s="5">
        <f t="shared" si="34"/>
        <v>1.4059753954305698E-2</v>
      </c>
      <c r="I531" s="5">
        <f t="shared" si="35"/>
        <v>0</v>
      </c>
    </row>
    <row r="532" spans="1:9" x14ac:dyDescent="0.2">
      <c r="A532" s="42">
        <v>45344</v>
      </c>
      <c r="B532" s="41">
        <v>1945.49</v>
      </c>
      <c r="C532" s="41">
        <v>47350</v>
      </c>
      <c r="D532" s="41">
        <v>7397</v>
      </c>
      <c r="E532" s="41">
        <v>2300</v>
      </c>
      <c r="F532" s="5">
        <f t="shared" si="32"/>
        <v>7.9580131908212337E-3</v>
      </c>
      <c r="G532" s="5">
        <f t="shared" si="33"/>
        <v>-1.6866961838498673E-3</v>
      </c>
      <c r="H532" s="5">
        <f t="shared" si="34"/>
        <v>-5.9131837118666652E-3</v>
      </c>
      <c r="I532" s="5">
        <f t="shared" si="35"/>
        <v>2.2222222222222143E-2</v>
      </c>
    </row>
    <row r="533" spans="1:9" x14ac:dyDescent="0.2">
      <c r="A533" s="42">
        <v>45343</v>
      </c>
      <c r="B533" s="41">
        <v>1930.13</v>
      </c>
      <c r="C533" s="41">
        <v>47430</v>
      </c>
      <c r="D533" s="41">
        <v>7441</v>
      </c>
      <c r="E533" s="41">
        <v>2250</v>
      </c>
      <c r="F533" s="5">
        <f t="shared" si="32"/>
        <v>-1.9184627476935834E-3</v>
      </c>
      <c r="G533" s="5">
        <f t="shared" si="33"/>
        <v>-3.780718336483968E-3</v>
      </c>
      <c r="H533" s="5">
        <f t="shared" si="34"/>
        <v>-2.6806058169146496E-3</v>
      </c>
      <c r="I533" s="5">
        <f t="shared" si="35"/>
        <v>4.4464206313921117E-4</v>
      </c>
    </row>
    <row r="534" spans="1:9" x14ac:dyDescent="0.2">
      <c r="A534" s="42">
        <v>45342</v>
      </c>
      <c r="B534" s="41">
        <v>1933.84</v>
      </c>
      <c r="C534" s="41">
        <v>47610</v>
      </c>
      <c r="D534" s="41">
        <v>7461</v>
      </c>
      <c r="E534" s="41">
        <v>2249</v>
      </c>
      <c r="F534" s="5">
        <f t="shared" si="32"/>
        <v>-1.5512935202410816E-5</v>
      </c>
      <c r="G534" s="5">
        <f t="shared" si="33"/>
        <v>6.3411540900444319E-3</v>
      </c>
      <c r="H534" s="5">
        <f t="shared" si="34"/>
        <v>8.0482897384315244E-4</v>
      </c>
      <c r="I534" s="5">
        <f t="shared" si="35"/>
        <v>2.9290617848970246E-2</v>
      </c>
    </row>
    <row r="535" spans="1:9" x14ac:dyDescent="0.2">
      <c r="A535" s="42">
        <v>45341</v>
      </c>
      <c r="B535" s="41">
        <v>1933.87</v>
      </c>
      <c r="C535" s="41">
        <v>47310</v>
      </c>
      <c r="D535" s="41">
        <v>7455</v>
      </c>
      <c r="E535" s="41">
        <v>2185</v>
      </c>
      <c r="F535" s="5">
        <f t="shared" si="32"/>
        <v>1.0951843255337268E-2</v>
      </c>
      <c r="G535" s="5">
        <f t="shared" si="33"/>
        <v>1.8295307791648785E-2</v>
      </c>
      <c r="H535" s="5">
        <f t="shared" si="34"/>
        <v>2.6576700633434314E-2</v>
      </c>
      <c r="I535" s="5">
        <f t="shared" si="35"/>
        <v>-1.8273184102329809E-3</v>
      </c>
    </row>
    <row r="536" spans="1:9" x14ac:dyDescent="0.2">
      <c r="A536" s="42">
        <v>45340</v>
      </c>
      <c r="B536" s="41">
        <v>1912.92</v>
      </c>
      <c r="C536" s="41">
        <v>46460</v>
      </c>
      <c r="D536" s="41">
        <v>7262</v>
      </c>
      <c r="E536" s="41">
        <v>2189</v>
      </c>
      <c r="F536" s="5">
        <f t="shared" si="32"/>
        <v>7.9193209300854051E-3</v>
      </c>
      <c r="G536" s="5">
        <f t="shared" si="33"/>
        <v>5.6277056277056481E-3</v>
      </c>
      <c r="H536" s="5">
        <f t="shared" si="34"/>
        <v>1.495457721872806E-2</v>
      </c>
      <c r="I536" s="5">
        <f t="shared" si="35"/>
        <v>0</v>
      </c>
    </row>
    <row r="537" spans="1:9" x14ac:dyDescent="0.2">
      <c r="A537" s="42">
        <v>45337</v>
      </c>
      <c r="B537" s="41">
        <v>1897.89</v>
      </c>
      <c r="C537" s="41">
        <v>46200</v>
      </c>
      <c r="D537" s="41">
        <v>7155</v>
      </c>
      <c r="E537" s="41">
        <v>2189</v>
      </c>
      <c r="F537" s="5">
        <f t="shared" si="32"/>
        <v>6.0643006705718427E-3</v>
      </c>
      <c r="G537" s="5">
        <f t="shared" si="33"/>
        <v>-7.7319587628865705E-3</v>
      </c>
      <c r="H537" s="5">
        <f t="shared" si="34"/>
        <v>1.3978194017338907E-4</v>
      </c>
      <c r="I537" s="5">
        <f t="shared" si="35"/>
        <v>0</v>
      </c>
    </row>
    <row r="538" spans="1:9" x14ac:dyDescent="0.2">
      <c r="A538" s="42">
        <v>45336</v>
      </c>
      <c r="B538" s="41">
        <v>1886.45</v>
      </c>
      <c r="C538" s="41">
        <v>46560</v>
      </c>
      <c r="D538" s="41">
        <v>7154</v>
      </c>
      <c r="E538" s="41">
        <v>2189</v>
      </c>
      <c r="F538" s="5">
        <f t="shared" si="32"/>
        <v>-3.9211738086786241E-4</v>
      </c>
      <c r="G538" s="5">
        <f t="shared" si="33"/>
        <v>-7.0377479206653604E-3</v>
      </c>
      <c r="H538" s="5">
        <f t="shared" si="34"/>
        <v>-3.0657748049052191E-3</v>
      </c>
      <c r="I538" s="5">
        <f t="shared" si="35"/>
        <v>0</v>
      </c>
    </row>
    <row r="539" spans="1:9" x14ac:dyDescent="0.2">
      <c r="A539" s="42">
        <v>45335</v>
      </c>
      <c r="B539" s="41">
        <v>1887.19</v>
      </c>
      <c r="C539" s="41">
        <v>46890</v>
      </c>
      <c r="D539" s="41">
        <v>7176</v>
      </c>
      <c r="E539" s="41">
        <v>2189</v>
      </c>
      <c r="F539" s="5">
        <f t="shared" si="32"/>
        <v>6.200814690012546E-3</v>
      </c>
      <c r="G539" s="5">
        <f t="shared" si="33"/>
        <v>5.0403225806451513E-2</v>
      </c>
      <c r="H539" s="5">
        <f t="shared" si="34"/>
        <v>-5.5710306406686616E-4</v>
      </c>
      <c r="I539" s="5">
        <f t="shared" si="35"/>
        <v>3.0117647058823582E-2</v>
      </c>
    </row>
    <row r="540" spans="1:9" x14ac:dyDescent="0.2">
      <c r="A540" s="42">
        <v>45334</v>
      </c>
      <c r="B540" s="41">
        <v>1875.56</v>
      </c>
      <c r="C540" s="41">
        <v>44640</v>
      </c>
      <c r="D540" s="41">
        <v>7180</v>
      </c>
      <c r="E540" s="41">
        <v>2125</v>
      </c>
      <c r="F540" s="5">
        <f t="shared" si="32"/>
        <v>1.2797943689047742E-2</v>
      </c>
      <c r="G540" s="5">
        <f t="shared" si="33"/>
        <v>3.3811949976841227E-2</v>
      </c>
      <c r="H540" s="5">
        <f t="shared" si="34"/>
        <v>-6.2283737024221297E-3</v>
      </c>
      <c r="I540" s="5">
        <f t="shared" si="35"/>
        <v>0</v>
      </c>
    </row>
    <row r="541" spans="1:9" x14ac:dyDescent="0.2">
      <c r="A541" s="42">
        <v>45333</v>
      </c>
      <c r="B541" s="41">
        <v>1851.86</v>
      </c>
      <c r="C541" s="41">
        <v>43180</v>
      </c>
      <c r="D541" s="41">
        <v>7225</v>
      </c>
      <c r="E541" s="41">
        <v>2125</v>
      </c>
      <c r="F541" s="5">
        <f t="shared" si="32"/>
        <v>-7.3596020561860209E-3</v>
      </c>
      <c r="G541" s="5">
        <f t="shared" si="33"/>
        <v>-1.8190086402910421E-2</v>
      </c>
      <c r="H541" s="5">
        <f t="shared" si="34"/>
        <v>-1.2033365239983551E-2</v>
      </c>
      <c r="I541" s="5">
        <f t="shared" si="35"/>
        <v>-2.9680365296803624E-2</v>
      </c>
    </row>
    <row r="542" spans="1:9" x14ac:dyDescent="0.2">
      <c r="A542" s="42">
        <v>45330</v>
      </c>
      <c r="B542" s="41">
        <v>1865.59</v>
      </c>
      <c r="C542" s="41">
        <v>43980</v>
      </c>
      <c r="D542" s="41">
        <v>7313</v>
      </c>
      <c r="E542" s="41">
        <v>2190</v>
      </c>
      <c r="F542" s="5">
        <f t="shared" si="32"/>
        <v>-5.8722909928008438E-3</v>
      </c>
      <c r="G542" s="5">
        <f t="shared" si="33"/>
        <v>0</v>
      </c>
      <c r="H542" s="5">
        <f t="shared" si="34"/>
        <v>2.0940946530783267E-2</v>
      </c>
      <c r="I542" s="5">
        <f t="shared" si="35"/>
        <v>0</v>
      </c>
    </row>
    <row r="543" spans="1:9" x14ac:dyDescent="0.2">
      <c r="A543" s="42">
        <v>45329</v>
      </c>
      <c r="B543" s="41">
        <v>1876.61</v>
      </c>
      <c r="C543" s="41">
        <v>43980</v>
      </c>
      <c r="D543" s="41">
        <v>7163</v>
      </c>
      <c r="E543" s="41">
        <v>2190</v>
      </c>
      <c r="F543" s="5">
        <f t="shared" si="32"/>
        <v>9.3874176600783343E-4</v>
      </c>
      <c r="G543" s="5">
        <f t="shared" si="33"/>
        <v>1.1034482758620623E-2</v>
      </c>
      <c r="H543" s="5">
        <f t="shared" si="34"/>
        <v>1.6780869808419308E-3</v>
      </c>
      <c r="I543" s="5">
        <f t="shared" si="35"/>
        <v>0</v>
      </c>
    </row>
    <row r="544" spans="1:9" x14ac:dyDescent="0.2">
      <c r="A544" s="42">
        <v>45328</v>
      </c>
      <c r="B544" s="41">
        <v>1874.85</v>
      </c>
      <c r="C544" s="41">
        <v>43500</v>
      </c>
      <c r="D544" s="41">
        <v>7151</v>
      </c>
      <c r="E544" s="41">
        <v>2190</v>
      </c>
      <c r="F544" s="5">
        <f t="shared" si="32"/>
        <v>1.4644521293003976E-2</v>
      </c>
      <c r="G544" s="5">
        <f t="shared" si="33"/>
        <v>4.6189376443417363E-3</v>
      </c>
      <c r="H544" s="5">
        <f t="shared" si="34"/>
        <v>5.5967538827483843E-4</v>
      </c>
      <c r="I544" s="5">
        <f t="shared" si="35"/>
        <v>0</v>
      </c>
    </row>
    <row r="545" spans="1:9" x14ac:dyDescent="0.2">
      <c r="A545" s="42">
        <v>45327</v>
      </c>
      <c r="B545" s="41">
        <v>1847.79</v>
      </c>
      <c r="C545" s="41">
        <v>43300</v>
      </c>
      <c r="D545" s="41">
        <v>7147</v>
      </c>
      <c r="E545" s="41">
        <v>2190</v>
      </c>
      <c r="F545" s="5">
        <f t="shared" si="32"/>
        <v>-4.0961738502417466E-3</v>
      </c>
      <c r="G545" s="5">
        <f t="shared" si="33"/>
        <v>9.3240093240092303E-3</v>
      </c>
      <c r="H545" s="5">
        <f t="shared" si="34"/>
        <v>6.1945656764748058E-3</v>
      </c>
      <c r="I545" s="5">
        <f t="shared" si="35"/>
        <v>0</v>
      </c>
    </row>
    <row r="546" spans="1:9" x14ac:dyDescent="0.2">
      <c r="A546" s="42">
        <v>45326</v>
      </c>
      <c r="B546" s="41">
        <v>1855.39</v>
      </c>
      <c r="C546" s="41">
        <v>42900</v>
      </c>
      <c r="D546" s="41">
        <v>7103</v>
      </c>
      <c r="E546" s="41">
        <v>2190</v>
      </c>
      <c r="F546" s="5">
        <f t="shared" si="32"/>
        <v>3.4070813210822504E-3</v>
      </c>
      <c r="G546" s="5">
        <f t="shared" si="33"/>
        <v>9.6493292539421294E-3</v>
      </c>
      <c r="H546" s="5">
        <f t="shared" si="34"/>
        <v>1.1275546159266181E-3</v>
      </c>
      <c r="I546" s="5">
        <f t="shared" si="35"/>
        <v>0</v>
      </c>
    </row>
    <row r="547" spans="1:9" x14ac:dyDescent="0.2">
      <c r="A547" s="42">
        <v>45323</v>
      </c>
      <c r="B547" s="41">
        <v>1849.09</v>
      </c>
      <c r="C547" s="41">
        <v>42490</v>
      </c>
      <c r="D547" s="41">
        <v>7095</v>
      </c>
      <c r="E547" s="41">
        <v>2190</v>
      </c>
      <c r="F547" s="5">
        <f t="shared" si="32"/>
        <v>-6.8907364441007646E-3</v>
      </c>
      <c r="G547" s="5">
        <f t="shared" si="33"/>
        <v>2.2623345367027703E-2</v>
      </c>
      <c r="H547" s="5">
        <f t="shared" si="34"/>
        <v>1.3137226902755872E-2</v>
      </c>
      <c r="I547" s="5">
        <f t="shared" si="35"/>
        <v>0</v>
      </c>
    </row>
    <row r="548" spans="1:9" x14ac:dyDescent="0.2">
      <c r="A548" s="42">
        <v>45322</v>
      </c>
      <c r="B548" s="41">
        <v>1861.92</v>
      </c>
      <c r="C548" s="41">
        <v>41550</v>
      </c>
      <c r="D548" s="41">
        <v>7003</v>
      </c>
      <c r="E548" s="41">
        <v>2190</v>
      </c>
      <c r="F548" s="5">
        <f t="shared" si="32"/>
        <v>-4.7200320726981104E-3</v>
      </c>
      <c r="G548" s="5">
        <f t="shared" si="33"/>
        <v>-1.0007147962830643E-2</v>
      </c>
      <c r="H548" s="5">
        <f t="shared" si="34"/>
        <v>1.1409589832466871E-2</v>
      </c>
      <c r="I548" s="5">
        <f t="shared" si="35"/>
        <v>0</v>
      </c>
    </row>
    <row r="549" spans="1:9" x14ac:dyDescent="0.2">
      <c r="A549" s="42">
        <v>45321</v>
      </c>
      <c r="B549" s="41">
        <v>1870.75</v>
      </c>
      <c r="C549" s="41">
        <v>41970</v>
      </c>
      <c r="D549" s="41">
        <v>6924</v>
      </c>
      <c r="E549" s="41">
        <v>2190</v>
      </c>
      <c r="F549" s="5">
        <f t="shared" si="32"/>
        <v>-9.9966131114921364E-3</v>
      </c>
      <c r="G549" s="5">
        <f t="shared" si="33"/>
        <v>-7.1428571428566734E-4</v>
      </c>
      <c r="H549" s="5">
        <f t="shared" si="34"/>
        <v>-7.7386070507308169E-3</v>
      </c>
      <c r="I549" s="5">
        <f t="shared" si="35"/>
        <v>0</v>
      </c>
    </row>
    <row r="550" spans="1:9" x14ac:dyDescent="0.2">
      <c r="A550" s="42">
        <v>45320</v>
      </c>
      <c r="B550" s="41">
        <v>1889.64</v>
      </c>
      <c r="C550" s="41">
        <v>42000</v>
      </c>
      <c r="D550" s="41">
        <v>6978</v>
      </c>
      <c r="E550" s="41">
        <v>2190</v>
      </c>
      <c r="F550" s="5">
        <f t="shared" si="32"/>
        <v>9.4338614728790571E-3</v>
      </c>
      <c r="G550" s="5">
        <f t="shared" si="33"/>
        <v>2.2893326838772543E-2</v>
      </c>
      <c r="H550" s="5">
        <f t="shared" si="34"/>
        <v>1.4834205933682343E-2</v>
      </c>
      <c r="I550" s="5">
        <f t="shared" si="35"/>
        <v>3.0588235294117583E-2</v>
      </c>
    </row>
    <row r="551" spans="1:9" x14ac:dyDescent="0.2">
      <c r="A551" s="42">
        <v>45319</v>
      </c>
      <c r="B551" s="41">
        <v>1871.98</v>
      </c>
      <c r="C551" s="41">
        <v>41060</v>
      </c>
      <c r="D551" s="41">
        <v>6876</v>
      </c>
      <c r="E551" s="41">
        <v>2125</v>
      </c>
      <c r="F551" s="5">
        <f t="shared" si="32"/>
        <v>5.5920540189196011E-3</v>
      </c>
      <c r="G551" s="5">
        <f t="shared" si="33"/>
        <v>-1.1793020457280368E-2</v>
      </c>
      <c r="H551" s="5">
        <f t="shared" si="34"/>
        <v>1.1771630370806418E-2</v>
      </c>
      <c r="I551" s="5">
        <f t="shared" si="35"/>
        <v>0</v>
      </c>
    </row>
    <row r="552" spans="1:9" x14ac:dyDescent="0.2">
      <c r="A552" s="42">
        <v>45316</v>
      </c>
      <c r="B552" s="41">
        <v>1861.57</v>
      </c>
      <c r="C552" s="41">
        <v>41550</v>
      </c>
      <c r="D552" s="41">
        <v>6796</v>
      </c>
      <c r="E552" s="41">
        <v>2125</v>
      </c>
      <c r="F552" s="5">
        <f t="shared" si="32"/>
        <v>-3.383496886861681E-3</v>
      </c>
      <c r="G552" s="5">
        <f t="shared" si="33"/>
        <v>1.3414634146341475E-2</v>
      </c>
      <c r="H552" s="5">
        <f t="shared" si="34"/>
        <v>-2.4404249210450812E-2</v>
      </c>
      <c r="I552" s="5">
        <f t="shared" si="35"/>
        <v>-1.5291936978683918E-2</v>
      </c>
    </row>
    <row r="553" spans="1:9" x14ac:dyDescent="0.2">
      <c r="A553" s="42">
        <v>45315</v>
      </c>
      <c r="B553" s="41">
        <v>1867.89</v>
      </c>
      <c r="C553" s="41">
        <v>41000</v>
      </c>
      <c r="D553" s="41">
        <v>6966</v>
      </c>
      <c r="E553" s="41">
        <v>2158</v>
      </c>
      <c r="F553" s="5">
        <f t="shared" si="32"/>
        <v>8.0410579657743675E-3</v>
      </c>
      <c r="G553" s="5">
        <f t="shared" si="33"/>
        <v>1.8380526577247869E-2</v>
      </c>
      <c r="H553" s="5">
        <f t="shared" si="34"/>
        <v>-3.0055817947617358E-3</v>
      </c>
      <c r="I553" s="5">
        <f t="shared" si="35"/>
        <v>-2.1315192743764144E-2</v>
      </c>
    </row>
    <row r="554" spans="1:9" x14ac:dyDescent="0.2">
      <c r="A554" s="42">
        <v>45314</v>
      </c>
      <c r="B554" s="41">
        <v>1852.99</v>
      </c>
      <c r="C554" s="41">
        <v>40260</v>
      </c>
      <c r="D554" s="41">
        <v>6987</v>
      </c>
      <c r="E554" s="41">
        <v>2205</v>
      </c>
      <c r="F554" s="5">
        <f t="shared" si="32"/>
        <v>-6.285159622675951E-3</v>
      </c>
      <c r="G554" s="5">
        <f t="shared" si="33"/>
        <v>-1.9483682415976644E-2</v>
      </c>
      <c r="H554" s="5">
        <f t="shared" si="34"/>
        <v>7.6434958177098444E-3</v>
      </c>
      <c r="I554" s="5">
        <f t="shared" si="35"/>
        <v>0</v>
      </c>
    </row>
    <row r="555" spans="1:9" x14ac:dyDescent="0.2">
      <c r="A555" s="42">
        <v>45313</v>
      </c>
      <c r="B555" s="41">
        <v>1864.71</v>
      </c>
      <c r="C555" s="41">
        <v>41060</v>
      </c>
      <c r="D555" s="41">
        <v>6934</v>
      </c>
      <c r="E555" s="41">
        <v>2205</v>
      </c>
      <c r="F555" s="5">
        <f t="shared" si="32"/>
        <v>5.6340748849037503E-4</v>
      </c>
      <c r="G555" s="5">
        <f t="shared" si="33"/>
        <v>7.8546882670593732E-3</v>
      </c>
      <c r="H555" s="5">
        <f t="shared" si="34"/>
        <v>1.1524434719183185E-2</v>
      </c>
      <c r="I555" s="5">
        <f t="shared" si="35"/>
        <v>0</v>
      </c>
    </row>
    <row r="556" spans="1:9" x14ac:dyDescent="0.2">
      <c r="A556" s="42">
        <v>45312</v>
      </c>
      <c r="B556" s="41">
        <v>1863.66</v>
      </c>
      <c r="C556" s="41">
        <v>40740</v>
      </c>
      <c r="D556" s="41">
        <v>6855</v>
      </c>
      <c r="E556" s="41">
        <v>2205</v>
      </c>
      <c r="F556" s="5">
        <f t="shared" si="32"/>
        <v>-1.3771078591598984E-3</v>
      </c>
      <c r="G556" s="5">
        <f t="shared" si="33"/>
        <v>-2.0673076923076961E-2</v>
      </c>
      <c r="H556" s="5">
        <f t="shared" si="34"/>
        <v>-1.8330230559931215E-2</v>
      </c>
      <c r="I556" s="5">
        <f t="shared" si="35"/>
        <v>0</v>
      </c>
    </row>
    <row r="557" spans="1:9" x14ac:dyDescent="0.2">
      <c r="A557" s="42">
        <v>45309</v>
      </c>
      <c r="B557" s="41">
        <v>1866.23</v>
      </c>
      <c r="C557" s="41">
        <v>41600</v>
      </c>
      <c r="D557" s="41">
        <v>6983</v>
      </c>
      <c r="E557" s="41">
        <v>2205</v>
      </c>
      <c r="F557" s="5">
        <f t="shared" si="32"/>
        <v>1.9569386093825969E-2</v>
      </c>
      <c r="G557" s="5">
        <f t="shared" si="33"/>
        <v>2.1360176773876693E-2</v>
      </c>
      <c r="H557" s="5">
        <f t="shared" si="34"/>
        <v>1.4322543683764621E-4</v>
      </c>
      <c r="I557" s="5">
        <f t="shared" si="35"/>
        <v>0</v>
      </c>
    </row>
    <row r="558" spans="1:9" x14ac:dyDescent="0.2">
      <c r="A558" s="42">
        <v>45308</v>
      </c>
      <c r="B558" s="41">
        <v>1830.41</v>
      </c>
      <c r="C558" s="41">
        <v>40730</v>
      </c>
      <c r="D558" s="41">
        <v>6982</v>
      </c>
      <c r="E558" s="41">
        <v>2205</v>
      </c>
      <c r="F558" s="5">
        <f t="shared" si="32"/>
        <v>-7.2837122526899778E-3</v>
      </c>
      <c r="G558" s="5">
        <f t="shared" si="33"/>
        <v>-1.0687393733300965E-2</v>
      </c>
      <c r="H558" s="5">
        <f t="shared" si="34"/>
        <v>4.2986101160624735E-4</v>
      </c>
      <c r="I558" s="5">
        <f t="shared" si="35"/>
        <v>9.0785292782569194E-4</v>
      </c>
    </row>
    <row r="559" spans="1:9" x14ac:dyDescent="0.2">
      <c r="A559" s="42">
        <v>45307</v>
      </c>
      <c r="B559" s="41">
        <v>1843.84</v>
      </c>
      <c r="C559" s="41">
        <v>41170</v>
      </c>
      <c r="D559" s="41">
        <v>6979</v>
      </c>
      <c r="E559" s="41">
        <v>2203</v>
      </c>
      <c r="F559" s="5">
        <f t="shared" si="32"/>
        <v>-1.3751972399775325E-2</v>
      </c>
      <c r="G559" s="5">
        <f t="shared" si="33"/>
        <v>-1.8827454718779779E-2</v>
      </c>
      <c r="H559" s="5">
        <f t="shared" si="34"/>
        <v>2.729885057471293E-3</v>
      </c>
      <c r="I559" s="5">
        <f t="shared" si="35"/>
        <v>0</v>
      </c>
    </row>
    <row r="560" spans="1:9" x14ac:dyDescent="0.2">
      <c r="A560" s="42">
        <v>45306</v>
      </c>
      <c r="B560" s="41">
        <v>1869.55</v>
      </c>
      <c r="C560" s="41">
        <v>41960</v>
      </c>
      <c r="D560" s="41">
        <v>6960</v>
      </c>
      <c r="E560" s="41">
        <v>2203</v>
      </c>
      <c r="F560" s="5">
        <f t="shared" si="32"/>
        <v>-4.335113889939235E-3</v>
      </c>
      <c r="G560" s="5">
        <f t="shared" si="33"/>
        <v>-1.5023474178403773E-2</v>
      </c>
      <c r="H560" s="5">
        <f t="shared" si="34"/>
        <v>-5.5722246035148082E-3</v>
      </c>
      <c r="I560" s="5">
        <f t="shared" si="35"/>
        <v>0</v>
      </c>
    </row>
    <row r="561" spans="1:9" x14ac:dyDescent="0.2">
      <c r="A561" s="42">
        <v>45305</v>
      </c>
      <c r="B561" s="41">
        <v>1877.69</v>
      </c>
      <c r="C561" s="41">
        <v>42600</v>
      </c>
      <c r="D561" s="41">
        <v>6999</v>
      </c>
      <c r="E561" s="41">
        <v>2203</v>
      </c>
      <c r="F561" s="5">
        <f t="shared" si="32"/>
        <v>-3.6612738049124349E-3</v>
      </c>
      <c r="G561" s="5">
        <f t="shared" si="33"/>
        <v>-1.388888888888884E-2</v>
      </c>
      <c r="H561" s="5">
        <f t="shared" si="34"/>
        <v>-1.2842465753424293E-3</v>
      </c>
      <c r="I561" s="5">
        <f t="shared" si="35"/>
        <v>4.5413260672111377E-4</v>
      </c>
    </row>
    <row r="562" spans="1:9" x14ac:dyDescent="0.2">
      <c r="A562" s="42">
        <v>45302</v>
      </c>
      <c r="B562" s="41">
        <v>1884.59</v>
      </c>
      <c r="C562" s="41">
        <v>43200</v>
      </c>
      <c r="D562" s="41">
        <v>7008</v>
      </c>
      <c r="E562" s="41">
        <v>2202</v>
      </c>
      <c r="F562" s="5">
        <f t="shared" si="32"/>
        <v>2.4361572544826515E-3</v>
      </c>
      <c r="G562" s="5">
        <f t="shared" si="33"/>
        <v>1.3608634443923018E-2</v>
      </c>
      <c r="H562" s="5">
        <f t="shared" si="34"/>
        <v>-5.110732538330498E-3</v>
      </c>
      <c r="I562" s="5">
        <f t="shared" si="35"/>
        <v>0</v>
      </c>
    </row>
    <row r="563" spans="1:9" x14ac:dyDescent="0.2">
      <c r="A563" s="42">
        <v>45301</v>
      </c>
      <c r="B563" s="41">
        <v>1880.01</v>
      </c>
      <c r="C563" s="41">
        <v>42620</v>
      </c>
      <c r="D563" s="41">
        <v>7044</v>
      </c>
      <c r="E563" s="41">
        <v>2202</v>
      </c>
      <c r="F563" s="5">
        <f t="shared" si="32"/>
        <v>-4.0737405308046704E-3</v>
      </c>
      <c r="G563" s="5">
        <f t="shared" si="33"/>
        <v>-9.5282361143388394E-3</v>
      </c>
      <c r="H563" s="5">
        <f t="shared" si="34"/>
        <v>-1.1344299489506326E-3</v>
      </c>
      <c r="I563" s="5">
        <f t="shared" si="35"/>
        <v>0</v>
      </c>
    </row>
    <row r="564" spans="1:9" x14ac:dyDescent="0.2">
      <c r="A564" s="42">
        <v>45300</v>
      </c>
      <c r="B564" s="41">
        <v>1887.7</v>
      </c>
      <c r="C564" s="41">
        <v>43030</v>
      </c>
      <c r="D564" s="41">
        <v>7052</v>
      </c>
      <c r="E564" s="41">
        <v>2202</v>
      </c>
      <c r="F564" s="5">
        <f t="shared" si="32"/>
        <v>-4.3041152827739682E-3</v>
      </c>
      <c r="G564" s="5">
        <f t="shared" si="33"/>
        <v>2.8687544824288702E-2</v>
      </c>
      <c r="H564" s="5">
        <f t="shared" si="34"/>
        <v>-1.4160294534126816E-3</v>
      </c>
      <c r="I564" s="5">
        <f t="shared" si="35"/>
        <v>-1.2113055181695809E-2</v>
      </c>
    </row>
    <row r="565" spans="1:9" x14ac:dyDescent="0.2">
      <c r="A565" s="42">
        <v>45299</v>
      </c>
      <c r="B565" s="41">
        <v>1895.86</v>
      </c>
      <c r="C565" s="41">
        <v>41830</v>
      </c>
      <c r="D565" s="41">
        <v>7062</v>
      </c>
      <c r="E565" s="41">
        <v>2229</v>
      </c>
      <c r="F565" s="5">
        <f t="shared" si="32"/>
        <v>-4.797629654623714E-4</v>
      </c>
      <c r="G565" s="5">
        <f t="shared" si="33"/>
        <v>-1.1578449905482069E-2</v>
      </c>
      <c r="H565" s="5">
        <f t="shared" si="34"/>
        <v>-9.953736155895121E-3</v>
      </c>
      <c r="I565" s="5">
        <f t="shared" si="35"/>
        <v>2.6990553306343035E-3</v>
      </c>
    </row>
    <row r="566" spans="1:9" x14ac:dyDescent="0.2">
      <c r="A566" s="42">
        <v>45298</v>
      </c>
      <c r="B566" s="41">
        <v>1896.77</v>
      </c>
      <c r="C566" s="41">
        <v>42320</v>
      </c>
      <c r="D566" s="41">
        <v>7133</v>
      </c>
      <c r="E566" s="41">
        <v>2223</v>
      </c>
      <c r="F566" s="5">
        <f t="shared" si="32"/>
        <v>-8.0329266315575243E-3</v>
      </c>
      <c r="G566" s="5">
        <f t="shared" si="33"/>
        <v>-1.1214953271028061E-2</v>
      </c>
      <c r="H566" s="5">
        <f t="shared" si="34"/>
        <v>-2.238075255280414E-3</v>
      </c>
      <c r="I566" s="5">
        <f t="shared" si="35"/>
        <v>0</v>
      </c>
    </row>
    <row r="567" spans="1:9" x14ac:dyDescent="0.2">
      <c r="A567" s="42">
        <v>45295</v>
      </c>
      <c r="B567" s="41">
        <v>1912.13</v>
      </c>
      <c r="C567" s="41">
        <v>42800</v>
      </c>
      <c r="D567" s="41">
        <v>7149</v>
      </c>
      <c r="E567" s="41">
        <v>2223</v>
      </c>
      <c r="F567" s="5">
        <f t="shared" si="32"/>
        <v>5.1727128881506879E-3</v>
      </c>
      <c r="G567" s="5">
        <f t="shared" si="33"/>
        <v>2.7611044417767072E-2</v>
      </c>
      <c r="H567" s="5">
        <f t="shared" si="34"/>
        <v>-1.8937834499794137E-2</v>
      </c>
      <c r="I567" s="5">
        <f t="shared" si="35"/>
        <v>4.5004500450041007E-4</v>
      </c>
    </row>
    <row r="568" spans="1:9" x14ac:dyDescent="0.2">
      <c r="A568" s="42">
        <v>45294</v>
      </c>
      <c r="B568" s="41">
        <v>1902.29</v>
      </c>
      <c r="C568" s="41">
        <v>41650</v>
      </c>
      <c r="D568" s="41">
        <v>7287</v>
      </c>
      <c r="E568" s="41">
        <v>2222</v>
      </c>
      <c r="F568" s="5">
        <f t="shared" si="32"/>
        <v>-9.3632666239643614E-3</v>
      </c>
      <c r="G568" s="5">
        <f t="shared" si="33"/>
        <v>2.4067388688326918E-3</v>
      </c>
      <c r="H568" s="5">
        <f t="shared" si="34"/>
        <v>-5.459260270233357E-3</v>
      </c>
      <c r="I568" s="5">
        <f t="shared" si="35"/>
        <v>4.5024763619982977E-4</v>
      </c>
    </row>
    <row r="569" spans="1:9" x14ac:dyDescent="0.2">
      <c r="A569" s="42">
        <v>45293</v>
      </c>
      <c r="B569" s="41">
        <v>1920.27</v>
      </c>
      <c r="C569" s="41">
        <v>41550</v>
      </c>
      <c r="D569" s="41">
        <v>7327</v>
      </c>
      <c r="E569" s="41">
        <v>2221</v>
      </c>
      <c r="F569" s="5">
        <f t="shared" si="32"/>
        <v>-3.1562280997741166E-3</v>
      </c>
      <c r="G569" s="5">
        <f t="shared" si="33"/>
        <v>-1.6800757217226736E-2</v>
      </c>
      <c r="H569" s="5">
        <f t="shared" si="34"/>
        <v>2.1042363433667832E-2</v>
      </c>
      <c r="I569" s="5">
        <f t="shared" si="35"/>
        <v>4.977375565610842E-3</v>
      </c>
    </row>
    <row r="570" spans="1:9" x14ac:dyDescent="0.2">
      <c r="A570" s="42">
        <v>45292</v>
      </c>
      <c r="B570" s="41">
        <v>1926.35</v>
      </c>
      <c r="C570" s="41">
        <v>42260</v>
      </c>
      <c r="D570" s="41">
        <v>7176</v>
      </c>
      <c r="E570" s="41">
        <v>2210</v>
      </c>
      <c r="F570" s="5">
        <f t="shared" si="32"/>
        <v>2.0809928566886349E-2</v>
      </c>
      <c r="G570" s="5">
        <f t="shared" si="33"/>
        <v>5.9147869674185394E-2</v>
      </c>
      <c r="H570" s="5">
        <f t="shared" si="34"/>
        <v>2.5142857142857133E-2</v>
      </c>
      <c r="I570" s="5">
        <f t="shared" si="35"/>
        <v>1.3761467889908285E-2</v>
      </c>
    </row>
    <row r="571" spans="1:9" x14ac:dyDescent="0.2">
      <c r="A571" s="42">
        <v>45291</v>
      </c>
      <c r="B571" s="41">
        <v>1887.08</v>
      </c>
      <c r="C571" s="41">
        <v>39900</v>
      </c>
      <c r="D571" s="41">
        <v>7000</v>
      </c>
      <c r="E571" s="41">
        <v>2180</v>
      </c>
      <c r="F571" s="5">
        <f t="shared" si="32"/>
        <v>6.0348871923914249E-3</v>
      </c>
      <c r="G571" s="5">
        <f t="shared" si="33"/>
        <v>0</v>
      </c>
      <c r="H571" s="5">
        <f t="shared" si="34"/>
        <v>1.7172295363481194E-3</v>
      </c>
      <c r="I571" s="5">
        <f t="shared" si="35"/>
        <v>0</v>
      </c>
    </row>
    <row r="572" spans="1:9" x14ac:dyDescent="0.2">
      <c r="A572" s="42">
        <v>45288</v>
      </c>
      <c r="B572" s="41">
        <v>1875.76</v>
      </c>
      <c r="C572" s="41">
        <v>39900</v>
      </c>
      <c r="D572" s="41">
        <v>6988</v>
      </c>
      <c r="E572" s="41">
        <v>2180</v>
      </c>
      <c r="F572" s="5">
        <f t="shared" si="32"/>
        <v>-3.9507221750212373E-3</v>
      </c>
      <c r="G572" s="5">
        <f t="shared" si="33"/>
        <v>-2.4999999999999467E-3</v>
      </c>
      <c r="H572" s="5">
        <f t="shared" si="34"/>
        <v>2.7647058823529358E-2</v>
      </c>
      <c r="I572" s="5">
        <f t="shared" si="35"/>
        <v>1.1600928074245953E-2</v>
      </c>
    </row>
    <row r="573" spans="1:9" x14ac:dyDescent="0.2">
      <c r="A573" s="42">
        <v>45287</v>
      </c>
      <c r="B573" s="41">
        <v>1883.2</v>
      </c>
      <c r="C573" s="41">
        <v>40000</v>
      </c>
      <c r="D573" s="41">
        <v>6800</v>
      </c>
      <c r="E573" s="41">
        <v>2155</v>
      </c>
      <c r="F573" s="5">
        <f t="shared" si="32"/>
        <v>9.3203488029327541E-3</v>
      </c>
      <c r="G573" s="5">
        <f t="shared" si="33"/>
        <v>1.0101010101010166E-2</v>
      </c>
      <c r="H573" s="5">
        <f t="shared" si="34"/>
        <v>0</v>
      </c>
      <c r="I573" s="5">
        <f t="shared" si="35"/>
        <v>-4.1589648798521228E-3</v>
      </c>
    </row>
    <row r="574" spans="1:9" x14ac:dyDescent="0.2">
      <c r="A574" s="42">
        <v>45286</v>
      </c>
      <c r="B574" s="41">
        <v>1865.81</v>
      </c>
      <c r="C574" s="41">
        <v>39600</v>
      </c>
      <c r="D574" s="41">
        <v>6800</v>
      </c>
      <c r="E574" s="41">
        <v>2164</v>
      </c>
      <c r="F574" s="5">
        <f t="shared" si="32"/>
        <v>-1.3889402723971878E-2</v>
      </c>
      <c r="G574" s="5">
        <f t="shared" si="33"/>
        <v>-1.980198019801982E-2</v>
      </c>
      <c r="H574" s="5">
        <f t="shared" si="34"/>
        <v>-2.6067029504439954E-2</v>
      </c>
      <c r="I574" s="5">
        <f t="shared" si="35"/>
        <v>3.4911525585844094E-2</v>
      </c>
    </row>
    <row r="575" spans="1:9" x14ac:dyDescent="0.2">
      <c r="A575" s="42">
        <v>45285</v>
      </c>
      <c r="B575" s="41">
        <v>1892.09</v>
      </c>
      <c r="C575" s="41">
        <v>40400</v>
      </c>
      <c r="D575" s="41">
        <v>6982</v>
      </c>
      <c r="E575" s="41">
        <v>2091</v>
      </c>
      <c r="F575" s="5">
        <f t="shared" si="32"/>
        <v>1.0278507507315071E-2</v>
      </c>
      <c r="G575" s="5">
        <f t="shared" si="33"/>
        <v>-2.4691358024691024E-3</v>
      </c>
      <c r="H575" s="5">
        <f t="shared" si="34"/>
        <v>2.8653295128933109E-4</v>
      </c>
      <c r="I575" s="5">
        <f t="shared" si="35"/>
        <v>4.7846889952163352E-4</v>
      </c>
    </row>
    <row r="576" spans="1:9" x14ac:dyDescent="0.2">
      <c r="A576" s="42">
        <v>45284</v>
      </c>
      <c r="B576" s="41">
        <v>1872.84</v>
      </c>
      <c r="C576" s="41">
        <v>40500</v>
      </c>
      <c r="D576" s="41">
        <v>6980</v>
      </c>
      <c r="E576" s="41">
        <v>2090</v>
      </c>
      <c r="F576" s="5">
        <f t="shared" si="32"/>
        <v>-3.9992341891977867E-3</v>
      </c>
      <c r="G576" s="5">
        <f t="shared" si="33"/>
        <v>-2.5036109773712067E-2</v>
      </c>
      <c r="H576" s="5">
        <f t="shared" si="34"/>
        <v>4.6056419113413849E-3</v>
      </c>
      <c r="I576" s="5">
        <f t="shared" si="35"/>
        <v>4.3248438250840238E-3</v>
      </c>
    </row>
    <row r="577" spans="1:9" x14ac:dyDescent="0.2">
      <c r="A577" s="42">
        <v>45281</v>
      </c>
      <c r="B577" s="41">
        <v>1880.36</v>
      </c>
      <c r="C577" s="41">
        <v>41540</v>
      </c>
      <c r="D577" s="41">
        <v>6948</v>
      </c>
      <c r="E577" s="41">
        <v>2081</v>
      </c>
      <c r="F577" s="5">
        <f t="shared" si="32"/>
        <v>-8.0030387279547144E-3</v>
      </c>
      <c r="G577" s="5">
        <f t="shared" si="33"/>
        <v>-1.1187812425612953E-2</v>
      </c>
      <c r="H577" s="5">
        <f t="shared" si="34"/>
        <v>-1.0820045558086577E-2</v>
      </c>
      <c r="I577" s="5">
        <f t="shared" si="35"/>
        <v>0</v>
      </c>
    </row>
    <row r="578" spans="1:9" x14ac:dyDescent="0.2">
      <c r="A578" s="42">
        <v>45280</v>
      </c>
      <c r="B578" s="41">
        <v>1895.53</v>
      </c>
      <c r="C578" s="41">
        <v>42010</v>
      </c>
      <c r="D578" s="41">
        <v>7024</v>
      </c>
      <c r="E578" s="41">
        <v>2081</v>
      </c>
      <c r="F578" s="5">
        <f t="shared" si="32"/>
        <v>1.4292441219593055E-2</v>
      </c>
      <c r="G578" s="5">
        <f t="shared" si="33"/>
        <v>2.3884962222763928E-2</v>
      </c>
      <c r="H578" s="5">
        <f t="shared" si="34"/>
        <v>-4.9582093780988767E-3</v>
      </c>
      <c r="I578" s="5">
        <f t="shared" si="35"/>
        <v>0</v>
      </c>
    </row>
    <row r="579" spans="1:9" x14ac:dyDescent="0.2">
      <c r="A579" s="42">
        <v>45279</v>
      </c>
      <c r="B579" s="41">
        <v>1868.82</v>
      </c>
      <c r="C579" s="41">
        <v>41030</v>
      </c>
      <c r="D579" s="41">
        <v>7059</v>
      </c>
      <c r="E579" s="41">
        <v>2081</v>
      </c>
      <c r="F579" s="5">
        <f t="shared" ref="F579:F642" si="36">B579/B580-1</f>
        <v>8.1077144660397504E-3</v>
      </c>
      <c r="G579" s="5">
        <f t="shared" ref="G579:G642" si="37">C579/C580-1</f>
        <v>8.1081081081080253E-3</v>
      </c>
      <c r="H579" s="5">
        <f t="shared" ref="H579:H642" si="38">D579/D580-1</f>
        <v>-6.8936409679234423E-3</v>
      </c>
      <c r="I579" s="5">
        <f t="shared" ref="I579:I642" si="39">E579/E580-1</f>
        <v>3.8591413410515862E-3</v>
      </c>
    </row>
    <row r="580" spans="1:9" x14ac:dyDescent="0.2">
      <c r="A580" s="42">
        <v>45278</v>
      </c>
      <c r="B580" s="41">
        <v>1853.79</v>
      </c>
      <c r="C580" s="41">
        <v>40700</v>
      </c>
      <c r="D580" s="41">
        <v>7108</v>
      </c>
      <c r="E580" s="41">
        <v>2073</v>
      </c>
      <c r="F580" s="5">
        <f t="shared" si="36"/>
        <v>5.4017995151396381E-3</v>
      </c>
      <c r="G580" s="5">
        <f t="shared" si="37"/>
        <v>6.6782092505566215E-3</v>
      </c>
      <c r="H580" s="5">
        <f t="shared" si="38"/>
        <v>-3.3651149747616627E-3</v>
      </c>
      <c r="I580" s="5">
        <f t="shared" si="39"/>
        <v>-8.1339712918659934E-3</v>
      </c>
    </row>
    <row r="581" spans="1:9" x14ac:dyDescent="0.2">
      <c r="A581" s="42">
        <v>45277</v>
      </c>
      <c r="B581" s="41">
        <v>1843.83</v>
      </c>
      <c r="C581" s="41">
        <v>40430</v>
      </c>
      <c r="D581" s="41">
        <v>7132</v>
      </c>
      <c r="E581" s="41">
        <v>2090</v>
      </c>
      <c r="F581" s="5">
        <f t="shared" si="36"/>
        <v>-1.2891274557066401E-3</v>
      </c>
      <c r="G581" s="5">
        <f t="shared" si="37"/>
        <v>-1.7258142926592113E-2</v>
      </c>
      <c r="H581" s="5">
        <f t="shared" si="38"/>
        <v>-6.2700292601365337E-3</v>
      </c>
      <c r="I581" s="5">
        <f t="shared" si="39"/>
        <v>3.0064070970921675E-2</v>
      </c>
    </row>
    <row r="582" spans="1:9" x14ac:dyDescent="0.2">
      <c r="A582" s="42">
        <v>45274</v>
      </c>
      <c r="B582" s="41">
        <v>1846.21</v>
      </c>
      <c r="C582" s="41">
        <v>41140</v>
      </c>
      <c r="D582" s="41">
        <v>7177</v>
      </c>
      <c r="E582" s="41">
        <v>2029</v>
      </c>
      <c r="F582" s="5">
        <f t="shared" si="36"/>
        <v>2.440310060314177E-2</v>
      </c>
      <c r="G582" s="5">
        <f t="shared" si="37"/>
        <v>4.6286876907426278E-2</v>
      </c>
      <c r="H582" s="5">
        <f t="shared" si="38"/>
        <v>1.1129895745280338E-2</v>
      </c>
      <c r="I582" s="5">
        <f t="shared" si="39"/>
        <v>-2.4582104228122459E-3</v>
      </c>
    </row>
    <row r="583" spans="1:9" x14ac:dyDescent="0.2">
      <c r="A583" s="42">
        <v>45273</v>
      </c>
      <c r="B583" s="41">
        <v>1802.23</v>
      </c>
      <c r="C583" s="41">
        <v>39320</v>
      </c>
      <c r="D583" s="41">
        <v>7098</v>
      </c>
      <c r="E583" s="41">
        <v>2034</v>
      </c>
      <c r="F583" s="5">
        <f t="shared" si="36"/>
        <v>5.1629378782003243E-4</v>
      </c>
      <c r="G583" s="5">
        <f t="shared" si="37"/>
        <v>-4.8089091369273307E-3</v>
      </c>
      <c r="H583" s="5">
        <f t="shared" si="38"/>
        <v>5.8098342071701836E-3</v>
      </c>
      <c r="I583" s="5">
        <f t="shared" si="39"/>
        <v>-5.307262569832405E-2</v>
      </c>
    </row>
    <row r="584" spans="1:9" x14ac:dyDescent="0.2">
      <c r="A584" s="42">
        <v>45272</v>
      </c>
      <c r="B584" s="41">
        <v>1801.3</v>
      </c>
      <c r="C584" s="41">
        <v>39510</v>
      </c>
      <c r="D584" s="41">
        <v>7057</v>
      </c>
      <c r="E584" s="41">
        <v>2148</v>
      </c>
      <c r="F584" s="5">
        <f t="shared" si="36"/>
        <v>-5.7788792175607062E-3</v>
      </c>
      <c r="G584" s="5">
        <f t="shared" si="37"/>
        <v>1.2298232129131392E-2</v>
      </c>
      <c r="H584" s="5">
        <f t="shared" si="38"/>
        <v>3.2698322433892812E-3</v>
      </c>
      <c r="I584" s="5">
        <f t="shared" si="39"/>
        <v>1.3986013986013734E-3</v>
      </c>
    </row>
    <row r="585" spans="1:9" x14ac:dyDescent="0.2">
      <c r="A585" s="42">
        <v>45271</v>
      </c>
      <c r="B585" s="41">
        <v>1811.77</v>
      </c>
      <c r="C585" s="41">
        <v>39030</v>
      </c>
      <c r="D585" s="41">
        <v>7034</v>
      </c>
      <c r="E585" s="41">
        <v>2145</v>
      </c>
      <c r="F585" s="5">
        <f t="shared" si="36"/>
        <v>-1.0615931542532042E-2</v>
      </c>
      <c r="G585" s="5">
        <f t="shared" si="37"/>
        <v>-1.3147914032869745E-2</v>
      </c>
      <c r="H585" s="5">
        <f t="shared" si="38"/>
        <v>-1.0689170182841101E-2</v>
      </c>
      <c r="I585" s="5">
        <f t="shared" si="39"/>
        <v>8.4626234132580969E-3</v>
      </c>
    </row>
    <row r="586" spans="1:9" x14ac:dyDescent="0.2">
      <c r="A586" s="42">
        <v>45270</v>
      </c>
      <c r="B586" s="41">
        <v>1831.21</v>
      </c>
      <c r="C586" s="41">
        <v>39550</v>
      </c>
      <c r="D586" s="41">
        <v>7110</v>
      </c>
      <c r="E586" s="41">
        <v>2127</v>
      </c>
      <c r="F586" s="5">
        <f t="shared" si="36"/>
        <v>-3.0571523717493054E-4</v>
      </c>
      <c r="G586" s="5">
        <f t="shared" si="37"/>
        <v>-1.1249999999999982E-2</v>
      </c>
      <c r="H586" s="5">
        <f t="shared" si="38"/>
        <v>2.2874406560207117E-2</v>
      </c>
      <c r="I586" s="5">
        <f t="shared" si="39"/>
        <v>9.4117647058822307E-4</v>
      </c>
    </row>
    <row r="587" spans="1:9" x14ac:dyDescent="0.2">
      <c r="A587" s="42">
        <v>45267</v>
      </c>
      <c r="B587" s="41">
        <v>1831.77</v>
      </c>
      <c r="C587" s="41">
        <v>40000</v>
      </c>
      <c r="D587" s="41">
        <v>6951</v>
      </c>
      <c r="E587" s="41">
        <v>2125</v>
      </c>
      <c r="F587" s="5">
        <f t="shared" si="36"/>
        <v>-1.879883610684252E-3</v>
      </c>
      <c r="G587" s="5">
        <f t="shared" si="37"/>
        <v>-1.7199017199017175E-2</v>
      </c>
      <c r="H587" s="5">
        <f t="shared" si="38"/>
        <v>2.0554984583761593E-2</v>
      </c>
      <c r="I587" s="5">
        <f t="shared" si="39"/>
        <v>0</v>
      </c>
    </row>
    <row r="588" spans="1:9" x14ac:dyDescent="0.2">
      <c r="A588" s="42">
        <v>45266</v>
      </c>
      <c r="B588" s="41">
        <v>1835.22</v>
      </c>
      <c r="C588" s="41">
        <v>40700</v>
      </c>
      <c r="D588" s="41">
        <v>6811</v>
      </c>
      <c r="E588" s="41">
        <v>2125</v>
      </c>
      <c r="F588" s="5">
        <f t="shared" si="36"/>
        <v>1.2657537236073768E-3</v>
      </c>
      <c r="G588" s="5">
        <f t="shared" si="37"/>
        <v>3.8265306122448939E-2</v>
      </c>
      <c r="H588" s="5">
        <f t="shared" si="38"/>
        <v>1.0834075393291842E-2</v>
      </c>
      <c r="I588" s="5">
        <f t="shared" si="39"/>
        <v>-1.1627906976744207E-2</v>
      </c>
    </row>
    <row r="589" spans="1:9" x14ac:dyDescent="0.2">
      <c r="A589" s="42">
        <v>45265</v>
      </c>
      <c r="B589" s="41">
        <v>1832.9</v>
      </c>
      <c r="C589" s="41">
        <v>39200</v>
      </c>
      <c r="D589" s="41">
        <v>6738</v>
      </c>
      <c r="E589" s="41">
        <v>2150</v>
      </c>
      <c r="F589" s="5">
        <f t="shared" si="36"/>
        <v>1.213747708347146E-2</v>
      </c>
      <c r="G589" s="5">
        <f t="shared" si="37"/>
        <v>3.6488630354309937E-2</v>
      </c>
      <c r="H589" s="5">
        <f t="shared" si="38"/>
        <v>1.0194902548725571E-2</v>
      </c>
      <c r="I589" s="5">
        <f t="shared" si="39"/>
        <v>-2.2727272727272707E-2</v>
      </c>
    </row>
    <row r="590" spans="1:9" x14ac:dyDescent="0.2">
      <c r="A590" s="42">
        <v>45264</v>
      </c>
      <c r="B590" s="41">
        <v>1810.92</v>
      </c>
      <c r="C590" s="41">
        <v>37820</v>
      </c>
      <c r="D590" s="41">
        <v>6670</v>
      </c>
      <c r="E590" s="41">
        <v>2200</v>
      </c>
      <c r="F590" s="5">
        <f t="shared" si="36"/>
        <v>1.4101096567629146E-3</v>
      </c>
      <c r="G590" s="5">
        <f t="shared" si="37"/>
        <v>-5.2603892688058984E-3</v>
      </c>
      <c r="H590" s="5">
        <f t="shared" si="38"/>
        <v>2.018966044661985E-2</v>
      </c>
      <c r="I590" s="5">
        <f t="shared" si="39"/>
        <v>2.3731968357375566E-2</v>
      </c>
    </row>
    <row r="591" spans="1:9" x14ac:dyDescent="0.2">
      <c r="A591" s="42">
        <v>45263</v>
      </c>
      <c r="B591" s="41">
        <v>1808.37</v>
      </c>
      <c r="C591" s="41">
        <v>38020</v>
      </c>
      <c r="D591" s="41">
        <v>6538</v>
      </c>
      <c r="E591" s="41">
        <v>2149</v>
      </c>
      <c r="F591" s="5">
        <f t="shared" si="36"/>
        <v>8.7747679400214107E-3</v>
      </c>
      <c r="G591" s="5">
        <f t="shared" si="37"/>
        <v>-7.3107049608355235E-3</v>
      </c>
      <c r="H591" s="5">
        <f t="shared" si="38"/>
        <v>5.8461538461538343E-3</v>
      </c>
      <c r="I591" s="5">
        <f t="shared" si="39"/>
        <v>0</v>
      </c>
    </row>
    <row r="592" spans="1:9" x14ac:dyDescent="0.2">
      <c r="A592" s="42">
        <v>45260</v>
      </c>
      <c r="B592" s="41">
        <v>1792.64</v>
      </c>
      <c r="C592" s="41">
        <v>38300</v>
      </c>
      <c r="D592" s="41">
        <v>6500</v>
      </c>
      <c r="E592" s="41">
        <v>2149</v>
      </c>
      <c r="F592" s="5">
        <f t="shared" si="36"/>
        <v>-1.7747653463230706E-2</v>
      </c>
      <c r="G592" s="5">
        <f t="shared" si="37"/>
        <v>-1.7696845344960299E-2</v>
      </c>
      <c r="H592" s="5">
        <f t="shared" si="38"/>
        <v>-2.7237354085603127E-2</v>
      </c>
      <c r="I592" s="5">
        <f t="shared" si="39"/>
        <v>-5.3303964757709266E-2</v>
      </c>
    </row>
    <row r="593" spans="1:9" x14ac:dyDescent="0.2">
      <c r="A593" s="42">
        <v>45259</v>
      </c>
      <c r="B593" s="41">
        <v>1825.03</v>
      </c>
      <c r="C593" s="41">
        <v>38990</v>
      </c>
      <c r="D593" s="41">
        <v>6682</v>
      </c>
      <c r="E593" s="41">
        <v>2270</v>
      </c>
      <c r="F593" s="5">
        <f t="shared" si="36"/>
        <v>9.0062695578136953E-3</v>
      </c>
      <c r="G593" s="5">
        <f t="shared" si="37"/>
        <v>1.5364583333333348E-2</v>
      </c>
      <c r="H593" s="5">
        <f t="shared" si="38"/>
        <v>4.1134309753817488E-2</v>
      </c>
      <c r="I593" s="5">
        <f t="shared" si="39"/>
        <v>0</v>
      </c>
    </row>
    <row r="594" spans="1:9" x14ac:dyDescent="0.2">
      <c r="A594" s="42">
        <v>45258</v>
      </c>
      <c r="B594" s="41">
        <v>1808.74</v>
      </c>
      <c r="C594" s="41">
        <v>38400</v>
      </c>
      <c r="D594" s="41">
        <v>6418</v>
      </c>
      <c r="E594" s="41">
        <v>2270</v>
      </c>
      <c r="F594" s="5">
        <f t="shared" si="36"/>
        <v>4.7327548855140567E-3</v>
      </c>
      <c r="G594" s="5">
        <f t="shared" si="37"/>
        <v>1.1324730050039422E-2</v>
      </c>
      <c r="H594" s="5">
        <f t="shared" si="38"/>
        <v>-3.7492501499700071E-2</v>
      </c>
      <c r="I594" s="5">
        <f t="shared" si="39"/>
        <v>8.818342151675207E-4</v>
      </c>
    </row>
    <row r="595" spans="1:9" x14ac:dyDescent="0.2">
      <c r="A595" s="42">
        <v>45257</v>
      </c>
      <c r="B595" s="41">
        <v>1800.22</v>
      </c>
      <c r="C595" s="41">
        <v>37970</v>
      </c>
      <c r="D595" s="41">
        <v>6668</v>
      </c>
      <c r="E595" s="41">
        <v>2268</v>
      </c>
      <c r="F595" s="5">
        <f t="shared" si="36"/>
        <v>-9.4585151396767708E-3</v>
      </c>
      <c r="G595" s="5">
        <f t="shared" si="37"/>
        <v>-2.0634511220015472E-2</v>
      </c>
      <c r="H595" s="5">
        <f t="shared" si="38"/>
        <v>-1.7243920412674973E-2</v>
      </c>
      <c r="I595" s="5">
        <f t="shared" si="39"/>
        <v>0</v>
      </c>
    </row>
    <row r="596" spans="1:9" x14ac:dyDescent="0.2">
      <c r="A596" s="42">
        <v>45256</v>
      </c>
      <c r="B596" s="41">
        <v>1817.41</v>
      </c>
      <c r="C596" s="41">
        <v>38770</v>
      </c>
      <c r="D596" s="41">
        <v>6785</v>
      </c>
      <c r="E596" s="41">
        <v>2268</v>
      </c>
      <c r="F596" s="5">
        <f t="shared" si="36"/>
        <v>3.2846433263775676E-3</v>
      </c>
      <c r="G596" s="5">
        <f t="shared" si="37"/>
        <v>2.5390108436921466E-2</v>
      </c>
      <c r="H596" s="5">
        <f t="shared" si="38"/>
        <v>9.973206311402194E-3</v>
      </c>
      <c r="I596" s="5">
        <f t="shared" si="39"/>
        <v>3.9840637450199168E-3</v>
      </c>
    </row>
    <row r="597" spans="1:9" x14ac:dyDescent="0.2">
      <c r="A597" s="42">
        <v>45253</v>
      </c>
      <c r="B597" s="41">
        <v>1811.46</v>
      </c>
      <c r="C597" s="41">
        <v>37810</v>
      </c>
      <c r="D597" s="41">
        <v>6718</v>
      </c>
      <c r="E597" s="41">
        <v>2259</v>
      </c>
      <c r="F597" s="5">
        <f t="shared" si="36"/>
        <v>2.0910780669145534E-3</v>
      </c>
      <c r="G597" s="5">
        <f t="shared" si="37"/>
        <v>4.2496679946879556E-3</v>
      </c>
      <c r="H597" s="5">
        <f t="shared" si="38"/>
        <v>1.4190821256038655E-2</v>
      </c>
      <c r="I597" s="5">
        <f t="shared" si="39"/>
        <v>-3.8723404255319172E-2</v>
      </c>
    </row>
    <row r="598" spans="1:9" x14ac:dyDescent="0.2">
      <c r="A598" s="42">
        <v>45252</v>
      </c>
      <c r="B598" s="41">
        <v>1807.68</v>
      </c>
      <c r="C598" s="41">
        <v>37650</v>
      </c>
      <c r="D598" s="41">
        <v>6624</v>
      </c>
      <c r="E598" s="41">
        <v>2350</v>
      </c>
      <c r="F598" s="5">
        <f t="shared" si="36"/>
        <v>2.2848412833135434E-2</v>
      </c>
      <c r="G598" s="5">
        <f t="shared" si="37"/>
        <v>5.6089743589744501E-3</v>
      </c>
      <c r="H598" s="5">
        <f t="shared" si="38"/>
        <v>1.1143336895130584E-2</v>
      </c>
      <c r="I598" s="5">
        <f t="shared" si="39"/>
        <v>3.524229074889873E-2</v>
      </c>
    </row>
    <row r="599" spans="1:9" x14ac:dyDescent="0.2">
      <c r="A599" s="42">
        <v>45251</v>
      </c>
      <c r="B599" s="41">
        <v>1767.3</v>
      </c>
      <c r="C599" s="41">
        <v>37440</v>
      </c>
      <c r="D599" s="41">
        <v>6551</v>
      </c>
      <c r="E599" s="41">
        <v>2270</v>
      </c>
      <c r="F599" s="5">
        <f t="shared" si="36"/>
        <v>6.3777689197654919E-3</v>
      </c>
      <c r="G599" s="5">
        <f t="shared" si="37"/>
        <v>1.1618481491488808E-2</v>
      </c>
      <c r="H599" s="5">
        <f t="shared" si="38"/>
        <v>8.6220169361046484E-3</v>
      </c>
      <c r="I599" s="5">
        <f t="shared" si="39"/>
        <v>0</v>
      </c>
    </row>
    <row r="600" spans="1:9" x14ac:dyDescent="0.2">
      <c r="A600" s="42">
        <v>45250</v>
      </c>
      <c r="B600" s="41">
        <v>1756.1</v>
      </c>
      <c r="C600" s="41">
        <v>37010</v>
      </c>
      <c r="D600" s="41">
        <v>6495</v>
      </c>
      <c r="E600" s="41">
        <v>2270</v>
      </c>
      <c r="F600" s="5">
        <f t="shared" si="36"/>
        <v>1.1951410658307182E-2</v>
      </c>
      <c r="G600" s="5">
        <f t="shared" si="37"/>
        <v>1.3694878115584785E-2</v>
      </c>
      <c r="H600" s="5">
        <f t="shared" si="38"/>
        <v>-3.0783438510084693E-4</v>
      </c>
      <c r="I600" s="5">
        <f t="shared" si="39"/>
        <v>4.4072278536799736E-4</v>
      </c>
    </row>
    <row r="601" spans="1:9" x14ac:dyDescent="0.2">
      <c r="A601" s="42">
        <v>45249</v>
      </c>
      <c r="B601" s="41">
        <v>1735.36</v>
      </c>
      <c r="C601" s="41">
        <v>36510</v>
      </c>
      <c r="D601" s="41">
        <v>6497</v>
      </c>
      <c r="E601" s="41">
        <v>2269</v>
      </c>
      <c r="F601" s="5">
        <f t="shared" si="36"/>
        <v>-4.5602904818994316E-3</v>
      </c>
      <c r="G601" s="5">
        <f t="shared" si="37"/>
        <v>-2.7314941272876814E-3</v>
      </c>
      <c r="H601" s="5">
        <f t="shared" si="38"/>
        <v>-3.068896731625026E-3</v>
      </c>
      <c r="I601" s="5">
        <f t="shared" si="39"/>
        <v>0</v>
      </c>
    </row>
    <row r="602" spans="1:9" x14ac:dyDescent="0.2">
      <c r="A602" s="42">
        <v>45246</v>
      </c>
      <c r="B602" s="41">
        <v>1743.31</v>
      </c>
      <c r="C602" s="41">
        <v>36610</v>
      </c>
      <c r="D602" s="41">
        <v>6517</v>
      </c>
      <c r="E602" s="41">
        <v>2269</v>
      </c>
      <c r="F602" s="5">
        <f t="shared" si="36"/>
        <v>1.1288685210430138E-2</v>
      </c>
      <c r="G602" s="5">
        <f t="shared" si="37"/>
        <v>-7.8590785907859395E-3</v>
      </c>
      <c r="H602" s="5">
        <f t="shared" si="38"/>
        <v>7.575757575757569E-3</v>
      </c>
      <c r="I602" s="5">
        <f t="shared" si="39"/>
        <v>0</v>
      </c>
    </row>
    <row r="603" spans="1:9" x14ac:dyDescent="0.2">
      <c r="A603" s="42">
        <v>45245</v>
      </c>
      <c r="B603" s="41">
        <v>1723.85</v>
      </c>
      <c r="C603" s="41">
        <v>36900</v>
      </c>
      <c r="D603" s="41">
        <v>6468</v>
      </c>
      <c r="E603" s="41">
        <v>2269</v>
      </c>
      <c r="F603" s="5">
        <f t="shared" si="36"/>
        <v>2.733909199313489E-3</v>
      </c>
      <c r="G603" s="5">
        <f t="shared" si="37"/>
        <v>-1.3896312132549493E-2</v>
      </c>
      <c r="H603" s="5">
        <f t="shared" si="38"/>
        <v>-2.3845457289465744E-2</v>
      </c>
      <c r="I603" s="5">
        <f t="shared" si="39"/>
        <v>-3.5699107522311979E-2</v>
      </c>
    </row>
    <row r="604" spans="1:9" x14ac:dyDescent="0.2">
      <c r="A604" s="42">
        <v>45244</v>
      </c>
      <c r="B604" s="41">
        <v>1719.15</v>
      </c>
      <c r="C604" s="41">
        <v>37420</v>
      </c>
      <c r="D604" s="41">
        <v>6626</v>
      </c>
      <c r="E604" s="41">
        <v>2353</v>
      </c>
      <c r="F604" s="5">
        <f t="shared" si="36"/>
        <v>2.065472939276658E-2</v>
      </c>
      <c r="G604" s="5">
        <f t="shared" si="37"/>
        <v>6.3370275646490448E-2</v>
      </c>
      <c r="H604" s="5">
        <f t="shared" si="38"/>
        <v>0</v>
      </c>
      <c r="I604" s="5">
        <f t="shared" si="39"/>
        <v>6.8463842533161845E-3</v>
      </c>
    </row>
    <row r="605" spans="1:9" x14ac:dyDescent="0.2">
      <c r="A605" s="42">
        <v>45243</v>
      </c>
      <c r="B605" s="41">
        <v>1684.36</v>
      </c>
      <c r="C605" s="41">
        <v>35190</v>
      </c>
      <c r="D605" s="41">
        <v>6626</v>
      </c>
      <c r="E605" s="41">
        <v>2337</v>
      </c>
      <c r="F605" s="5">
        <f t="shared" si="36"/>
        <v>-5.7082814353937028E-3</v>
      </c>
      <c r="G605" s="5">
        <f t="shared" si="37"/>
        <v>-7.3342736248237506E-3</v>
      </c>
      <c r="H605" s="5">
        <f t="shared" si="38"/>
        <v>-2.2569700545803206E-2</v>
      </c>
      <c r="I605" s="5">
        <f t="shared" si="39"/>
        <v>0</v>
      </c>
    </row>
    <row r="606" spans="1:9" x14ac:dyDescent="0.2">
      <c r="A606" s="42">
        <v>45242</v>
      </c>
      <c r="B606" s="41">
        <v>1694.03</v>
      </c>
      <c r="C606" s="41">
        <v>35450</v>
      </c>
      <c r="D606" s="41">
        <v>6779</v>
      </c>
      <c r="E606" s="41">
        <v>2337</v>
      </c>
      <c r="F606" s="5">
        <f t="shared" si="36"/>
        <v>-1.6762338137221389E-2</v>
      </c>
      <c r="G606" s="5">
        <f t="shared" si="37"/>
        <v>-1.5277777777777724E-2</v>
      </c>
      <c r="H606" s="5">
        <f t="shared" si="38"/>
        <v>-7.7576112412177656E-3</v>
      </c>
      <c r="I606" s="5">
        <f t="shared" si="39"/>
        <v>8.565310492505418E-4</v>
      </c>
    </row>
    <row r="607" spans="1:9" x14ac:dyDescent="0.2">
      <c r="A607" s="42">
        <v>45239</v>
      </c>
      <c r="B607" s="41">
        <v>1722.91</v>
      </c>
      <c r="C607" s="41">
        <v>36000</v>
      </c>
      <c r="D607" s="41">
        <v>6832</v>
      </c>
      <c r="E607" s="41">
        <v>2335</v>
      </c>
      <c r="F607" s="5">
        <f t="shared" si="36"/>
        <v>-6.2752697846912842E-3</v>
      </c>
      <c r="G607" s="5">
        <f t="shared" si="37"/>
        <v>-2.7700831024930483E-3</v>
      </c>
      <c r="H607" s="5">
        <f t="shared" si="38"/>
        <v>-8.9933275311865346E-3</v>
      </c>
      <c r="I607" s="5">
        <f t="shared" si="39"/>
        <v>6.4655172413792261E-3</v>
      </c>
    </row>
    <row r="608" spans="1:9" x14ac:dyDescent="0.2">
      <c r="A608" s="42">
        <v>45238</v>
      </c>
      <c r="B608" s="41">
        <v>1733.79</v>
      </c>
      <c r="C608" s="41">
        <v>36100</v>
      </c>
      <c r="D608" s="41">
        <v>6894</v>
      </c>
      <c r="E608" s="41">
        <v>2320</v>
      </c>
      <c r="F608" s="5">
        <f t="shared" si="36"/>
        <v>-6.8623014486444145E-3</v>
      </c>
      <c r="G608" s="5">
        <f t="shared" si="37"/>
        <v>-2.74784482758621E-2</v>
      </c>
      <c r="H608" s="5">
        <f t="shared" si="38"/>
        <v>2.0348837209303028E-3</v>
      </c>
      <c r="I608" s="5">
        <f t="shared" si="39"/>
        <v>3.6176864671728426E-2</v>
      </c>
    </row>
    <row r="609" spans="1:9" x14ac:dyDescent="0.2">
      <c r="A609" s="42">
        <v>45237</v>
      </c>
      <c r="B609" s="41">
        <v>1745.77</v>
      </c>
      <c r="C609" s="41">
        <v>37120</v>
      </c>
      <c r="D609" s="41">
        <v>6880</v>
      </c>
      <c r="E609" s="41">
        <v>2239</v>
      </c>
      <c r="F609" s="5">
        <f t="shared" si="36"/>
        <v>1.3562392229492293E-2</v>
      </c>
      <c r="G609" s="5">
        <f t="shared" si="37"/>
        <v>1.6986301369863011E-2</v>
      </c>
      <c r="H609" s="5">
        <f t="shared" si="38"/>
        <v>2.1226065014101181E-2</v>
      </c>
      <c r="I609" s="5">
        <f t="shared" si="39"/>
        <v>8.9405453732682716E-4</v>
      </c>
    </row>
    <row r="610" spans="1:9" x14ac:dyDescent="0.2">
      <c r="A610" s="42">
        <v>45236</v>
      </c>
      <c r="B610" s="41">
        <v>1722.41</v>
      </c>
      <c r="C610" s="41">
        <v>36500</v>
      </c>
      <c r="D610" s="41">
        <v>6737</v>
      </c>
      <c r="E610" s="41">
        <v>2237</v>
      </c>
      <c r="F610" s="5">
        <f t="shared" si="36"/>
        <v>-1.1041317379022031E-2</v>
      </c>
      <c r="G610" s="5">
        <f t="shared" si="37"/>
        <v>5.5096418732782926E-3</v>
      </c>
      <c r="H610" s="5">
        <f t="shared" si="38"/>
        <v>-1.1590375586854496E-2</v>
      </c>
      <c r="I610" s="5">
        <f t="shared" si="39"/>
        <v>3.9015327450069748E-2</v>
      </c>
    </row>
    <row r="611" spans="1:9" x14ac:dyDescent="0.2">
      <c r="A611" s="42">
        <v>45235</v>
      </c>
      <c r="B611" s="41">
        <v>1741.64</v>
      </c>
      <c r="C611" s="41">
        <v>36300</v>
      </c>
      <c r="D611" s="41">
        <v>6816</v>
      </c>
      <c r="E611" s="41">
        <v>2153</v>
      </c>
      <c r="F611" s="5">
        <f t="shared" si="36"/>
        <v>2.3494705170245433E-2</v>
      </c>
      <c r="G611" s="5">
        <f t="shared" si="37"/>
        <v>-1.2782159369050805E-2</v>
      </c>
      <c r="H611" s="5">
        <f t="shared" si="38"/>
        <v>1.0376519418914931E-2</v>
      </c>
      <c r="I611" s="5">
        <f t="shared" si="39"/>
        <v>5.1353874883286466E-3</v>
      </c>
    </row>
    <row r="612" spans="1:9" x14ac:dyDescent="0.2">
      <c r="A612" s="42">
        <v>45232</v>
      </c>
      <c r="B612" s="41">
        <v>1701.66</v>
      </c>
      <c r="C612" s="41">
        <v>36770</v>
      </c>
      <c r="D612" s="41">
        <v>6746</v>
      </c>
      <c r="E612" s="41">
        <v>2142</v>
      </c>
      <c r="F612" s="5">
        <f t="shared" si="36"/>
        <v>1.9183891041727685E-2</v>
      </c>
      <c r="G612" s="5">
        <f t="shared" si="37"/>
        <v>4.847447961220408E-2</v>
      </c>
      <c r="H612" s="5">
        <f t="shared" si="38"/>
        <v>8.3707025411061675E-3</v>
      </c>
      <c r="I612" s="5">
        <f t="shared" si="39"/>
        <v>4.2194092827003704E-3</v>
      </c>
    </row>
    <row r="613" spans="1:9" x14ac:dyDescent="0.2">
      <c r="A613" s="42">
        <v>45231</v>
      </c>
      <c r="B613" s="41">
        <v>1669.63</v>
      </c>
      <c r="C613" s="41">
        <v>35070</v>
      </c>
      <c r="D613" s="41">
        <v>6690</v>
      </c>
      <c r="E613" s="41">
        <v>2133</v>
      </c>
      <c r="F613" s="5">
        <f t="shared" si="36"/>
        <v>7.0266227578137386E-3</v>
      </c>
      <c r="G613" s="5">
        <f t="shared" si="37"/>
        <v>4.9057732575531032E-2</v>
      </c>
      <c r="H613" s="5">
        <f t="shared" si="38"/>
        <v>2.4659212743145975E-2</v>
      </c>
      <c r="I613" s="5">
        <f t="shared" si="39"/>
        <v>0</v>
      </c>
    </row>
    <row r="614" spans="1:9" x14ac:dyDescent="0.2">
      <c r="A614" s="42">
        <v>45230</v>
      </c>
      <c r="B614" s="41">
        <v>1657.98</v>
      </c>
      <c r="C614" s="41">
        <v>33430</v>
      </c>
      <c r="D614" s="41">
        <v>6529</v>
      </c>
      <c r="E614" s="41">
        <v>2133</v>
      </c>
      <c r="F614" s="5">
        <f t="shared" si="36"/>
        <v>6.1558516801851759E-4</v>
      </c>
      <c r="G614" s="5">
        <f t="shared" si="37"/>
        <v>3.903903903903938E-3</v>
      </c>
      <c r="H614" s="5">
        <f t="shared" si="38"/>
        <v>8.0284082136792279E-3</v>
      </c>
      <c r="I614" s="5">
        <f t="shared" si="39"/>
        <v>1.2820512820512775E-2</v>
      </c>
    </row>
    <row r="615" spans="1:9" x14ac:dyDescent="0.2">
      <c r="A615" s="42">
        <v>45229</v>
      </c>
      <c r="B615" s="41">
        <v>1656.96</v>
      </c>
      <c r="C615" s="41">
        <v>33300</v>
      </c>
      <c r="D615" s="41">
        <v>6477</v>
      </c>
      <c r="E615" s="41">
        <v>2106</v>
      </c>
      <c r="F615" s="5">
        <f t="shared" si="36"/>
        <v>1.7782446053771217E-2</v>
      </c>
      <c r="G615" s="5">
        <f t="shared" si="37"/>
        <v>3.0321782178217793E-2</v>
      </c>
      <c r="H615" s="5">
        <f t="shared" si="38"/>
        <v>1.0137242669993718E-2</v>
      </c>
      <c r="I615" s="5">
        <f t="shared" si="39"/>
        <v>0</v>
      </c>
    </row>
    <row r="616" spans="1:9" x14ac:dyDescent="0.2">
      <c r="A616" s="42">
        <v>45228</v>
      </c>
      <c r="B616" s="41">
        <v>1628.01</v>
      </c>
      <c r="C616" s="41">
        <v>32320</v>
      </c>
      <c r="D616" s="41">
        <v>6412</v>
      </c>
      <c r="E616" s="41">
        <v>2106</v>
      </c>
      <c r="F616" s="5">
        <f t="shared" si="36"/>
        <v>1.2179654567836762E-2</v>
      </c>
      <c r="G616" s="5">
        <f t="shared" si="37"/>
        <v>3.7267080745342351E-3</v>
      </c>
      <c r="H616" s="5">
        <f t="shared" si="38"/>
        <v>-1.559332605645114E-4</v>
      </c>
      <c r="I616" s="5">
        <f t="shared" si="39"/>
        <v>-1.0338345864661647E-2</v>
      </c>
    </row>
    <row r="617" spans="1:9" x14ac:dyDescent="0.2">
      <c r="A617" s="42">
        <v>45225</v>
      </c>
      <c r="B617" s="41">
        <v>1608.42</v>
      </c>
      <c r="C617" s="41">
        <v>32200</v>
      </c>
      <c r="D617" s="41">
        <v>6413</v>
      </c>
      <c r="E617" s="41">
        <v>2128</v>
      </c>
      <c r="F617" s="5">
        <f t="shared" si="36"/>
        <v>-1.1875287974197457E-2</v>
      </c>
      <c r="G617" s="5">
        <f t="shared" si="37"/>
        <v>-2.0085209981740682E-2</v>
      </c>
      <c r="H617" s="5">
        <f t="shared" si="38"/>
        <v>-1.5958263004449913E-2</v>
      </c>
      <c r="I617" s="5">
        <f t="shared" si="39"/>
        <v>1.4783023366714332E-2</v>
      </c>
    </row>
    <row r="618" spans="1:9" x14ac:dyDescent="0.2">
      <c r="A618" s="42">
        <v>45224</v>
      </c>
      <c r="B618" s="41">
        <v>1627.75</v>
      </c>
      <c r="C618" s="41">
        <v>32860</v>
      </c>
      <c r="D618" s="41">
        <v>6517</v>
      </c>
      <c r="E618" s="41">
        <v>2097</v>
      </c>
      <c r="F618" s="5">
        <f t="shared" si="36"/>
        <v>-3.0440001959919361E-3</v>
      </c>
      <c r="G618" s="5">
        <f t="shared" si="37"/>
        <v>2.6874999999999982E-2</v>
      </c>
      <c r="H618" s="5">
        <f t="shared" si="38"/>
        <v>-2.2792022792022748E-2</v>
      </c>
      <c r="I618" s="5">
        <f t="shared" si="39"/>
        <v>-4.0713632204940509E-2</v>
      </c>
    </row>
    <row r="619" spans="1:9" x14ac:dyDescent="0.2">
      <c r="A619" s="42">
        <v>45223</v>
      </c>
      <c r="B619" s="41">
        <v>1632.72</v>
      </c>
      <c r="C619" s="41">
        <v>32000</v>
      </c>
      <c r="D619" s="41">
        <v>6669</v>
      </c>
      <c r="E619" s="41">
        <v>2186</v>
      </c>
      <c r="F619" s="5">
        <f t="shared" si="36"/>
        <v>5.759623499264066E-3</v>
      </c>
      <c r="G619" s="5">
        <f t="shared" si="37"/>
        <v>1.1058451816745585E-2</v>
      </c>
      <c r="H619" s="5">
        <f t="shared" si="38"/>
        <v>-1.7961383026493527E-3</v>
      </c>
      <c r="I619" s="5">
        <f t="shared" si="39"/>
        <v>-2.9738126941855292E-2</v>
      </c>
    </row>
    <row r="620" spans="1:9" x14ac:dyDescent="0.2">
      <c r="A620" s="42">
        <v>45222</v>
      </c>
      <c r="B620" s="41">
        <v>1623.37</v>
      </c>
      <c r="C620" s="41">
        <v>31650</v>
      </c>
      <c r="D620" s="41">
        <v>6681</v>
      </c>
      <c r="E620" s="41">
        <v>2253</v>
      </c>
      <c r="F620" s="5">
        <f t="shared" si="36"/>
        <v>-1.0315249132775373E-2</v>
      </c>
      <c r="G620" s="5">
        <f t="shared" si="37"/>
        <v>1.5822784810126667E-3</v>
      </c>
      <c r="H620" s="5">
        <f t="shared" si="38"/>
        <v>-1.7929179740027168E-3</v>
      </c>
      <c r="I620" s="5">
        <f t="shared" si="39"/>
        <v>-2.4252923343438759E-2</v>
      </c>
    </row>
    <row r="621" spans="1:9" x14ac:dyDescent="0.2">
      <c r="A621" s="42">
        <v>45221</v>
      </c>
      <c r="B621" s="41">
        <v>1640.29</v>
      </c>
      <c r="C621" s="41">
        <v>31600</v>
      </c>
      <c r="D621" s="41">
        <v>6693</v>
      </c>
      <c r="E621" s="41">
        <v>2309</v>
      </c>
      <c r="F621" s="5">
        <f t="shared" si="36"/>
        <v>-2.5220920765660626E-2</v>
      </c>
      <c r="G621" s="5">
        <f t="shared" si="37"/>
        <v>-1.3732833957553092E-2</v>
      </c>
      <c r="H621" s="5">
        <f t="shared" si="38"/>
        <v>1.3783701908512525E-2</v>
      </c>
      <c r="I621" s="5">
        <f t="shared" si="39"/>
        <v>1.7628911414720116E-2</v>
      </c>
    </row>
    <row r="622" spans="1:9" x14ac:dyDescent="0.2">
      <c r="A622" s="42">
        <v>45218</v>
      </c>
      <c r="B622" s="41">
        <v>1682.73</v>
      </c>
      <c r="C622" s="41">
        <v>32040</v>
      </c>
      <c r="D622" s="41">
        <v>6602</v>
      </c>
      <c r="E622" s="41">
        <v>2269</v>
      </c>
      <c r="F622" s="5">
        <f t="shared" si="36"/>
        <v>-1.7888617819748154E-2</v>
      </c>
      <c r="G622" s="5">
        <f t="shared" si="37"/>
        <v>-5.8951287620229165E-3</v>
      </c>
      <c r="H622" s="5">
        <f t="shared" si="38"/>
        <v>2.1823247175359883E-2</v>
      </c>
      <c r="I622" s="5">
        <f t="shared" si="39"/>
        <v>0</v>
      </c>
    </row>
    <row r="623" spans="1:9" x14ac:dyDescent="0.2">
      <c r="A623" s="42">
        <v>45217</v>
      </c>
      <c r="B623" s="41">
        <v>1713.38</v>
      </c>
      <c r="C623" s="41">
        <v>32230</v>
      </c>
      <c r="D623" s="41">
        <v>6461</v>
      </c>
      <c r="E623" s="41">
        <v>2269</v>
      </c>
      <c r="F623" s="5">
        <f t="shared" si="36"/>
        <v>5.4869925998957125E-3</v>
      </c>
      <c r="G623" s="5">
        <f t="shared" si="37"/>
        <v>5.6162246489859236E-3</v>
      </c>
      <c r="H623" s="5">
        <f t="shared" si="38"/>
        <v>4.664904369460432E-3</v>
      </c>
      <c r="I623" s="5">
        <f t="shared" si="39"/>
        <v>0</v>
      </c>
    </row>
    <row r="624" spans="1:9" x14ac:dyDescent="0.2">
      <c r="A624" s="42">
        <v>45216</v>
      </c>
      <c r="B624" s="41">
        <v>1704.03</v>
      </c>
      <c r="C624" s="41">
        <v>32050</v>
      </c>
      <c r="D624" s="41">
        <v>6431</v>
      </c>
      <c r="E624" s="41">
        <v>2269</v>
      </c>
      <c r="F624" s="5">
        <f t="shared" si="36"/>
        <v>-3.9397464299700813E-3</v>
      </c>
      <c r="G624" s="5">
        <f t="shared" si="37"/>
        <v>-1.3238916256157585E-2</v>
      </c>
      <c r="H624" s="5">
        <f t="shared" si="38"/>
        <v>1.7241379310344751E-2</v>
      </c>
      <c r="I624" s="5">
        <f t="shared" si="39"/>
        <v>-1.3478260869565273E-2</v>
      </c>
    </row>
    <row r="625" spans="1:9" x14ac:dyDescent="0.2">
      <c r="A625" s="42">
        <v>45215</v>
      </c>
      <c r="B625" s="41">
        <v>1710.77</v>
      </c>
      <c r="C625" s="41">
        <v>32480</v>
      </c>
      <c r="D625" s="41">
        <v>6322</v>
      </c>
      <c r="E625" s="41">
        <v>2300</v>
      </c>
      <c r="F625" s="5">
        <f t="shared" si="36"/>
        <v>2.359797287190446E-2</v>
      </c>
      <c r="G625" s="5">
        <f t="shared" si="37"/>
        <v>4.1025641025641102E-2</v>
      </c>
      <c r="H625" s="5">
        <f t="shared" si="38"/>
        <v>-2.2095959595959114E-3</v>
      </c>
      <c r="I625" s="5">
        <f t="shared" si="39"/>
        <v>-8.6880973066894018E-4</v>
      </c>
    </row>
    <row r="626" spans="1:9" x14ac:dyDescent="0.2">
      <c r="A626" s="42">
        <v>45214</v>
      </c>
      <c r="B626" s="41">
        <v>1671.33</v>
      </c>
      <c r="C626" s="41">
        <v>31200</v>
      </c>
      <c r="D626" s="41">
        <v>6336</v>
      </c>
      <c r="E626" s="41">
        <v>2302</v>
      </c>
      <c r="F626" s="5">
        <f t="shared" si="36"/>
        <v>-3.8614635942155751E-2</v>
      </c>
      <c r="G626" s="5">
        <f t="shared" si="37"/>
        <v>-3.8224414303329235E-2</v>
      </c>
      <c r="H626" s="5">
        <f t="shared" si="38"/>
        <v>-2.0559591899829921E-2</v>
      </c>
      <c r="I626" s="5">
        <f t="shared" si="39"/>
        <v>0</v>
      </c>
    </row>
    <row r="627" spans="1:9" x14ac:dyDescent="0.2">
      <c r="A627" s="42">
        <v>45211</v>
      </c>
      <c r="B627" s="41">
        <v>1738.46</v>
      </c>
      <c r="C627" s="41">
        <v>32440</v>
      </c>
      <c r="D627" s="41">
        <v>6469</v>
      </c>
      <c r="E627" s="41">
        <v>2302</v>
      </c>
      <c r="F627" s="5">
        <f t="shared" si="36"/>
        <v>-4.5008933070684876E-3</v>
      </c>
      <c r="G627" s="5">
        <f t="shared" si="37"/>
        <v>-1.5477996965098662E-2</v>
      </c>
      <c r="H627" s="5">
        <f t="shared" si="38"/>
        <v>-1.1007491209295228E-2</v>
      </c>
      <c r="I627" s="5">
        <f t="shared" si="39"/>
        <v>1.3650374284456257E-2</v>
      </c>
    </row>
    <row r="628" spans="1:9" x14ac:dyDescent="0.2">
      <c r="A628" s="42">
        <v>45210</v>
      </c>
      <c r="B628" s="41">
        <v>1746.32</v>
      </c>
      <c r="C628" s="41">
        <v>32950</v>
      </c>
      <c r="D628" s="41">
        <v>6541</v>
      </c>
      <c r="E628" s="41">
        <v>2271</v>
      </c>
      <c r="F628" s="5">
        <f t="shared" si="36"/>
        <v>-1.4397543782417088E-2</v>
      </c>
      <c r="G628" s="5">
        <f t="shared" si="37"/>
        <v>-4.9336410848240031E-2</v>
      </c>
      <c r="H628" s="5">
        <f t="shared" si="38"/>
        <v>-4.1190266783934337E-2</v>
      </c>
      <c r="I628" s="5">
        <f t="shared" si="39"/>
        <v>-2.9072253099615253E-2</v>
      </c>
    </row>
    <row r="629" spans="1:9" x14ac:dyDescent="0.2">
      <c r="A629" s="42">
        <v>45209</v>
      </c>
      <c r="B629" s="41">
        <v>1771.83</v>
      </c>
      <c r="C629" s="41">
        <v>34660</v>
      </c>
      <c r="D629" s="41">
        <v>6822</v>
      </c>
      <c r="E629" s="41">
        <v>2339</v>
      </c>
      <c r="F629" s="5">
        <f t="shared" si="36"/>
        <v>1.4265188246675553E-2</v>
      </c>
      <c r="G629" s="5">
        <f t="shared" si="37"/>
        <v>2.6354752739117471E-2</v>
      </c>
      <c r="H629" s="5">
        <f t="shared" si="38"/>
        <v>5.2940268559962922E-2</v>
      </c>
      <c r="I629" s="5">
        <f t="shared" si="39"/>
        <v>5.1568543188655891E-3</v>
      </c>
    </row>
    <row r="630" spans="1:9" x14ac:dyDescent="0.2">
      <c r="A630" s="42">
        <v>45208</v>
      </c>
      <c r="B630" s="41">
        <v>1746.91</v>
      </c>
      <c r="C630" s="41">
        <v>33770</v>
      </c>
      <c r="D630" s="41">
        <v>6479</v>
      </c>
      <c r="E630" s="41">
        <v>2327</v>
      </c>
      <c r="F630" s="5">
        <f t="shared" si="36"/>
        <v>7.1257674901272772E-3</v>
      </c>
      <c r="G630" s="5">
        <f t="shared" si="37"/>
        <v>-8.514386376981764E-3</v>
      </c>
      <c r="H630" s="5">
        <f t="shared" si="38"/>
        <v>2.4756305121460542E-3</v>
      </c>
      <c r="I630" s="5">
        <f t="shared" si="39"/>
        <v>1.8380743982494563E-2</v>
      </c>
    </row>
    <row r="631" spans="1:9" x14ac:dyDescent="0.2">
      <c r="A631" s="42">
        <v>45207</v>
      </c>
      <c r="B631" s="41">
        <v>1734.55</v>
      </c>
      <c r="C631" s="41">
        <v>34060</v>
      </c>
      <c r="D631" s="41">
        <v>6463</v>
      </c>
      <c r="E631" s="41">
        <v>2285</v>
      </c>
      <c r="F631" s="5">
        <f t="shared" si="36"/>
        <v>-6.6934555508935012E-2</v>
      </c>
      <c r="G631" s="5">
        <f t="shared" si="37"/>
        <v>-8.5146387322052153E-2</v>
      </c>
      <c r="H631" s="5">
        <f t="shared" si="38"/>
        <v>-6.6040462427745639E-2</v>
      </c>
      <c r="I631" s="5">
        <f t="shared" si="39"/>
        <v>-5.3438276719138367E-2</v>
      </c>
    </row>
    <row r="632" spans="1:9" x14ac:dyDescent="0.2">
      <c r="A632" s="42">
        <v>45204</v>
      </c>
      <c r="B632" s="41">
        <v>1858.98</v>
      </c>
      <c r="C632" s="41">
        <v>37230</v>
      </c>
      <c r="D632" s="41">
        <v>6920</v>
      </c>
      <c r="E632" s="41">
        <v>2414</v>
      </c>
      <c r="F632" s="5">
        <f t="shared" si="36"/>
        <v>-3.1209781209781129E-3</v>
      </c>
      <c r="G632" s="5">
        <f t="shared" si="37"/>
        <v>-8.5219707057256899E-3</v>
      </c>
      <c r="H632" s="5">
        <f t="shared" si="38"/>
        <v>5.3755629812581862E-3</v>
      </c>
      <c r="I632" s="5">
        <f t="shared" si="39"/>
        <v>1.2442969722106234E-3</v>
      </c>
    </row>
    <row r="633" spans="1:9" x14ac:dyDescent="0.2">
      <c r="A633" s="42">
        <v>45203</v>
      </c>
      <c r="B633" s="41">
        <v>1864.8</v>
      </c>
      <c r="C633" s="41">
        <v>37550</v>
      </c>
      <c r="D633" s="41">
        <v>6883</v>
      </c>
      <c r="E633" s="41">
        <v>2411</v>
      </c>
      <c r="F633" s="5">
        <f t="shared" si="36"/>
        <v>-1.1534221016029189E-2</v>
      </c>
      <c r="G633" s="5">
        <f t="shared" si="37"/>
        <v>-1.7015706806282727E-2</v>
      </c>
      <c r="H633" s="5">
        <f t="shared" si="38"/>
        <v>1.3092813500146239E-3</v>
      </c>
      <c r="I633" s="5">
        <f t="shared" si="39"/>
        <v>2.9118136439267861E-3</v>
      </c>
    </row>
    <row r="634" spans="1:9" x14ac:dyDescent="0.2">
      <c r="A634" s="42">
        <v>45202</v>
      </c>
      <c r="B634" s="41">
        <v>1886.56</v>
      </c>
      <c r="C634" s="41">
        <v>38200</v>
      </c>
      <c r="D634" s="41">
        <v>6874</v>
      </c>
      <c r="E634" s="41">
        <v>2404</v>
      </c>
      <c r="F634" s="5">
        <f t="shared" si="36"/>
        <v>-8.8212887803084117E-3</v>
      </c>
      <c r="G634" s="5">
        <f t="shared" si="37"/>
        <v>-2.089864158829724E-3</v>
      </c>
      <c r="H634" s="5">
        <f t="shared" si="38"/>
        <v>-2.3222060957910351E-3</v>
      </c>
      <c r="I634" s="5">
        <f t="shared" si="39"/>
        <v>0</v>
      </c>
    </row>
    <row r="635" spans="1:9" x14ac:dyDescent="0.2">
      <c r="A635" s="42">
        <v>45201</v>
      </c>
      <c r="B635" s="41">
        <v>1903.35</v>
      </c>
      <c r="C635" s="41">
        <v>38280</v>
      </c>
      <c r="D635" s="41">
        <v>6890</v>
      </c>
      <c r="E635" s="41">
        <v>2404</v>
      </c>
      <c r="F635" s="5">
        <f t="shared" si="36"/>
        <v>2.6497113236967351E-3</v>
      </c>
      <c r="G635" s="5">
        <f t="shared" si="37"/>
        <v>-1.161890007745936E-2</v>
      </c>
      <c r="H635" s="5">
        <f t="shared" si="38"/>
        <v>-7.2516316171133965E-4</v>
      </c>
      <c r="I635" s="5">
        <f t="shared" si="39"/>
        <v>0</v>
      </c>
    </row>
    <row r="636" spans="1:9" x14ac:dyDescent="0.2">
      <c r="A636" s="42">
        <v>45200</v>
      </c>
      <c r="B636" s="41">
        <v>1898.32</v>
      </c>
      <c r="C636" s="41">
        <v>38730</v>
      </c>
      <c r="D636" s="41">
        <v>6895</v>
      </c>
      <c r="E636" s="41">
        <v>2404</v>
      </c>
      <c r="F636" s="5">
        <f t="shared" si="36"/>
        <v>1.2739804955079759E-2</v>
      </c>
      <c r="G636" s="5">
        <f t="shared" si="37"/>
        <v>8.5937499999999556E-3</v>
      </c>
      <c r="H636" s="5">
        <f t="shared" si="38"/>
        <v>0</v>
      </c>
      <c r="I636" s="5">
        <f t="shared" si="39"/>
        <v>2.5020850708923348E-3</v>
      </c>
    </row>
    <row r="637" spans="1:9" x14ac:dyDescent="0.2">
      <c r="A637" s="42">
        <v>45197</v>
      </c>
      <c r="B637" s="41">
        <v>1874.44</v>
      </c>
      <c r="C637" s="41">
        <v>38400</v>
      </c>
      <c r="D637" s="41">
        <v>6895</v>
      </c>
      <c r="E637" s="41">
        <v>2398</v>
      </c>
      <c r="F637" s="5">
        <f t="shared" si="36"/>
        <v>2.2028316010094251E-3</v>
      </c>
      <c r="G637" s="5">
        <f t="shared" si="37"/>
        <v>1.7488076311605649E-2</v>
      </c>
      <c r="H637" s="5">
        <f t="shared" si="38"/>
        <v>-8.1990794016110202E-3</v>
      </c>
      <c r="I637" s="5">
        <f t="shared" si="39"/>
        <v>0</v>
      </c>
    </row>
    <row r="638" spans="1:9" x14ac:dyDescent="0.2">
      <c r="A638" s="42">
        <v>45196</v>
      </c>
      <c r="B638" s="41">
        <v>1870.32</v>
      </c>
      <c r="C638" s="41">
        <v>37740</v>
      </c>
      <c r="D638" s="41">
        <v>6952</v>
      </c>
      <c r="E638" s="41">
        <v>2398</v>
      </c>
      <c r="F638" s="5">
        <f t="shared" si="36"/>
        <v>4.6355730545901697E-3</v>
      </c>
      <c r="G638" s="5">
        <f t="shared" si="37"/>
        <v>3.3689400164338634E-2</v>
      </c>
      <c r="H638" s="5">
        <f t="shared" si="38"/>
        <v>6.8066618392468303E-3</v>
      </c>
      <c r="I638" s="5">
        <f t="shared" si="39"/>
        <v>0</v>
      </c>
    </row>
    <row r="639" spans="1:9" x14ac:dyDescent="0.2">
      <c r="A639" s="42">
        <v>45195</v>
      </c>
      <c r="B639" s="41">
        <v>1861.69</v>
      </c>
      <c r="C639" s="41">
        <v>36510</v>
      </c>
      <c r="D639" s="41">
        <v>6905</v>
      </c>
      <c r="E639" s="41">
        <v>2398</v>
      </c>
      <c r="F639" s="5">
        <f t="shared" si="36"/>
        <v>-1.1106979708913167E-2</v>
      </c>
      <c r="G639" s="5">
        <f t="shared" si="37"/>
        <v>-5.1771117166212743E-3</v>
      </c>
      <c r="H639" s="5">
        <f t="shared" si="38"/>
        <v>-2.4717514124293793E-2</v>
      </c>
      <c r="I639" s="5">
        <f t="shared" si="39"/>
        <v>-2.6785714285714302E-2</v>
      </c>
    </row>
    <row r="640" spans="1:9" x14ac:dyDescent="0.2">
      <c r="A640" s="42">
        <v>45190</v>
      </c>
      <c r="B640" s="41">
        <v>1882.6</v>
      </c>
      <c r="C640" s="41">
        <v>36700</v>
      </c>
      <c r="D640" s="41">
        <v>7080</v>
      </c>
      <c r="E640" s="41">
        <v>2464</v>
      </c>
      <c r="F640" s="5">
        <f t="shared" si="36"/>
        <v>-1.5401855658070396E-4</v>
      </c>
      <c r="G640" s="5">
        <f t="shared" si="37"/>
        <v>2.732240437158362E-3</v>
      </c>
      <c r="H640" s="5">
        <f t="shared" si="38"/>
        <v>-2.8240609997176591E-4</v>
      </c>
      <c r="I640" s="5">
        <f t="shared" si="39"/>
        <v>-1.9498607242339872E-2</v>
      </c>
    </row>
    <row r="641" spans="1:9" x14ac:dyDescent="0.2">
      <c r="A641" s="42">
        <v>45189</v>
      </c>
      <c r="B641" s="41">
        <v>1882.89</v>
      </c>
      <c r="C641" s="41">
        <v>36600</v>
      </c>
      <c r="D641" s="41">
        <v>7082</v>
      </c>
      <c r="E641" s="41">
        <v>2513</v>
      </c>
      <c r="F641" s="5">
        <f t="shared" si="36"/>
        <v>1.1333179359648504E-2</v>
      </c>
      <c r="G641" s="5">
        <f t="shared" si="37"/>
        <v>2.4349286314021779E-2</v>
      </c>
      <c r="H641" s="5">
        <f t="shared" si="38"/>
        <v>1.272701272701271E-2</v>
      </c>
      <c r="I641" s="5">
        <f t="shared" si="39"/>
        <v>0</v>
      </c>
    </row>
    <row r="642" spans="1:9" x14ac:dyDescent="0.2">
      <c r="A642" s="42">
        <v>45188</v>
      </c>
      <c r="B642" s="41">
        <v>1861.79</v>
      </c>
      <c r="C642" s="41">
        <v>35730</v>
      </c>
      <c r="D642" s="41">
        <v>6993</v>
      </c>
      <c r="E642" s="41">
        <v>2513</v>
      </c>
      <c r="F642" s="5">
        <f t="shared" si="36"/>
        <v>-2.090379430666478E-3</v>
      </c>
      <c r="G642" s="5">
        <f t="shared" si="37"/>
        <v>-2.5125628140703071E-3</v>
      </c>
      <c r="H642" s="5">
        <f t="shared" si="38"/>
        <v>6.4766839378238572E-3</v>
      </c>
      <c r="I642" s="5">
        <f t="shared" si="39"/>
        <v>0</v>
      </c>
    </row>
    <row r="643" spans="1:9" x14ac:dyDescent="0.2">
      <c r="A643" s="42">
        <v>45187</v>
      </c>
      <c r="B643" s="41">
        <v>1865.69</v>
      </c>
      <c r="C643" s="41">
        <v>35820</v>
      </c>
      <c r="D643" s="41">
        <v>6948</v>
      </c>
      <c r="E643" s="41">
        <v>2513</v>
      </c>
      <c r="F643" s="5">
        <f t="shared" ref="F643:F706" si="40">B643/B644-1</f>
        <v>-2.6799018084000537E-5</v>
      </c>
      <c r="G643" s="5">
        <f t="shared" ref="G643:G706" si="41">C643/C644-1</f>
        <v>-5.0000000000000044E-3</v>
      </c>
      <c r="H643" s="5">
        <f t="shared" ref="H643:H706" si="42">D643/D644-1</f>
        <v>-2.7435610302351643E-2</v>
      </c>
      <c r="I643" s="5">
        <f t="shared" ref="I643:I706" si="43">E643/E644-1</f>
        <v>0</v>
      </c>
    </row>
    <row r="644" spans="1:9" x14ac:dyDescent="0.2">
      <c r="A644" s="42">
        <v>45183</v>
      </c>
      <c r="B644" s="41">
        <v>1865.74</v>
      </c>
      <c r="C644" s="41">
        <v>36000</v>
      </c>
      <c r="D644" s="41">
        <v>7144</v>
      </c>
      <c r="E644" s="41">
        <v>2513</v>
      </c>
      <c r="F644" s="5">
        <f t="shared" si="40"/>
        <v>4.9771074602746879E-3</v>
      </c>
      <c r="G644" s="5">
        <f t="shared" si="41"/>
        <v>2.5062656641603454E-3</v>
      </c>
      <c r="H644" s="5">
        <f t="shared" si="42"/>
        <v>-1.1211072664359834E-2</v>
      </c>
      <c r="I644" s="5">
        <f t="shared" si="43"/>
        <v>0</v>
      </c>
    </row>
    <row r="645" spans="1:9" x14ac:dyDescent="0.2">
      <c r="A645" s="42">
        <v>45182</v>
      </c>
      <c r="B645" s="41">
        <v>1856.5</v>
      </c>
      <c r="C645" s="41">
        <v>35910</v>
      </c>
      <c r="D645" s="41">
        <v>7225</v>
      </c>
      <c r="E645" s="41">
        <v>2513</v>
      </c>
      <c r="F645" s="5">
        <f t="shared" si="40"/>
        <v>-8.4070418322437224E-3</v>
      </c>
      <c r="G645" s="5">
        <f t="shared" si="41"/>
        <v>-9.3793103448276405E-3</v>
      </c>
      <c r="H645" s="5">
        <f t="shared" si="42"/>
        <v>5.7071269487749543E-3</v>
      </c>
      <c r="I645" s="5">
        <f t="shared" si="43"/>
        <v>0</v>
      </c>
    </row>
    <row r="646" spans="1:9" x14ac:dyDescent="0.2">
      <c r="A646" s="42">
        <v>45181</v>
      </c>
      <c r="B646" s="41">
        <v>1872.24</v>
      </c>
      <c r="C646" s="41">
        <v>36250</v>
      </c>
      <c r="D646" s="41">
        <v>7184</v>
      </c>
      <c r="E646" s="41">
        <v>2513</v>
      </c>
      <c r="F646" s="5">
        <f t="shared" si="40"/>
        <v>1.9962429957560701E-3</v>
      </c>
      <c r="G646" s="5">
        <f t="shared" si="41"/>
        <v>2.3433088650479883E-2</v>
      </c>
      <c r="H646" s="5">
        <f t="shared" si="42"/>
        <v>-3.6061026352288694E-3</v>
      </c>
      <c r="I646" s="5">
        <f t="shared" si="43"/>
        <v>7.2144288577153937E-3</v>
      </c>
    </row>
    <row r="647" spans="1:9" x14ac:dyDescent="0.2">
      <c r="A647" s="42">
        <v>45180</v>
      </c>
      <c r="B647" s="41">
        <v>1868.51</v>
      </c>
      <c r="C647" s="41">
        <v>35420</v>
      </c>
      <c r="D647" s="41">
        <v>7210</v>
      </c>
      <c r="E647" s="41">
        <v>2495</v>
      </c>
      <c r="F647" s="5">
        <f t="shared" si="40"/>
        <v>7.8426296002631624E-3</v>
      </c>
      <c r="G647" s="5">
        <f t="shared" si="41"/>
        <v>9.1168091168090104E-3</v>
      </c>
      <c r="H647" s="5">
        <f t="shared" si="42"/>
        <v>3.2803323306116683E-2</v>
      </c>
      <c r="I647" s="5">
        <f t="shared" si="43"/>
        <v>2.0080321285140812E-3</v>
      </c>
    </row>
    <row r="648" spans="1:9" x14ac:dyDescent="0.2">
      <c r="A648" s="42">
        <v>45179</v>
      </c>
      <c r="B648" s="41">
        <v>1853.97</v>
      </c>
      <c r="C648" s="41">
        <v>35100</v>
      </c>
      <c r="D648" s="41">
        <v>6981</v>
      </c>
      <c r="E648" s="41">
        <v>2490</v>
      </c>
      <c r="F648" s="5">
        <f t="shared" si="40"/>
        <v>3.453243620943347E-4</v>
      </c>
      <c r="G648" s="5">
        <f t="shared" si="41"/>
        <v>-9.5936794582393015E-3</v>
      </c>
      <c r="H648" s="5">
        <f t="shared" si="42"/>
        <v>-7.1571714858287283E-4</v>
      </c>
      <c r="I648" s="5">
        <f t="shared" si="43"/>
        <v>1.4669926650366705E-2</v>
      </c>
    </row>
    <row r="649" spans="1:9" x14ac:dyDescent="0.2">
      <c r="A649" s="42">
        <v>45176</v>
      </c>
      <c r="B649" s="41">
        <v>1853.33</v>
      </c>
      <c r="C649" s="41">
        <v>35440</v>
      </c>
      <c r="D649" s="41">
        <v>6986</v>
      </c>
      <c r="E649" s="41">
        <v>2454</v>
      </c>
      <c r="F649" s="5">
        <f t="shared" si="40"/>
        <v>-6.9176526063100541E-3</v>
      </c>
      <c r="G649" s="5">
        <f t="shared" si="41"/>
        <v>-2.8242391006306544E-2</v>
      </c>
      <c r="H649" s="5">
        <f t="shared" si="42"/>
        <v>-2.3756288429290118E-2</v>
      </c>
      <c r="I649" s="5">
        <f t="shared" si="43"/>
        <v>0</v>
      </c>
    </row>
    <row r="650" spans="1:9" x14ac:dyDescent="0.2">
      <c r="A650" s="42">
        <v>45175</v>
      </c>
      <c r="B650" s="41">
        <v>1866.24</v>
      </c>
      <c r="C650" s="41">
        <v>36470</v>
      </c>
      <c r="D650" s="41">
        <v>7156</v>
      </c>
      <c r="E650" s="41">
        <v>2454</v>
      </c>
      <c r="F650" s="5">
        <f t="shared" si="40"/>
        <v>2.840741594352103E-4</v>
      </c>
      <c r="G650" s="5">
        <f t="shared" si="41"/>
        <v>-6.5377281394715103E-3</v>
      </c>
      <c r="H650" s="5">
        <f t="shared" si="42"/>
        <v>-5.4689564068692187E-2</v>
      </c>
      <c r="I650" s="5">
        <f t="shared" si="43"/>
        <v>0</v>
      </c>
    </row>
    <row r="651" spans="1:9" x14ac:dyDescent="0.2">
      <c r="A651" s="42">
        <v>45174</v>
      </c>
      <c r="B651" s="41">
        <v>1865.71</v>
      </c>
      <c r="C651" s="41">
        <v>36710</v>
      </c>
      <c r="D651" s="41">
        <v>7570</v>
      </c>
      <c r="E651" s="41">
        <v>2454</v>
      </c>
      <c r="F651" s="5">
        <f t="shared" si="40"/>
        <v>6.4572162223397456E-3</v>
      </c>
      <c r="G651" s="5">
        <f t="shared" si="41"/>
        <v>4.6524356869184214E-3</v>
      </c>
      <c r="H651" s="5">
        <f t="shared" si="42"/>
        <v>-1.6499935039625879E-2</v>
      </c>
      <c r="I651" s="5">
        <f t="shared" si="43"/>
        <v>0</v>
      </c>
    </row>
    <row r="652" spans="1:9" x14ac:dyDescent="0.2">
      <c r="A652" s="42">
        <v>45173</v>
      </c>
      <c r="B652" s="41">
        <v>1853.74</v>
      </c>
      <c r="C652" s="41">
        <v>36540</v>
      </c>
      <c r="D652" s="41">
        <v>7697</v>
      </c>
      <c r="E652" s="41">
        <v>2454</v>
      </c>
      <c r="F652" s="5">
        <f t="shared" si="40"/>
        <v>-8.0798784272596569E-3</v>
      </c>
      <c r="G652" s="5">
        <f t="shared" si="41"/>
        <v>1.0958904109588108E-3</v>
      </c>
      <c r="H652" s="5">
        <f t="shared" si="42"/>
        <v>-4.5266425245732433E-3</v>
      </c>
      <c r="I652" s="5">
        <f t="shared" si="43"/>
        <v>0</v>
      </c>
    </row>
    <row r="653" spans="1:9" x14ac:dyDescent="0.2">
      <c r="A653" s="42">
        <v>45172</v>
      </c>
      <c r="B653" s="41">
        <v>1868.84</v>
      </c>
      <c r="C653" s="41">
        <v>36500</v>
      </c>
      <c r="D653" s="41">
        <v>7732</v>
      </c>
      <c r="E653" s="41">
        <v>2454</v>
      </c>
      <c r="F653" s="5">
        <f t="shared" si="40"/>
        <v>-2.6257364870634348E-3</v>
      </c>
      <c r="G653" s="5">
        <f t="shared" si="41"/>
        <v>-2.1447721179624679E-2</v>
      </c>
      <c r="H653" s="5">
        <f t="shared" si="42"/>
        <v>1.8574627848768177E-2</v>
      </c>
      <c r="I653" s="5">
        <f t="shared" si="43"/>
        <v>0</v>
      </c>
    </row>
    <row r="654" spans="1:9" x14ac:dyDescent="0.2">
      <c r="A654" s="42">
        <v>45169</v>
      </c>
      <c r="B654" s="41">
        <v>1873.76</v>
      </c>
      <c r="C654" s="41">
        <v>37300</v>
      </c>
      <c r="D654" s="41">
        <v>7591</v>
      </c>
      <c r="E654" s="41">
        <v>2454</v>
      </c>
      <c r="F654" s="5">
        <f t="shared" si="40"/>
        <v>2.2733229562825752E-3</v>
      </c>
      <c r="G654" s="5">
        <f t="shared" si="41"/>
        <v>1.4138118542686318E-2</v>
      </c>
      <c r="H654" s="5">
        <f t="shared" si="42"/>
        <v>-3.4134173559143832E-3</v>
      </c>
      <c r="I654" s="5">
        <f t="shared" si="43"/>
        <v>0</v>
      </c>
    </row>
    <row r="655" spans="1:9" x14ac:dyDescent="0.2">
      <c r="A655" s="42">
        <v>45168</v>
      </c>
      <c r="B655" s="41">
        <v>1869.51</v>
      </c>
      <c r="C655" s="41">
        <v>36780</v>
      </c>
      <c r="D655" s="41">
        <v>7617</v>
      </c>
      <c r="E655" s="41">
        <v>2454</v>
      </c>
      <c r="F655" s="5">
        <f t="shared" si="40"/>
        <v>5.8267157337466013E-3</v>
      </c>
      <c r="G655" s="5">
        <f t="shared" si="41"/>
        <v>-7.5553157042633767E-3</v>
      </c>
      <c r="H655" s="5">
        <f t="shared" si="42"/>
        <v>-2.74941084053415E-3</v>
      </c>
      <c r="I655" s="5">
        <f t="shared" si="43"/>
        <v>0</v>
      </c>
    </row>
    <row r="656" spans="1:9" x14ac:dyDescent="0.2">
      <c r="A656" s="42">
        <v>45167</v>
      </c>
      <c r="B656" s="41">
        <v>1858.68</v>
      </c>
      <c r="C656" s="41">
        <v>37060</v>
      </c>
      <c r="D656" s="41">
        <v>7638</v>
      </c>
      <c r="E656" s="41">
        <v>2454</v>
      </c>
      <c r="F656" s="5">
        <f t="shared" si="40"/>
        <v>-9.0211132437618691E-3</v>
      </c>
      <c r="G656" s="5">
        <f t="shared" si="41"/>
        <v>-2.1647307286166817E-2</v>
      </c>
      <c r="H656" s="5">
        <f t="shared" si="42"/>
        <v>-9.1563113145842756E-4</v>
      </c>
      <c r="I656" s="5">
        <f t="shared" si="43"/>
        <v>0</v>
      </c>
    </row>
    <row r="657" spans="1:9" x14ac:dyDescent="0.2">
      <c r="A657" s="42">
        <v>45166</v>
      </c>
      <c r="B657" s="41">
        <v>1875.6</v>
      </c>
      <c r="C657" s="41">
        <v>37880</v>
      </c>
      <c r="D657" s="41">
        <v>7645</v>
      </c>
      <c r="E657" s="41">
        <v>2454</v>
      </c>
      <c r="F657" s="5">
        <f t="shared" si="40"/>
        <v>2.3942879131215733E-3</v>
      </c>
      <c r="G657" s="5">
        <f t="shared" si="41"/>
        <v>-1.3284709559781227E-2</v>
      </c>
      <c r="H657" s="5">
        <f t="shared" si="42"/>
        <v>0</v>
      </c>
      <c r="I657" s="5">
        <f t="shared" si="43"/>
        <v>0</v>
      </c>
    </row>
    <row r="658" spans="1:9" x14ac:dyDescent="0.2">
      <c r="A658" s="42">
        <v>45165</v>
      </c>
      <c r="B658" s="41">
        <v>1871.12</v>
      </c>
      <c r="C658" s="41">
        <v>38390</v>
      </c>
      <c r="D658" s="41">
        <v>7645</v>
      </c>
      <c r="E658" s="41">
        <v>2454</v>
      </c>
      <c r="F658" s="5">
        <f t="shared" si="40"/>
        <v>-4.4872753691327372E-4</v>
      </c>
      <c r="G658" s="5">
        <f t="shared" si="41"/>
        <v>3.3378196500672974E-2</v>
      </c>
      <c r="H658" s="5">
        <f t="shared" si="42"/>
        <v>-5.229441757091946E-4</v>
      </c>
      <c r="I658" s="5">
        <f t="shared" si="43"/>
        <v>0</v>
      </c>
    </row>
    <row r="659" spans="1:9" x14ac:dyDescent="0.2">
      <c r="A659" s="42">
        <v>45162</v>
      </c>
      <c r="B659" s="41">
        <v>1871.96</v>
      </c>
      <c r="C659" s="41">
        <v>37150</v>
      </c>
      <c r="D659" s="41">
        <v>7649</v>
      </c>
      <c r="E659" s="41">
        <v>2454</v>
      </c>
      <c r="F659" s="5">
        <f t="shared" si="40"/>
        <v>-2.3024282090092774E-3</v>
      </c>
      <c r="G659" s="5">
        <f t="shared" si="41"/>
        <v>4.0540540540541237E-3</v>
      </c>
      <c r="H659" s="5">
        <f t="shared" si="42"/>
        <v>0</v>
      </c>
      <c r="I659" s="5">
        <f t="shared" si="43"/>
        <v>-8.1433224755700362E-4</v>
      </c>
    </row>
    <row r="660" spans="1:9" x14ac:dyDescent="0.2">
      <c r="A660" s="42">
        <v>45161</v>
      </c>
      <c r="B660" s="41">
        <v>1876.28</v>
      </c>
      <c r="C660" s="41">
        <v>37000</v>
      </c>
      <c r="D660" s="41">
        <v>7649</v>
      </c>
      <c r="E660" s="41">
        <v>2456</v>
      </c>
      <c r="F660" s="5">
        <f t="shared" si="40"/>
        <v>4.6923323024405938E-4</v>
      </c>
      <c r="G660" s="5">
        <f t="shared" si="41"/>
        <v>7.3509392866866197E-3</v>
      </c>
      <c r="H660" s="5">
        <f t="shared" si="42"/>
        <v>1.2442091330244764E-2</v>
      </c>
      <c r="I660" s="5">
        <f t="shared" si="43"/>
        <v>1.6313213703098572E-3</v>
      </c>
    </row>
    <row r="661" spans="1:9" x14ac:dyDescent="0.2">
      <c r="A661" s="42">
        <v>45160</v>
      </c>
      <c r="B661" s="41">
        <v>1875.4</v>
      </c>
      <c r="C661" s="41">
        <v>36730</v>
      </c>
      <c r="D661" s="41">
        <v>7555</v>
      </c>
      <c r="E661" s="41">
        <v>2452</v>
      </c>
      <c r="F661" s="5">
        <f t="shared" si="40"/>
        <v>6.2454393269519848E-3</v>
      </c>
      <c r="G661" s="5">
        <f t="shared" si="41"/>
        <v>-2.715177844148764E-3</v>
      </c>
      <c r="H661" s="5">
        <f t="shared" si="42"/>
        <v>4.5206754420954454E-3</v>
      </c>
      <c r="I661" s="5">
        <f t="shared" si="43"/>
        <v>0</v>
      </c>
    </row>
    <row r="662" spans="1:9" x14ac:dyDescent="0.2">
      <c r="A662" s="42">
        <v>45159</v>
      </c>
      <c r="B662" s="41">
        <v>1863.76</v>
      </c>
      <c r="C662" s="41">
        <v>36830</v>
      </c>
      <c r="D662" s="41">
        <v>7521</v>
      </c>
      <c r="E662" s="41">
        <v>2452</v>
      </c>
      <c r="F662" s="5">
        <f t="shared" si="40"/>
        <v>5.0528745301687827E-3</v>
      </c>
      <c r="G662" s="5">
        <f t="shared" si="41"/>
        <v>-5.6695464362851444E-3</v>
      </c>
      <c r="H662" s="5">
        <f t="shared" si="42"/>
        <v>3.4952525113526978E-2</v>
      </c>
      <c r="I662" s="5">
        <f t="shared" si="43"/>
        <v>6.9815195071869507E-3</v>
      </c>
    </row>
    <row r="663" spans="1:9" x14ac:dyDescent="0.2">
      <c r="A663" s="42">
        <v>45158</v>
      </c>
      <c r="B663" s="41">
        <v>1854.39</v>
      </c>
      <c r="C663" s="41">
        <v>37040</v>
      </c>
      <c r="D663" s="41">
        <v>7267</v>
      </c>
      <c r="E663" s="41">
        <v>2435</v>
      </c>
      <c r="F663" s="5">
        <f t="shared" si="40"/>
        <v>2.6168527479657477E-3</v>
      </c>
      <c r="G663" s="5">
        <f t="shared" si="41"/>
        <v>-4.3010752688171783E-3</v>
      </c>
      <c r="H663" s="5">
        <f t="shared" si="42"/>
        <v>2.1794150731158535E-2</v>
      </c>
      <c r="I663" s="5">
        <f t="shared" si="43"/>
        <v>0</v>
      </c>
    </row>
    <row r="664" spans="1:9" x14ac:dyDescent="0.2">
      <c r="A664" s="42">
        <v>45155</v>
      </c>
      <c r="B664" s="41">
        <v>1849.55</v>
      </c>
      <c r="C664" s="41">
        <v>37200</v>
      </c>
      <c r="D664" s="41">
        <v>7112</v>
      </c>
      <c r="E664" s="41">
        <v>2435</v>
      </c>
      <c r="F664" s="5">
        <f t="shared" si="40"/>
        <v>-7.8745648337383845E-3</v>
      </c>
      <c r="G664" s="5">
        <f t="shared" si="41"/>
        <v>-7.7353961056281229E-3</v>
      </c>
      <c r="H664" s="5">
        <f t="shared" si="42"/>
        <v>-7.9508997070720788E-3</v>
      </c>
      <c r="I664" s="5">
        <f t="shared" si="43"/>
        <v>0</v>
      </c>
    </row>
    <row r="665" spans="1:9" x14ac:dyDescent="0.2">
      <c r="A665" s="42">
        <v>45154</v>
      </c>
      <c r="B665" s="41">
        <v>1864.23</v>
      </c>
      <c r="C665" s="41">
        <v>37490</v>
      </c>
      <c r="D665" s="41">
        <v>7169</v>
      </c>
      <c r="E665" s="41">
        <v>2435</v>
      </c>
      <c r="F665" s="5">
        <f t="shared" si="40"/>
        <v>-3.7621508387352121E-3</v>
      </c>
      <c r="G665" s="5">
        <f t="shared" si="41"/>
        <v>-8.2010582010582089E-3</v>
      </c>
      <c r="H665" s="5">
        <f t="shared" si="42"/>
        <v>-1.1990077177508218E-2</v>
      </c>
      <c r="I665" s="5">
        <f t="shared" si="43"/>
        <v>0</v>
      </c>
    </row>
    <row r="666" spans="1:9" x14ac:dyDescent="0.2">
      <c r="A666" s="42">
        <v>45153</v>
      </c>
      <c r="B666" s="41">
        <v>1871.27</v>
      </c>
      <c r="C666" s="41">
        <v>37800</v>
      </c>
      <c r="D666" s="41">
        <v>7256</v>
      </c>
      <c r="E666" s="41">
        <v>2435</v>
      </c>
      <c r="F666" s="5">
        <f t="shared" si="40"/>
        <v>-1.1636285996423634E-3</v>
      </c>
      <c r="G666" s="5">
        <f t="shared" si="41"/>
        <v>-1.5881280916428042E-2</v>
      </c>
      <c r="H666" s="5">
        <f t="shared" si="42"/>
        <v>-1.7334777898158182E-2</v>
      </c>
      <c r="I666" s="5">
        <f t="shared" si="43"/>
        <v>3.7098103874690924E-3</v>
      </c>
    </row>
    <row r="667" spans="1:9" x14ac:dyDescent="0.2">
      <c r="A667" s="42">
        <v>45152</v>
      </c>
      <c r="B667" s="41">
        <v>1873.45</v>
      </c>
      <c r="C667" s="41">
        <v>38410</v>
      </c>
      <c r="D667" s="41">
        <v>7384</v>
      </c>
      <c r="E667" s="41">
        <v>2426</v>
      </c>
      <c r="F667" s="5">
        <f t="shared" si="40"/>
        <v>-7.3595642544532769E-3</v>
      </c>
      <c r="G667" s="5">
        <f t="shared" si="41"/>
        <v>1.4527205493924944E-2</v>
      </c>
      <c r="H667" s="5">
        <f t="shared" si="42"/>
        <v>0</v>
      </c>
      <c r="I667" s="5">
        <f t="shared" si="43"/>
        <v>-1.7813765182186247E-2</v>
      </c>
    </row>
    <row r="668" spans="1:9" x14ac:dyDescent="0.2">
      <c r="A668" s="42">
        <v>45151</v>
      </c>
      <c r="B668" s="41">
        <v>1887.34</v>
      </c>
      <c r="C668" s="41">
        <v>37860</v>
      </c>
      <c r="D668" s="41">
        <v>7384</v>
      </c>
      <c r="E668" s="41">
        <v>2470</v>
      </c>
      <c r="F668" s="5">
        <f t="shared" si="40"/>
        <v>-1.3263903048554182E-2</v>
      </c>
      <c r="G668" s="5">
        <f t="shared" si="41"/>
        <v>-2.1452571723959646E-2</v>
      </c>
      <c r="H668" s="5">
        <f t="shared" si="42"/>
        <v>-3.3634341054835759E-2</v>
      </c>
      <c r="I668" s="5">
        <f t="shared" si="43"/>
        <v>3.2493907392363575E-3</v>
      </c>
    </row>
    <row r="669" spans="1:9" x14ac:dyDescent="0.2">
      <c r="A669" s="42">
        <v>45148</v>
      </c>
      <c r="B669" s="41">
        <v>1912.71</v>
      </c>
      <c r="C669" s="41">
        <v>38690</v>
      </c>
      <c r="D669" s="41">
        <v>7641</v>
      </c>
      <c r="E669" s="41">
        <v>2462</v>
      </c>
      <c r="F669" s="5">
        <f t="shared" si="40"/>
        <v>2.0274093166530172E-3</v>
      </c>
      <c r="G669" s="5">
        <f t="shared" si="41"/>
        <v>3.3713692946057972E-3</v>
      </c>
      <c r="H669" s="5">
        <f t="shared" si="42"/>
        <v>6.4541622760800887E-3</v>
      </c>
      <c r="I669" s="5">
        <f t="shared" si="43"/>
        <v>2.4429967426708998E-3</v>
      </c>
    </row>
    <row r="670" spans="1:9" x14ac:dyDescent="0.2">
      <c r="A670" s="42">
        <v>45147</v>
      </c>
      <c r="B670" s="41">
        <v>1908.84</v>
      </c>
      <c r="C670" s="41">
        <v>38560</v>
      </c>
      <c r="D670" s="41">
        <v>7592</v>
      </c>
      <c r="E670" s="41">
        <v>2456</v>
      </c>
      <c r="F670" s="5">
        <f t="shared" si="40"/>
        <v>1.4342269575152056E-2</v>
      </c>
      <c r="G670" s="5">
        <f t="shared" si="41"/>
        <v>1.2073490813648391E-2</v>
      </c>
      <c r="H670" s="5">
        <f t="shared" si="42"/>
        <v>-2.103049421661396E-3</v>
      </c>
      <c r="I670" s="5">
        <f t="shared" si="43"/>
        <v>0</v>
      </c>
    </row>
    <row r="671" spans="1:9" x14ac:dyDescent="0.2">
      <c r="A671" s="42">
        <v>45146</v>
      </c>
      <c r="B671" s="41">
        <v>1881.85</v>
      </c>
      <c r="C671" s="41">
        <v>38100</v>
      </c>
      <c r="D671" s="41">
        <v>7608</v>
      </c>
      <c r="E671" s="41">
        <v>2456</v>
      </c>
      <c r="F671" s="5">
        <f t="shared" si="40"/>
        <v>-5.7588165367851163E-3</v>
      </c>
      <c r="G671" s="5">
        <f t="shared" si="41"/>
        <v>9.004237288135597E-3</v>
      </c>
      <c r="H671" s="5">
        <f t="shared" si="42"/>
        <v>1.3145786775337065E-4</v>
      </c>
      <c r="I671" s="5">
        <f t="shared" si="43"/>
        <v>2.039983680130586E-3</v>
      </c>
    </row>
    <row r="672" spans="1:9" x14ac:dyDescent="0.2">
      <c r="A672" s="42">
        <v>45145</v>
      </c>
      <c r="B672" s="41">
        <v>1892.75</v>
      </c>
      <c r="C672" s="41">
        <v>37760</v>
      </c>
      <c r="D672" s="41">
        <v>7607</v>
      </c>
      <c r="E672" s="41">
        <v>2451</v>
      </c>
      <c r="F672" s="5">
        <f t="shared" si="40"/>
        <v>6.0220471771321726E-3</v>
      </c>
      <c r="G672" s="5">
        <f t="shared" si="41"/>
        <v>0</v>
      </c>
      <c r="H672" s="5">
        <f t="shared" si="42"/>
        <v>-4.9705689993460034E-3</v>
      </c>
      <c r="I672" s="5">
        <f t="shared" si="43"/>
        <v>5.33223954060702E-3</v>
      </c>
    </row>
    <row r="673" spans="1:9" x14ac:dyDescent="0.2">
      <c r="A673" s="42">
        <v>45144</v>
      </c>
      <c r="B673" s="41">
        <v>1881.42</v>
      </c>
      <c r="C673" s="41">
        <v>37760</v>
      </c>
      <c r="D673" s="41">
        <v>7645</v>
      </c>
      <c r="E673" s="41">
        <v>2438</v>
      </c>
      <c r="F673" s="5">
        <f t="shared" si="40"/>
        <v>7.3998714928251719E-3</v>
      </c>
      <c r="G673" s="5">
        <f t="shared" si="41"/>
        <v>1.6146393972013007E-2</v>
      </c>
      <c r="H673" s="5">
        <f t="shared" si="42"/>
        <v>4.4672184995402375E-3</v>
      </c>
      <c r="I673" s="5">
        <f t="shared" si="43"/>
        <v>0</v>
      </c>
    </row>
    <row r="674" spans="1:9" x14ac:dyDescent="0.2">
      <c r="A674" s="42">
        <v>45141</v>
      </c>
      <c r="B674" s="41">
        <v>1867.6</v>
      </c>
      <c r="C674" s="41">
        <v>37160</v>
      </c>
      <c r="D674" s="41">
        <v>7611</v>
      </c>
      <c r="E674" s="41">
        <v>2438</v>
      </c>
      <c r="F674" s="5">
        <f t="shared" si="40"/>
        <v>-5.0185933021491547E-3</v>
      </c>
      <c r="G674" s="5">
        <f t="shared" si="41"/>
        <v>-9.0666666666666673E-3</v>
      </c>
      <c r="H674" s="5">
        <f t="shared" si="42"/>
        <v>1.0354440461967318E-2</v>
      </c>
      <c r="I674" s="5">
        <f t="shared" si="43"/>
        <v>5.7755775577557067E-3</v>
      </c>
    </row>
    <row r="675" spans="1:9" x14ac:dyDescent="0.2">
      <c r="A675" s="42">
        <v>45140</v>
      </c>
      <c r="B675" s="41">
        <v>1877.02</v>
      </c>
      <c r="C675" s="41">
        <v>37500</v>
      </c>
      <c r="D675" s="41">
        <v>7533</v>
      </c>
      <c r="E675" s="41">
        <v>2424</v>
      </c>
      <c r="F675" s="5">
        <f t="shared" si="40"/>
        <v>-1.1069128838273601E-3</v>
      </c>
      <c r="G675" s="5">
        <f t="shared" si="41"/>
        <v>-3.0256012412723021E-2</v>
      </c>
      <c r="H675" s="5">
        <f t="shared" si="42"/>
        <v>-8.4243780439646754E-3</v>
      </c>
      <c r="I675" s="5">
        <f t="shared" si="43"/>
        <v>3.1928480204342247E-2</v>
      </c>
    </row>
    <row r="676" spans="1:9" x14ac:dyDescent="0.2">
      <c r="A676" s="42">
        <v>45139</v>
      </c>
      <c r="B676" s="41">
        <v>1879.1</v>
      </c>
      <c r="C676" s="41">
        <v>38670</v>
      </c>
      <c r="D676" s="41">
        <v>7597</v>
      </c>
      <c r="E676" s="41">
        <v>2349</v>
      </c>
      <c r="F676" s="5">
        <f t="shared" si="40"/>
        <v>-5.2303359485014189E-3</v>
      </c>
      <c r="G676" s="5">
        <f t="shared" si="41"/>
        <v>-4.1205253669842623E-3</v>
      </c>
      <c r="H676" s="5">
        <f t="shared" si="42"/>
        <v>3.0367045154475747E-3</v>
      </c>
      <c r="I676" s="5">
        <f t="shared" si="43"/>
        <v>1.0322580645161228E-2</v>
      </c>
    </row>
    <row r="677" spans="1:9" x14ac:dyDescent="0.2">
      <c r="A677" s="42">
        <v>45138</v>
      </c>
      <c r="B677" s="41">
        <v>1888.98</v>
      </c>
      <c r="C677" s="41">
        <v>38830</v>
      </c>
      <c r="D677" s="41">
        <v>7574</v>
      </c>
      <c r="E677" s="41">
        <v>2325</v>
      </c>
      <c r="F677" s="5">
        <f t="shared" si="40"/>
        <v>3.4369007335950386E-3</v>
      </c>
      <c r="G677" s="5">
        <f t="shared" si="41"/>
        <v>7.7319587628865705E-4</v>
      </c>
      <c r="H677" s="5">
        <f t="shared" si="42"/>
        <v>1.0136036276340299E-2</v>
      </c>
      <c r="I677" s="5">
        <f t="shared" si="43"/>
        <v>0</v>
      </c>
    </row>
    <row r="678" spans="1:9" x14ac:dyDescent="0.2">
      <c r="A678" s="42">
        <v>45137</v>
      </c>
      <c r="B678" s="41">
        <v>1882.51</v>
      </c>
      <c r="C678" s="41">
        <v>38800</v>
      </c>
      <c r="D678" s="41">
        <v>7498</v>
      </c>
      <c r="E678" s="41">
        <v>2325</v>
      </c>
      <c r="F678" s="5">
        <f t="shared" si="40"/>
        <v>1.1096490050218843E-2</v>
      </c>
      <c r="G678" s="5">
        <f t="shared" si="41"/>
        <v>1.7038007863696025E-2</v>
      </c>
      <c r="H678" s="5">
        <f t="shared" si="42"/>
        <v>1.3354700854701917E-3</v>
      </c>
      <c r="I678" s="5">
        <f t="shared" si="43"/>
        <v>-1.1059123777116153E-2</v>
      </c>
    </row>
    <row r="679" spans="1:9" x14ac:dyDescent="0.2">
      <c r="A679" s="42">
        <v>45133</v>
      </c>
      <c r="B679" s="41">
        <v>1861.85</v>
      </c>
      <c r="C679" s="41">
        <v>38150</v>
      </c>
      <c r="D679" s="41">
        <v>7488</v>
      </c>
      <c r="E679" s="41">
        <v>2351</v>
      </c>
      <c r="F679" s="5">
        <f t="shared" si="40"/>
        <v>2.416497975708487E-2</v>
      </c>
      <c r="G679" s="5">
        <f t="shared" si="41"/>
        <v>1.3280212483399723E-2</v>
      </c>
      <c r="H679" s="5">
        <f t="shared" si="42"/>
        <v>-5.8417419012214422E-3</v>
      </c>
      <c r="I679" s="5">
        <f t="shared" si="43"/>
        <v>-2.2859517871986701E-2</v>
      </c>
    </row>
    <row r="680" spans="1:9" x14ac:dyDescent="0.2">
      <c r="A680" s="42">
        <v>45132</v>
      </c>
      <c r="B680" s="41">
        <v>1817.92</v>
      </c>
      <c r="C680" s="41">
        <v>37650</v>
      </c>
      <c r="D680" s="41">
        <v>7532</v>
      </c>
      <c r="E680" s="41">
        <v>2406</v>
      </c>
      <c r="F680" s="5">
        <f t="shared" si="40"/>
        <v>-3.055641471400683E-2</v>
      </c>
      <c r="G680" s="5">
        <f t="shared" si="41"/>
        <v>-3.4615384615384603E-2</v>
      </c>
      <c r="H680" s="5">
        <f t="shared" si="42"/>
        <v>-9.3384190451137883E-3</v>
      </c>
      <c r="I680" s="5">
        <f t="shared" si="43"/>
        <v>-5.9788980070339948E-2</v>
      </c>
    </row>
    <row r="681" spans="1:9" x14ac:dyDescent="0.2">
      <c r="A681" s="42">
        <v>45131</v>
      </c>
      <c r="B681" s="41">
        <v>1875.22</v>
      </c>
      <c r="C681" s="41">
        <v>39000</v>
      </c>
      <c r="D681" s="41">
        <v>7603</v>
      </c>
      <c r="E681" s="41">
        <v>2559</v>
      </c>
      <c r="F681" s="5">
        <f t="shared" si="40"/>
        <v>-2.3165198547682175E-2</v>
      </c>
      <c r="G681" s="5">
        <f t="shared" si="41"/>
        <v>-1.8374024666498845E-2</v>
      </c>
      <c r="H681" s="5">
        <f t="shared" si="42"/>
        <v>-7.0523703800443593E-3</v>
      </c>
      <c r="I681" s="5">
        <f t="shared" si="43"/>
        <v>1.1462450592885309E-2</v>
      </c>
    </row>
    <row r="682" spans="1:9" x14ac:dyDescent="0.2">
      <c r="A682" s="42">
        <v>45130</v>
      </c>
      <c r="B682" s="41">
        <v>1919.69</v>
      </c>
      <c r="C682" s="41">
        <v>39730</v>
      </c>
      <c r="D682" s="41">
        <v>7657</v>
      </c>
      <c r="E682" s="41">
        <v>2530</v>
      </c>
      <c r="F682" s="5">
        <f t="shared" si="40"/>
        <v>8.5477719053073109E-3</v>
      </c>
      <c r="G682" s="5">
        <f t="shared" si="41"/>
        <v>2.0287621982537196E-2</v>
      </c>
      <c r="H682" s="5">
        <f t="shared" si="42"/>
        <v>1.5696533682145741E-3</v>
      </c>
      <c r="I682" s="5">
        <f t="shared" si="43"/>
        <v>2.3771790808240212E-3</v>
      </c>
    </row>
    <row r="683" spans="1:9" x14ac:dyDescent="0.2">
      <c r="A683" s="42">
        <v>45127</v>
      </c>
      <c r="B683" s="41">
        <v>1903.42</v>
      </c>
      <c r="C683" s="41">
        <v>38940</v>
      </c>
      <c r="D683" s="41">
        <v>7645</v>
      </c>
      <c r="E683" s="41">
        <v>2524</v>
      </c>
      <c r="F683" s="5">
        <f t="shared" si="40"/>
        <v>-9.1050595811360546E-3</v>
      </c>
      <c r="G683" s="5">
        <f t="shared" si="41"/>
        <v>1.9371727748691114E-2</v>
      </c>
      <c r="H683" s="5">
        <f t="shared" si="42"/>
        <v>-3.6491593900690455E-3</v>
      </c>
      <c r="I683" s="5">
        <f t="shared" si="43"/>
        <v>5.5776892430279279E-3</v>
      </c>
    </row>
    <row r="684" spans="1:9" x14ac:dyDescent="0.2">
      <c r="A684" s="42">
        <v>45126</v>
      </c>
      <c r="B684" s="41">
        <v>1920.91</v>
      </c>
      <c r="C684" s="41">
        <v>38200</v>
      </c>
      <c r="D684" s="41">
        <v>7673</v>
      </c>
      <c r="E684" s="41">
        <v>2510</v>
      </c>
      <c r="F684" s="5">
        <f t="shared" si="40"/>
        <v>2.4141221882780783E-2</v>
      </c>
      <c r="G684" s="5">
        <f t="shared" si="41"/>
        <v>1.8395094641428855E-2</v>
      </c>
      <c r="H684" s="5">
        <f t="shared" si="42"/>
        <v>-1.3879964014908097E-2</v>
      </c>
      <c r="I684" s="5">
        <f t="shared" si="43"/>
        <v>2.7846027846027743E-2</v>
      </c>
    </row>
    <row r="685" spans="1:9" x14ac:dyDescent="0.2">
      <c r="A685" s="42">
        <v>45125</v>
      </c>
      <c r="B685" s="41">
        <v>1875.63</v>
      </c>
      <c r="C685" s="41">
        <v>37510</v>
      </c>
      <c r="D685" s="41">
        <v>7781</v>
      </c>
      <c r="E685" s="41">
        <v>2442</v>
      </c>
      <c r="F685" s="5">
        <f t="shared" si="40"/>
        <v>2.1479258682380431E-2</v>
      </c>
      <c r="G685" s="5">
        <f t="shared" si="41"/>
        <v>1.4057853473911974E-2</v>
      </c>
      <c r="H685" s="5">
        <f t="shared" si="42"/>
        <v>-2.0520713094780429E-3</v>
      </c>
      <c r="I685" s="5">
        <f t="shared" si="43"/>
        <v>7.8415187783740237E-3</v>
      </c>
    </row>
    <row r="686" spans="1:9" x14ac:dyDescent="0.2">
      <c r="A686" s="42">
        <v>45124</v>
      </c>
      <c r="B686" s="41">
        <v>1836.19</v>
      </c>
      <c r="C686" s="41">
        <v>36990</v>
      </c>
      <c r="D686" s="41">
        <v>7797</v>
      </c>
      <c r="E686" s="41">
        <v>2423</v>
      </c>
      <c r="F686" s="5">
        <f t="shared" si="40"/>
        <v>4.9035972482938117E-3</v>
      </c>
      <c r="G686" s="5">
        <f t="shared" si="41"/>
        <v>1.0825439783490598E-3</v>
      </c>
      <c r="H686" s="5">
        <f t="shared" si="42"/>
        <v>-6.3718618580349551E-3</v>
      </c>
      <c r="I686" s="5">
        <f t="shared" si="43"/>
        <v>-1.8631024706358801E-2</v>
      </c>
    </row>
    <row r="687" spans="1:9" x14ac:dyDescent="0.2">
      <c r="A687" s="42">
        <v>45123</v>
      </c>
      <c r="B687" s="41">
        <v>1827.23</v>
      </c>
      <c r="C687" s="41">
        <v>36950</v>
      </c>
      <c r="D687" s="41">
        <v>7847</v>
      </c>
      <c r="E687" s="41">
        <v>2469</v>
      </c>
      <c r="F687" s="5">
        <f t="shared" si="40"/>
        <v>-6.1894583408117487E-3</v>
      </c>
      <c r="G687" s="5">
        <f t="shared" si="41"/>
        <v>-1.6211834639286993E-3</v>
      </c>
      <c r="H687" s="5">
        <f t="shared" si="42"/>
        <v>2.4271844660195274E-3</v>
      </c>
      <c r="I687" s="5">
        <f t="shared" si="43"/>
        <v>0</v>
      </c>
    </row>
    <row r="688" spans="1:9" x14ac:dyDescent="0.2">
      <c r="A688" s="42">
        <v>45120</v>
      </c>
      <c r="B688" s="41">
        <v>1838.61</v>
      </c>
      <c r="C688" s="41">
        <v>37010</v>
      </c>
      <c r="D688" s="41">
        <v>7828</v>
      </c>
      <c r="E688" s="41">
        <v>2469</v>
      </c>
      <c r="F688" s="5">
        <f t="shared" si="40"/>
        <v>2.6831143759304954E-3</v>
      </c>
      <c r="G688" s="5">
        <f t="shared" si="41"/>
        <v>-2.7012425715833288E-4</v>
      </c>
      <c r="H688" s="5">
        <f t="shared" si="42"/>
        <v>-2.1669853409814754E-3</v>
      </c>
      <c r="I688" s="5">
        <f t="shared" si="43"/>
        <v>0</v>
      </c>
    </row>
    <row r="689" spans="1:9" x14ac:dyDescent="0.2">
      <c r="A689" s="42">
        <v>45119</v>
      </c>
      <c r="B689" s="41">
        <v>1833.69</v>
      </c>
      <c r="C689" s="41">
        <v>37020</v>
      </c>
      <c r="D689" s="41">
        <v>7845</v>
      </c>
      <c r="E689" s="41">
        <v>2469</v>
      </c>
      <c r="F689" s="5">
        <f t="shared" si="40"/>
        <v>1.8173640724946649E-2</v>
      </c>
      <c r="G689" s="5">
        <f t="shared" si="41"/>
        <v>5.9782608695653217E-3</v>
      </c>
      <c r="H689" s="5">
        <f t="shared" si="42"/>
        <v>2.0436837399413488E-3</v>
      </c>
      <c r="I689" s="5">
        <f t="shared" si="43"/>
        <v>0</v>
      </c>
    </row>
    <row r="690" spans="1:9" x14ac:dyDescent="0.2">
      <c r="A690" s="42">
        <v>45118</v>
      </c>
      <c r="B690" s="41">
        <v>1800.96</v>
      </c>
      <c r="C690" s="41">
        <v>36800</v>
      </c>
      <c r="D690" s="41">
        <v>7829</v>
      </c>
      <c r="E690" s="41">
        <v>2469</v>
      </c>
      <c r="F690" s="5">
        <f t="shared" si="40"/>
        <v>1.0021928225720567E-2</v>
      </c>
      <c r="G690" s="5">
        <f t="shared" si="41"/>
        <v>1.2101210121012063E-2</v>
      </c>
      <c r="H690" s="5">
        <f t="shared" si="42"/>
        <v>3.3320517749584333E-3</v>
      </c>
      <c r="I690" s="5">
        <f t="shared" si="43"/>
        <v>0</v>
      </c>
    </row>
    <row r="691" spans="1:9" x14ac:dyDescent="0.2">
      <c r="A691" s="42">
        <v>45117</v>
      </c>
      <c r="B691" s="41">
        <v>1783.09</v>
      </c>
      <c r="C691" s="41">
        <v>36360</v>
      </c>
      <c r="D691" s="41">
        <v>7803</v>
      </c>
      <c r="E691" s="41">
        <v>2469</v>
      </c>
      <c r="F691" s="5">
        <f t="shared" si="40"/>
        <v>8.8831553873225388E-3</v>
      </c>
      <c r="G691" s="5">
        <f t="shared" si="41"/>
        <v>1.3943112102621225E-2</v>
      </c>
      <c r="H691" s="5">
        <f t="shared" si="42"/>
        <v>1.3113477018956043E-2</v>
      </c>
      <c r="I691" s="5">
        <f t="shared" si="43"/>
        <v>0</v>
      </c>
    </row>
    <row r="692" spans="1:9" x14ac:dyDescent="0.2">
      <c r="A692" s="42">
        <v>45116</v>
      </c>
      <c r="B692" s="41">
        <v>1767.39</v>
      </c>
      <c r="C692" s="41">
        <v>35860</v>
      </c>
      <c r="D692" s="41">
        <v>7702</v>
      </c>
      <c r="E692" s="41">
        <v>2469</v>
      </c>
      <c r="F692" s="5">
        <f t="shared" si="40"/>
        <v>-1.3507554741877259E-2</v>
      </c>
      <c r="G692" s="5">
        <f t="shared" si="41"/>
        <v>-3.0810810810810829E-2</v>
      </c>
      <c r="H692" s="5">
        <f t="shared" si="42"/>
        <v>-1.8228170809432731E-2</v>
      </c>
      <c r="I692" s="5">
        <f t="shared" si="43"/>
        <v>0</v>
      </c>
    </row>
    <row r="693" spans="1:9" x14ac:dyDescent="0.2">
      <c r="A693" s="42">
        <v>45113</v>
      </c>
      <c r="B693" s="41">
        <v>1791.59</v>
      </c>
      <c r="C693" s="41">
        <v>37000</v>
      </c>
      <c r="D693" s="41">
        <v>7845</v>
      </c>
      <c r="E693" s="41">
        <v>2469</v>
      </c>
      <c r="F693" s="5">
        <f t="shared" si="40"/>
        <v>-1.1067320218144938E-2</v>
      </c>
      <c r="G693" s="5">
        <f t="shared" si="41"/>
        <v>-7.2444325194526149E-3</v>
      </c>
      <c r="H693" s="5">
        <f t="shared" si="42"/>
        <v>2.3750489364478655E-2</v>
      </c>
      <c r="I693" s="5">
        <f t="shared" si="43"/>
        <v>-1.5942606616181743E-2</v>
      </c>
    </row>
    <row r="694" spans="1:9" x14ac:dyDescent="0.2">
      <c r="A694" s="42">
        <v>45112</v>
      </c>
      <c r="B694" s="41">
        <v>1811.64</v>
      </c>
      <c r="C694" s="41">
        <v>37270</v>
      </c>
      <c r="D694" s="41">
        <v>7663</v>
      </c>
      <c r="E694" s="41">
        <v>2509</v>
      </c>
      <c r="F694" s="5">
        <f t="shared" si="40"/>
        <v>8.0964225497888176E-3</v>
      </c>
      <c r="G694" s="5">
        <f t="shared" si="41"/>
        <v>2.3619884647074985E-2</v>
      </c>
      <c r="H694" s="5">
        <f t="shared" si="42"/>
        <v>3.6240703177822908E-2</v>
      </c>
      <c r="I694" s="5">
        <f t="shared" si="43"/>
        <v>0</v>
      </c>
    </row>
    <row r="695" spans="1:9" x14ac:dyDescent="0.2">
      <c r="A695" s="42">
        <v>45111</v>
      </c>
      <c r="B695" s="41">
        <v>1797.09</v>
      </c>
      <c r="C695" s="41">
        <v>36410</v>
      </c>
      <c r="D695" s="41">
        <v>7395</v>
      </c>
      <c r="E695" s="41">
        <v>2509</v>
      </c>
      <c r="F695" s="5">
        <f t="shared" si="40"/>
        <v>4.8703295720147199E-3</v>
      </c>
      <c r="G695" s="5">
        <f t="shared" si="41"/>
        <v>-9.7905901550177088E-3</v>
      </c>
      <c r="H695" s="5">
        <f t="shared" si="42"/>
        <v>-3.369272237196741E-3</v>
      </c>
      <c r="I695" s="5">
        <f t="shared" si="43"/>
        <v>1.9968051118210983E-3</v>
      </c>
    </row>
    <row r="696" spans="1:9" x14ac:dyDescent="0.2">
      <c r="A696" s="42">
        <v>45110</v>
      </c>
      <c r="B696" s="41">
        <v>1788.38</v>
      </c>
      <c r="C696" s="41">
        <v>36770</v>
      </c>
      <c r="D696" s="41">
        <v>7420</v>
      </c>
      <c r="E696" s="41">
        <v>2504</v>
      </c>
      <c r="F696" s="5">
        <f t="shared" si="40"/>
        <v>-2.5321821386341536E-3</v>
      </c>
      <c r="G696" s="5">
        <f t="shared" si="41"/>
        <v>3.3445756042720598E-2</v>
      </c>
      <c r="H696" s="5">
        <f t="shared" si="42"/>
        <v>6.2381339842689787E-3</v>
      </c>
      <c r="I696" s="5">
        <f t="shared" si="43"/>
        <v>-1.4948859166010964E-2</v>
      </c>
    </row>
    <row r="697" spans="1:9" x14ac:dyDescent="0.2">
      <c r="A697" s="42">
        <v>45109</v>
      </c>
      <c r="B697" s="41">
        <v>1792.92</v>
      </c>
      <c r="C697" s="41">
        <v>35580</v>
      </c>
      <c r="D697" s="41">
        <v>7374</v>
      </c>
      <c r="E697" s="41">
        <v>2542</v>
      </c>
      <c r="F697" s="5">
        <f t="shared" si="40"/>
        <v>9.7260158251908368E-3</v>
      </c>
      <c r="G697" s="5">
        <f t="shared" si="41"/>
        <v>-1.0292072322670376E-2</v>
      </c>
      <c r="H697" s="5">
        <f t="shared" si="42"/>
        <v>-5.1268213707501564E-3</v>
      </c>
      <c r="I697" s="5">
        <f t="shared" si="43"/>
        <v>0</v>
      </c>
    </row>
    <row r="698" spans="1:9" x14ac:dyDescent="0.2">
      <c r="A698" s="42">
        <v>45106</v>
      </c>
      <c r="B698" s="41">
        <v>1775.65</v>
      </c>
      <c r="C698" s="41">
        <v>35950</v>
      </c>
      <c r="D698" s="41">
        <v>7412</v>
      </c>
      <c r="E698" s="41">
        <v>2542</v>
      </c>
      <c r="F698" s="5">
        <f t="shared" si="40"/>
        <v>8.5111659733727585E-4</v>
      </c>
      <c r="G698" s="5">
        <f t="shared" si="41"/>
        <v>-4.1551246537395725E-3</v>
      </c>
      <c r="H698" s="5">
        <f t="shared" si="42"/>
        <v>7.8868642915419507E-3</v>
      </c>
      <c r="I698" s="5">
        <f t="shared" si="43"/>
        <v>0</v>
      </c>
    </row>
    <row r="699" spans="1:9" x14ac:dyDescent="0.2">
      <c r="A699" s="42">
        <v>45105</v>
      </c>
      <c r="B699" s="41">
        <v>1774.14</v>
      </c>
      <c r="C699" s="41">
        <v>36100</v>
      </c>
      <c r="D699" s="41">
        <v>7354</v>
      </c>
      <c r="E699" s="41">
        <v>2542</v>
      </c>
      <c r="F699" s="5">
        <f t="shared" si="40"/>
        <v>2.1408196119412359E-3</v>
      </c>
      <c r="G699" s="5">
        <f t="shared" si="41"/>
        <v>-1.3831258644536604E-3</v>
      </c>
      <c r="H699" s="5">
        <f t="shared" si="42"/>
        <v>-2.847457627118688E-3</v>
      </c>
      <c r="I699" s="5">
        <f t="shared" si="43"/>
        <v>0</v>
      </c>
    </row>
    <row r="700" spans="1:9" x14ac:dyDescent="0.2">
      <c r="A700" s="42">
        <v>45104</v>
      </c>
      <c r="B700" s="41">
        <v>1770.35</v>
      </c>
      <c r="C700" s="41">
        <v>36150</v>
      </c>
      <c r="D700" s="41">
        <v>7375</v>
      </c>
      <c r="E700" s="41">
        <v>2542</v>
      </c>
      <c r="F700" s="5">
        <f t="shared" si="40"/>
        <v>-1.0164772187215232E-2</v>
      </c>
      <c r="G700" s="5">
        <f t="shared" si="41"/>
        <v>-2.8225806451612878E-2</v>
      </c>
      <c r="H700" s="5">
        <f t="shared" si="42"/>
        <v>1.7522075055187658E-2</v>
      </c>
      <c r="I700" s="5">
        <f t="shared" si="43"/>
        <v>0</v>
      </c>
    </row>
    <row r="701" spans="1:9" x14ac:dyDescent="0.2">
      <c r="A701" s="42">
        <v>45103</v>
      </c>
      <c r="B701" s="41">
        <v>1788.53</v>
      </c>
      <c r="C701" s="41">
        <v>37200</v>
      </c>
      <c r="D701" s="41">
        <v>7248</v>
      </c>
      <c r="E701" s="41">
        <v>2542</v>
      </c>
      <c r="F701" s="5">
        <f t="shared" si="40"/>
        <v>5.7130968246204006E-3</v>
      </c>
      <c r="G701" s="5">
        <f t="shared" si="41"/>
        <v>-3.4824537905170372E-3</v>
      </c>
      <c r="H701" s="5">
        <f t="shared" si="42"/>
        <v>1.2997903563941371E-2</v>
      </c>
      <c r="I701" s="5">
        <f t="shared" si="43"/>
        <v>0</v>
      </c>
    </row>
    <row r="702" spans="1:9" x14ac:dyDescent="0.2">
      <c r="A702" s="42">
        <v>45102</v>
      </c>
      <c r="B702" s="41">
        <v>1778.37</v>
      </c>
      <c r="C702" s="41">
        <v>37330</v>
      </c>
      <c r="D702" s="41">
        <v>7155</v>
      </c>
      <c r="E702" s="41">
        <v>2542</v>
      </c>
      <c r="F702" s="5">
        <f t="shared" si="40"/>
        <v>-1.623047944637146E-2</v>
      </c>
      <c r="G702" s="5">
        <f t="shared" si="41"/>
        <v>-1.0863804981452008E-2</v>
      </c>
      <c r="H702" s="5">
        <f t="shared" si="42"/>
        <v>-6.9832402234637492E-4</v>
      </c>
      <c r="I702" s="5">
        <f t="shared" si="43"/>
        <v>0</v>
      </c>
    </row>
    <row r="703" spans="1:9" x14ac:dyDescent="0.2">
      <c r="A703" s="42">
        <v>45099</v>
      </c>
      <c r="B703" s="41">
        <v>1807.71</v>
      </c>
      <c r="C703" s="41">
        <v>37740</v>
      </c>
      <c r="D703" s="41">
        <v>7160</v>
      </c>
      <c r="E703" s="41">
        <v>2542</v>
      </c>
      <c r="F703" s="5">
        <f t="shared" si="40"/>
        <v>-1.4031211158679335E-3</v>
      </c>
      <c r="G703" s="5">
        <f t="shared" si="41"/>
        <v>1.3266118333774557E-3</v>
      </c>
      <c r="H703" s="5">
        <f t="shared" si="42"/>
        <v>2.5203024362923099E-3</v>
      </c>
      <c r="I703" s="5">
        <f t="shared" si="43"/>
        <v>1.9655034095467316E-2</v>
      </c>
    </row>
    <row r="704" spans="1:9" x14ac:dyDescent="0.2">
      <c r="A704" s="42">
        <v>45098</v>
      </c>
      <c r="B704" s="41">
        <v>1810.25</v>
      </c>
      <c r="C704" s="41">
        <v>37690</v>
      </c>
      <c r="D704" s="41">
        <v>7142</v>
      </c>
      <c r="E704" s="41">
        <v>2493</v>
      </c>
      <c r="F704" s="5">
        <f t="shared" si="40"/>
        <v>-1.1818330694907009E-2</v>
      </c>
      <c r="G704" s="5">
        <f t="shared" si="41"/>
        <v>-9.2008412197687184E-3</v>
      </c>
      <c r="H704" s="5">
        <f t="shared" si="42"/>
        <v>4.2182227221596591E-3</v>
      </c>
      <c r="I704" s="5">
        <f t="shared" si="43"/>
        <v>1.5892420537897411E-2</v>
      </c>
    </row>
    <row r="705" spans="1:10" x14ac:dyDescent="0.2">
      <c r="A705" s="42">
        <v>45097</v>
      </c>
      <c r="B705" s="41">
        <v>1831.9</v>
      </c>
      <c r="C705" s="41">
        <v>38040</v>
      </c>
      <c r="D705" s="41">
        <v>7112</v>
      </c>
      <c r="E705" s="41">
        <v>2454</v>
      </c>
      <c r="F705" s="5">
        <f t="shared" si="40"/>
        <v>-1.2975118302548383E-3</v>
      </c>
      <c r="G705" s="5">
        <f t="shared" si="41"/>
        <v>2.6357406431207764E-3</v>
      </c>
      <c r="H705" s="5">
        <f t="shared" si="42"/>
        <v>1.5490775947049062E-3</v>
      </c>
      <c r="I705" s="5">
        <f t="shared" si="43"/>
        <v>1.6326530612245094E-3</v>
      </c>
    </row>
    <row r="706" spans="1:10" x14ac:dyDescent="0.2">
      <c r="A706" s="42">
        <v>45096</v>
      </c>
      <c r="B706" s="41">
        <v>1834.28</v>
      </c>
      <c r="C706" s="41">
        <v>37940</v>
      </c>
      <c r="D706" s="41">
        <v>7101</v>
      </c>
      <c r="E706" s="41">
        <v>2450</v>
      </c>
      <c r="F706" s="5">
        <f t="shared" si="40"/>
        <v>3.2762854908139349E-3</v>
      </c>
      <c r="G706" s="5">
        <f t="shared" si="41"/>
        <v>-9.3994778067885143E-3</v>
      </c>
      <c r="H706" s="5">
        <f t="shared" si="42"/>
        <v>1.1106364801366952E-2</v>
      </c>
      <c r="I706" s="5">
        <f t="shared" si="43"/>
        <v>2.81158203944607E-2</v>
      </c>
    </row>
    <row r="707" spans="1:10" x14ac:dyDescent="0.2">
      <c r="A707" s="42">
        <v>45095</v>
      </c>
      <c r="B707" s="41">
        <v>1828.29</v>
      </c>
      <c r="C707" s="41">
        <v>38300</v>
      </c>
      <c r="D707" s="41">
        <v>7023</v>
      </c>
      <c r="E707" s="41">
        <v>2383</v>
      </c>
      <c r="F707" s="5">
        <f t="shared" ref="F707:F717" si="44">B707/B708-1</f>
        <v>-7.2381924609854487E-3</v>
      </c>
      <c r="G707" s="5">
        <f t="shared" ref="G707:G717" si="45">C707/C708-1</f>
        <v>1.403230076780515E-2</v>
      </c>
      <c r="H707" s="5">
        <f t="shared" ref="H707:H717" si="46">D707/D708-1</f>
        <v>9.9771949828952877E-4</v>
      </c>
      <c r="I707" s="5">
        <f t="shared" ref="I707:I717" si="47">E707/E708-1</f>
        <v>0</v>
      </c>
    </row>
    <row r="708" spans="1:10" x14ac:dyDescent="0.2">
      <c r="A708" s="42">
        <v>45092</v>
      </c>
      <c r="B708" s="41">
        <v>1841.62</v>
      </c>
      <c r="C708" s="41">
        <v>37770</v>
      </c>
      <c r="D708" s="41">
        <v>7016</v>
      </c>
      <c r="E708" s="41">
        <v>2383</v>
      </c>
      <c r="F708" s="5">
        <f t="shared" si="44"/>
        <v>9.0515588186947937E-3</v>
      </c>
      <c r="G708" s="5">
        <f t="shared" si="45"/>
        <v>1.6689098250336487E-2</v>
      </c>
      <c r="H708" s="5">
        <f t="shared" si="46"/>
        <v>2.572163475278666E-3</v>
      </c>
      <c r="I708" s="5">
        <f t="shared" si="47"/>
        <v>4.1981528127621459E-4</v>
      </c>
    </row>
    <row r="709" spans="1:10" x14ac:dyDescent="0.2">
      <c r="A709" s="42">
        <v>45091</v>
      </c>
      <c r="B709" s="41">
        <v>1825.1</v>
      </c>
      <c r="C709" s="41">
        <v>37150</v>
      </c>
      <c r="D709" s="41">
        <v>6998</v>
      </c>
      <c r="E709" s="41">
        <v>2382</v>
      </c>
      <c r="F709" s="5">
        <f t="shared" si="44"/>
        <v>-3.1133930522175834E-3</v>
      </c>
      <c r="G709" s="5">
        <f t="shared" si="45"/>
        <v>-2.1853607161664068E-2</v>
      </c>
      <c r="H709" s="5">
        <f t="shared" si="46"/>
        <v>-1.4643762320473153E-2</v>
      </c>
      <c r="I709" s="5">
        <f t="shared" si="47"/>
        <v>0</v>
      </c>
    </row>
    <row r="710" spans="1:10" x14ac:dyDescent="0.2">
      <c r="A710" s="42">
        <v>45090</v>
      </c>
      <c r="B710" s="41">
        <v>1830.8</v>
      </c>
      <c r="C710" s="41">
        <v>37980</v>
      </c>
      <c r="D710" s="41">
        <v>7102</v>
      </c>
      <c r="E710" s="41">
        <v>2382</v>
      </c>
      <c r="F710" s="5">
        <f t="shared" si="44"/>
        <v>6.3100499087571649E-3</v>
      </c>
      <c r="G710" s="5">
        <f t="shared" si="45"/>
        <v>7.4270557029176842E-3</v>
      </c>
      <c r="H710" s="5">
        <f t="shared" si="46"/>
        <v>-6.713286713286748E-3</v>
      </c>
      <c r="I710" s="5">
        <f t="shared" si="47"/>
        <v>4.1999160016792381E-4</v>
      </c>
    </row>
    <row r="711" spans="1:10" x14ac:dyDescent="0.2">
      <c r="A711" s="42">
        <v>45089</v>
      </c>
      <c r="B711" s="41">
        <v>1819.32</v>
      </c>
      <c r="C711" s="41">
        <v>37700</v>
      </c>
      <c r="D711" s="41">
        <v>7150</v>
      </c>
      <c r="E711" s="41">
        <v>2381</v>
      </c>
      <c r="F711" s="5">
        <f t="shared" si="44"/>
        <v>9.9309992616976039E-3</v>
      </c>
      <c r="G711" s="5">
        <f t="shared" si="45"/>
        <v>6.5272675897146026E-2</v>
      </c>
      <c r="H711" s="5">
        <f t="shared" si="46"/>
        <v>1.3987970345508138E-4</v>
      </c>
      <c r="I711" s="5">
        <f t="shared" si="47"/>
        <v>0</v>
      </c>
    </row>
    <row r="712" spans="1:10" x14ac:dyDescent="0.2">
      <c r="A712" s="42">
        <v>45088</v>
      </c>
      <c r="B712" s="41">
        <v>1801.43</v>
      </c>
      <c r="C712" s="41">
        <v>35390</v>
      </c>
      <c r="D712" s="41">
        <v>7149</v>
      </c>
      <c r="E712" s="41">
        <v>2381</v>
      </c>
      <c r="F712" s="5">
        <f t="shared" si="44"/>
        <v>2.2764877680425677E-4</v>
      </c>
      <c r="G712" s="5">
        <f t="shared" si="45"/>
        <v>-8.469791078486999E-4</v>
      </c>
      <c r="H712" s="5">
        <f t="shared" si="46"/>
        <v>2.4065320154705638E-2</v>
      </c>
      <c r="I712" s="5">
        <f t="shared" si="47"/>
        <v>2.9486099410278577E-3</v>
      </c>
    </row>
    <row r="713" spans="1:10" x14ac:dyDescent="0.2">
      <c r="A713" s="42">
        <v>45085</v>
      </c>
      <c r="B713" s="41">
        <v>1801.02</v>
      </c>
      <c r="C713" s="41">
        <v>35420</v>
      </c>
      <c r="D713" s="41">
        <v>6981</v>
      </c>
      <c r="E713" s="41">
        <v>2374</v>
      </c>
      <c r="F713" s="5">
        <f t="shared" si="44"/>
        <v>5.869835968522974E-3</v>
      </c>
      <c r="G713" s="5">
        <f t="shared" si="45"/>
        <v>-5.3355798932883669E-3</v>
      </c>
      <c r="H713" s="5">
        <f t="shared" si="46"/>
        <v>-3.99486374661151E-3</v>
      </c>
      <c r="I713" s="5">
        <f t="shared" si="47"/>
        <v>0</v>
      </c>
    </row>
    <row r="714" spans="1:10" x14ac:dyDescent="0.2">
      <c r="A714" s="42">
        <v>45084</v>
      </c>
      <c r="B714" s="41">
        <v>1790.51</v>
      </c>
      <c r="C714" s="41">
        <v>35610</v>
      </c>
      <c r="D714" s="41">
        <v>7009</v>
      </c>
      <c r="E714" s="41">
        <v>2374</v>
      </c>
      <c r="F714" s="5">
        <f t="shared" si="44"/>
        <v>1.9855893828496507E-2</v>
      </c>
      <c r="G714" s="5">
        <f t="shared" si="45"/>
        <v>4.092370651856192E-2</v>
      </c>
      <c r="H714" s="5">
        <f t="shared" si="46"/>
        <v>7.9091170549323575E-3</v>
      </c>
      <c r="I714" s="5">
        <f t="shared" si="47"/>
        <v>5.0804403048263502E-3</v>
      </c>
    </row>
    <row r="715" spans="1:10" x14ac:dyDescent="0.2">
      <c r="A715" s="42">
        <v>45083</v>
      </c>
      <c r="B715" s="41">
        <v>1755.65</v>
      </c>
      <c r="C715" s="41">
        <v>34210</v>
      </c>
      <c r="D715" s="41">
        <v>6954</v>
      </c>
      <c r="E715" s="41">
        <v>2362</v>
      </c>
      <c r="F715" s="5">
        <f t="shared" si="44"/>
        <v>-6.4851650434889496E-3</v>
      </c>
      <c r="G715" s="5">
        <f t="shared" si="45"/>
        <v>-2.6239067055393583E-3</v>
      </c>
      <c r="H715" s="5">
        <f t="shared" si="46"/>
        <v>-2.1940928270042237E-2</v>
      </c>
      <c r="I715" s="5">
        <f t="shared" si="47"/>
        <v>0</v>
      </c>
    </row>
    <row r="716" spans="1:10" x14ac:dyDescent="0.2">
      <c r="A716" s="42">
        <v>45082</v>
      </c>
      <c r="B716" s="41">
        <v>1767.11</v>
      </c>
      <c r="C716" s="41">
        <v>34300</v>
      </c>
      <c r="D716" s="41">
        <v>7110</v>
      </c>
      <c r="E716" s="41">
        <v>2362</v>
      </c>
      <c r="F716" s="5">
        <f t="shared" si="44"/>
        <v>2.763528236789492E-3</v>
      </c>
      <c r="G716" s="5">
        <f t="shared" si="45"/>
        <v>6.7508071617259358E-3</v>
      </c>
      <c r="H716" s="5">
        <f t="shared" si="46"/>
        <v>5.6290458767249696E-4</v>
      </c>
      <c r="I716" s="5">
        <f t="shared" si="47"/>
        <v>2.5466893039050031E-3</v>
      </c>
    </row>
    <row r="717" spans="1:10" x14ac:dyDescent="0.2">
      <c r="A717" s="42">
        <v>45081</v>
      </c>
      <c r="B717" s="41">
        <v>1762.24</v>
      </c>
      <c r="C717" s="41">
        <v>34070</v>
      </c>
      <c r="D717" s="41">
        <v>7106</v>
      </c>
      <c r="E717" s="41">
        <v>2356</v>
      </c>
      <c r="F717" s="5">
        <f t="shared" si="44"/>
        <v>1.9384172195773708E-2</v>
      </c>
      <c r="G717" s="5">
        <f t="shared" si="45"/>
        <v>2.7442702050663348E-2</v>
      </c>
      <c r="H717" s="5">
        <f t="shared" si="46"/>
        <v>-1.1545416608707781E-2</v>
      </c>
      <c r="I717" s="5">
        <f t="shared" si="47"/>
        <v>7.2680632749038132E-3</v>
      </c>
    </row>
    <row r="718" spans="1:10" x14ac:dyDescent="0.2">
      <c r="A718" s="42">
        <v>45078</v>
      </c>
      <c r="B718" s="41">
        <v>1728.73</v>
      </c>
      <c r="C718" s="41">
        <v>33160</v>
      </c>
      <c r="D718" s="41">
        <v>7189</v>
      </c>
      <c r="E718" s="41">
        <v>2339</v>
      </c>
      <c r="F718" s="5">
        <f t="shared" ref="F718:F781" si="48">B718/B719-1</f>
        <v>-1.0469256219161727E-2</v>
      </c>
      <c r="G718" s="5">
        <f t="shared" ref="G718:G781" si="49">C718/C719-1</f>
        <v>-1.8354055654233314E-2</v>
      </c>
      <c r="H718" s="5">
        <f t="shared" ref="H718:H781" si="50">D718/D719-1</f>
        <v>2.9058116232465014E-2</v>
      </c>
      <c r="I718" s="5">
        <f t="shared" ref="I718:I781" si="51">E718/E719-1</f>
        <v>0</v>
      </c>
      <c r="J718" s="5"/>
    </row>
    <row r="719" spans="1:10" x14ac:dyDescent="0.2">
      <c r="A719" s="42">
        <v>45077</v>
      </c>
      <c r="B719" s="41">
        <v>1747.02</v>
      </c>
      <c r="C719" s="41">
        <v>33780</v>
      </c>
      <c r="D719" s="41">
        <v>6986</v>
      </c>
      <c r="E719" s="41">
        <v>2339</v>
      </c>
      <c r="F719" s="5">
        <f t="shared" si="48"/>
        <v>-7.679461983255087E-3</v>
      </c>
      <c r="G719" s="5">
        <f t="shared" si="49"/>
        <v>-2.086956521739125E-2</v>
      </c>
      <c r="H719" s="5">
        <f t="shared" si="50"/>
        <v>-2.0000000000000018E-3</v>
      </c>
      <c r="I719" s="5">
        <f t="shared" si="51"/>
        <v>4.2771599657820403E-4</v>
      </c>
    </row>
    <row r="720" spans="1:10" x14ac:dyDescent="0.2">
      <c r="A720" s="42">
        <v>45076</v>
      </c>
      <c r="B720" s="41">
        <v>1760.54</v>
      </c>
      <c r="C720" s="41">
        <v>34500</v>
      </c>
      <c r="D720" s="41">
        <v>7000</v>
      </c>
      <c r="E720" s="41">
        <v>2338</v>
      </c>
      <c r="F720" s="5">
        <f t="shared" si="48"/>
        <v>-6.6242354481232946E-3</v>
      </c>
      <c r="G720" s="5">
        <f t="shared" si="49"/>
        <v>2.8315946348733245E-2</v>
      </c>
      <c r="H720" s="5">
        <f t="shared" si="50"/>
        <v>-2.7069383103006661E-3</v>
      </c>
      <c r="I720" s="5">
        <f t="shared" si="51"/>
        <v>2.1431633090440716E-3</v>
      </c>
    </row>
    <row r="721" spans="1:9" x14ac:dyDescent="0.2">
      <c r="A721" s="42">
        <v>45075</v>
      </c>
      <c r="B721" s="41">
        <v>1772.28</v>
      </c>
      <c r="C721" s="41">
        <v>33550</v>
      </c>
      <c r="D721" s="41">
        <v>7019</v>
      </c>
      <c r="E721" s="41">
        <v>2333</v>
      </c>
      <c r="F721" s="5">
        <f t="shared" si="48"/>
        <v>-2.8413406626793813E-3</v>
      </c>
      <c r="G721" s="5">
        <f t="shared" si="49"/>
        <v>-1.1490866234531549E-2</v>
      </c>
      <c r="H721" s="5">
        <f t="shared" si="50"/>
        <v>-4.9617238446271195E-3</v>
      </c>
      <c r="I721" s="5">
        <f t="shared" si="51"/>
        <v>0</v>
      </c>
    </row>
    <row r="722" spans="1:9" x14ac:dyDescent="0.2">
      <c r="A722" s="42">
        <v>45074</v>
      </c>
      <c r="B722" s="41">
        <v>1777.33</v>
      </c>
      <c r="C722" s="41">
        <v>33940</v>
      </c>
      <c r="D722" s="41">
        <v>7054</v>
      </c>
      <c r="E722" s="41">
        <v>2333</v>
      </c>
      <c r="F722" s="5">
        <f t="shared" si="48"/>
        <v>7.4310460146693735E-3</v>
      </c>
      <c r="G722" s="5">
        <f t="shared" si="49"/>
        <v>2.1673690547862723E-2</v>
      </c>
      <c r="H722" s="5">
        <f t="shared" si="50"/>
        <v>-1.4156285390714007E-3</v>
      </c>
      <c r="I722" s="5">
        <f t="shared" si="51"/>
        <v>1.3906996957844475E-2</v>
      </c>
    </row>
    <row r="723" spans="1:9" x14ac:dyDescent="0.2">
      <c r="A723" s="42">
        <v>45070</v>
      </c>
      <c r="B723" s="41">
        <v>1764.22</v>
      </c>
      <c r="C723" s="41">
        <v>33220</v>
      </c>
      <c r="D723" s="41">
        <v>7064</v>
      </c>
      <c r="E723" s="41">
        <v>2301</v>
      </c>
      <c r="F723" s="5">
        <f t="shared" si="48"/>
        <v>-1.0294125896879169E-2</v>
      </c>
      <c r="G723" s="5">
        <f t="shared" si="49"/>
        <v>-2.0058997050147465E-2</v>
      </c>
      <c r="H723" s="5">
        <f t="shared" si="50"/>
        <v>-3.4048953917680813E-2</v>
      </c>
      <c r="I723" s="5">
        <f t="shared" si="51"/>
        <v>-1.7353579175705125E-3</v>
      </c>
    </row>
    <row r="724" spans="1:9" x14ac:dyDescent="0.2">
      <c r="A724" s="42">
        <v>45069</v>
      </c>
      <c r="B724" s="41">
        <v>1782.57</v>
      </c>
      <c r="C724" s="41">
        <v>33900</v>
      </c>
      <c r="D724" s="41">
        <v>7313</v>
      </c>
      <c r="E724" s="41">
        <v>2305</v>
      </c>
      <c r="F724" s="5">
        <f t="shared" si="48"/>
        <v>-1.0809910934768796E-2</v>
      </c>
      <c r="G724" s="5">
        <f t="shared" si="49"/>
        <v>-2.9411764705882248E-3</v>
      </c>
      <c r="H724" s="5">
        <f t="shared" si="50"/>
        <v>-1.2157233553964586E-2</v>
      </c>
      <c r="I724" s="5">
        <f t="shared" si="51"/>
        <v>-2.9882154882154843E-2</v>
      </c>
    </row>
    <row r="725" spans="1:9" x14ac:dyDescent="0.2">
      <c r="A725" s="42">
        <v>45068</v>
      </c>
      <c r="B725" s="41">
        <v>1802.05</v>
      </c>
      <c r="C725" s="41">
        <v>34000</v>
      </c>
      <c r="D725" s="41">
        <v>7403</v>
      </c>
      <c r="E725" s="41">
        <v>2376</v>
      </c>
      <c r="F725" s="5">
        <f t="shared" si="48"/>
        <v>-5.7819732638908494E-3</v>
      </c>
      <c r="G725" s="5">
        <f t="shared" si="49"/>
        <v>-1.1915140947398983E-2</v>
      </c>
      <c r="H725" s="5">
        <f t="shared" si="50"/>
        <v>-1.9989409584326157E-2</v>
      </c>
      <c r="I725" s="5">
        <f t="shared" si="51"/>
        <v>0</v>
      </c>
    </row>
    <row r="726" spans="1:9" x14ac:dyDescent="0.2">
      <c r="A726" s="42">
        <v>45067</v>
      </c>
      <c r="B726" s="41">
        <v>1812.53</v>
      </c>
      <c r="C726" s="41">
        <v>34410</v>
      </c>
      <c r="D726" s="41">
        <v>7554</v>
      </c>
      <c r="E726" s="41">
        <v>2376</v>
      </c>
      <c r="F726" s="5">
        <f t="shared" si="48"/>
        <v>-6.2665847935261532E-3</v>
      </c>
      <c r="G726" s="5">
        <f t="shared" si="49"/>
        <v>3.4995625546807574E-3</v>
      </c>
      <c r="H726" s="5">
        <f t="shared" si="50"/>
        <v>-2.5918762088974812E-2</v>
      </c>
      <c r="I726" s="5">
        <f t="shared" si="51"/>
        <v>6.7796610169490457E-3</v>
      </c>
    </row>
    <row r="727" spans="1:9" x14ac:dyDescent="0.2">
      <c r="A727" s="42">
        <v>45064</v>
      </c>
      <c r="B727" s="41">
        <v>1823.96</v>
      </c>
      <c r="C727" s="41">
        <v>34290</v>
      </c>
      <c r="D727" s="41">
        <v>7755</v>
      </c>
      <c r="E727" s="41">
        <v>2360</v>
      </c>
      <c r="F727" s="5">
        <f t="shared" si="48"/>
        <v>3.6198102341922223E-4</v>
      </c>
      <c r="G727" s="5">
        <f t="shared" si="49"/>
        <v>0</v>
      </c>
      <c r="H727" s="5">
        <f t="shared" si="50"/>
        <v>-6.1514801999230651E-3</v>
      </c>
      <c r="I727" s="5">
        <f t="shared" si="51"/>
        <v>0</v>
      </c>
    </row>
    <row r="728" spans="1:9" x14ac:dyDescent="0.2">
      <c r="A728" s="42">
        <v>45063</v>
      </c>
      <c r="B728" s="41">
        <v>1823.3</v>
      </c>
      <c r="C728" s="41">
        <v>34290</v>
      </c>
      <c r="D728" s="41">
        <v>7803</v>
      </c>
      <c r="E728" s="41">
        <v>2360</v>
      </c>
      <c r="F728" s="5">
        <f t="shared" si="48"/>
        <v>1.3400474658040507E-2</v>
      </c>
      <c r="G728" s="5">
        <f t="shared" si="49"/>
        <v>-8.7412587412583065E-4</v>
      </c>
      <c r="H728" s="5">
        <f t="shared" si="50"/>
        <v>-2.5565639780135152E-3</v>
      </c>
      <c r="I728" s="5">
        <f t="shared" si="51"/>
        <v>-2.8006589785831926E-2</v>
      </c>
    </row>
    <row r="729" spans="1:9" x14ac:dyDescent="0.2">
      <c r="A729" s="42">
        <v>45062</v>
      </c>
      <c r="B729" s="41">
        <v>1799.19</v>
      </c>
      <c r="C729" s="41">
        <v>34320</v>
      </c>
      <c r="D729" s="41">
        <v>7823</v>
      </c>
      <c r="E729" s="41">
        <v>2428</v>
      </c>
      <c r="F729" s="5">
        <f t="shared" si="48"/>
        <v>-5.7032014191686908E-3</v>
      </c>
      <c r="G729" s="5">
        <f t="shared" si="49"/>
        <v>-2.7762039660056637E-2</v>
      </c>
      <c r="H729" s="5">
        <f t="shared" si="50"/>
        <v>3.9049010492761216E-2</v>
      </c>
      <c r="I729" s="5">
        <f t="shared" si="51"/>
        <v>0</v>
      </c>
    </row>
    <row r="730" spans="1:9" x14ac:dyDescent="0.2">
      <c r="A730" s="42">
        <v>45061</v>
      </c>
      <c r="B730" s="41">
        <v>1809.51</v>
      </c>
      <c r="C730" s="41">
        <v>35300</v>
      </c>
      <c r="D730" s="41">
        <v>7529</v>
      </c>
      <c r="E730" s="41">
        <v>2428</v>
      </c>
      <c r="F730" s="5">
        <f t="shared" si="48"/>
        <v>3.4103007718924161E-3</v>
      </c>
      <c r="G730" s="5">
        <f t="shared" si="49"/>
        <v>-5.6625141562849368E-4</v>
      </c>
      <c r="H730" s="5">
        <f t="shared" si="50"/>
        <v>1.7294960140521454E-2</v>
      </c>
      <c r="I730" s="5">
        <f t="shared" si="51"/>
        <v>2.8913672036348093E-3</v>
      </c>
    </row>
    <row r="731" spans="1:9" x14ac:dyDescent="0.2">
      <c r="A731" s="42">
        <v>45060</v>
      </c>
      <c r="B731" s="41">
        <v>1803.36</v>
      </c>
      <c r="C731" s="41">
        <v>35320</v>
      </c>
      <c r="D731" s="41">
        <v>7401</v>
      </c>
      <c r="E731" s="41">
        <v>2421</v>
      </c>
      <c r="F731" s="5">
        <f t="shared" si="48"/>
        <v>-4.3451135416264774E-3</v>
      </c>
      <c r="G731" s="5">
        <f t="shared" si="49"/>
        <v>-1.0089686098654682E-2</v>
      </c>
      <c r="H731" s="5">
        <f t="shared" si="50"/>
        <v>8.0437956204379546E-2</v>
      </c>
      <c r="I731" s="5">
        <f t="shared" si="51"/>
        <v>4.1322314049585529E-4</v>
      </c>
    </row>
    <row r="732" spans="1:9" x14ac:dyDescent="0.2">
      <c r="A732" s="42">
        <v>45057</v>
      </c>
      <c r="B732" s="41">
        <v>1811.23</v>
      </c>
      <c r="C732" s="41">
        <v>35680</v>
      </c>
      <c r="D732" s="41">
        <v>6850</v>
      </c>
      <c r="E732" s="41">
        <v>2420</v>
      </c>
      <c r="F732" s="5">
        <f t="shared" si="48"/>
        <v>9.2779368988844535E-3</v>
      </c>
      <c r="G732" s="5">
        <f t="shared" si="49"/>
        <v>-1.1198208286674616E-3</v>
      </c>
      <c r="H732" s="5">
        <f t="shared" si="50"/>
        <v>-6.9585387068715754E-3</v>
      </c>
      <c r="I732" s="5">
        <f t="shared" si="51"/>
        <v>0</v>
      </c>
    </row>
    <row r="733" spans="1:9" x14ac:dyDescent="0.2">
      <c r="A733" s="42">
        <v>45056</v>
      </c>
      <c r="B733" s="41">
        <v>1794.58</v>
      </c>
      <c r="C733" s="41">
        <v>35720</v>
      </c>
      <c r="D733" s="41">
        <v>6898</v>
      </c>
      <c r="E733" s="41">
        <v>2420</v>
      </c>
      <c r="F733" s="5">
        <f t="shared" si="48"/>
        <v>1.2714088202928853E-2</v>
      </c>
      <c r="G733" s="5">
        <f t="shared" si="49"/>
        <v>1.7373967530618151E-2</v>
      </c>
      <c r="H733" s="5">
        <f t="shared" si="50"/>
        <v>3.5424797358150739E-2</v>
      </c>
      <c r="I733" s="5">
        <f t="shared" si="51"/>
        <v>1.552664708350826E-2</v>
      </c>
    </row>
    <row r="734" spans="1:9" x14ac:dyDescent="0.2">
      <c r="A734" s="42">
        <v>45055</v>
      </c>
      <c r="B734" s="41">
        <v>1772.05</v>
      </c>
      <c r="C734" s="41">
        <v>35110</v>
      </c>
      <c r="D734" s="41">
        <v>6662</v>
      </c>
      <c r="E734" s="41">
        <v>2383</v>
      </c>
      <c r="F734" s="5">
        <f t="shared" si="48"/>
        <v>-8.0662315417082686E-3</v>
      </c>
      <c r="G734" s="5">
        <f t="shared" si="49"/>
        <v>-1.0985915492957798E-2</v>
      </c>
      <c r="H734" s="5">
        <f t="shared" si="50"/>
        <v>-1.0985748218527269E-2</v>
      </c>
      <c r="I734" s="5">
        <f t="shared" si="51"/>
        <v>1.0173802458668835E-2</v>
      </c>
    </row>
    <row r="735" spans="1:9" x14ac:dyDescent="0.2">
      <c r="A735" s="42">
        <v>45054</v>
      </c>
      <c r="B735" s="41">
        <v>1786.46</v>
      </c>
      <c r="C735" s="41">
        <v>35500</v>
      </c>
      <c r="D735" s="41">
        <v>6736</v>
      </c>
      <c r="E735" s="41">
        <v>2359</v>
      </c>
      <c r="F735" s="5">
        <f t="shared" si="48"/>
        <v>-7.599408934860663E-3</v>
      </c>
      <c r="G735" s="5">
        <f t="shared" si="49"/>
        <v>1.3996001142530634E-2</v>
      </c>
      <c r="H735" s="5">
        <f t="shared" si="50"/>
        <v>-2.074074074074117E-3</v>
      </c>
      <c r="I735" s="5">
        <f t="shared" si="51"/>
        <v>-5.0611556305356631E-3</v>
      </c>
    </row>
    <row r="736" spans="1:9" x14ac:dyDescent="0.2">
      <c r="A736" s="42">
        <v>45053</v>
      </c>
      <c r="B736" s="41">
        <v>1800.14</v>
      </c>
      <c r="C736" s="41">
        <v>35010</v>
      </c>
      <c r="D736" s="41">
        <v>6750</v>
      </c>
      <c r="E736" s="41">
        <v>2371</v>
      </c>
      <c r="F736" s="5">
        <f t="shared" si="48"/>
        <v>8.0130807523672853E-3</v>
      </c>
      <c r="G736" s="5">
        <f t="shared" si="49"/>
        <v>1.4782608695652177E-2</v>
      </c>
      <c r="H736" s="5">
        <f t="shared" si="50"/>
        <v>0</v>
      </c>
      <c r="I736" s="5">
        <f t="shared" si="51"/>
        <v>3.3855268726195042E-3</v>
      </c>
    </row>
    <row r="737" spans="1:9" x14ac:dyDescent="0.2">
      <c r="A737" s="42">
        <v>45050</v>
      </c>
      <c r="B737" s="41">
        <v>1785.83</v>
      </c>
      <c r="C737" s="41">
        <v>34500</v>
      </c>
      <c r="D737" s="41">
        <v>6750</v>
      </c>
      <c r="E737" s="41">
        <v>2363</v>
      </c>
      <c r="F737" s="5">
        <f t="shared" si="48"/>
        <v>-3.4708852989593364E-3</v>
      </c>
      <c r="G737" s="5">
        <f t="shared" si="49"/>
        <v>1.7398997345915657E-2</v>
      </c>
      <c r="H737" s="5">
        <f t="shared" si="50"/>
        <v>5.254950881022924E-2</v>
      </c>
      <c r="I737" s="5">
        <f t="shared" si="51"/>
        <v>2.1175453759723517E-2</v>
      </c>
    </row>
    <row r="738" spans="1:9" x14ac:dyDescent="0.2">
      <c r="A738" s="42">
        <v>45049</v>
      </c>
      <c r="B738" s="41">
        <v>1792.05</v>
      </c>
      <c r="C738" s="41">
        <v>33910</v>
      </c>
      <c r="D738" s="41">
        <v>6413</v>
      </c>
      <c r="E738" s="41">
        <v>2314</v>
      </c>
      <c r="F738" s="5">
        <f t="shared" si="48"/>
        <v>1.1977366673443068E-2</v>
      </c>
      <c r="G738" s="5">
        <f t="shared" si="49"/>
        <v>3.0699088145896614E-2</v>
      </c>
      <c r="H738" s="5">
        <f t="shared" si="50"/>
        <v>7.8027465667918072E-4</v>
      </c>
      <c r="I738" s="5">
        <f t="shared" si="51"/>
        <v>0</v>
      </c>
    </row>
    <row r="739" spans="1:9" x14ac:dyDescent="0.2">
      <c r="A739" s="42">
        <v>45048</v>
      </c>
      <c r="B739" s="41">
        <v>1770.84</v>
      </c>
      <c r="C739" s="41">
        <v>32900</v>
      </c>
      <c r="D739" s="41">
        <v>6408</v>
      </c>
      <c r="E739" s="41">
        <v>2314</v>
      </c>
      <c r="F739" s="5">
        <f t="shared" si="48"/>
        <v>5.4449964513838545E-3</v>
      </c>
      <c r="G739" s="5">
        <f t="shared" si="49"/>
        <v>1.2307692307692353E-2</v>
      </c>
      <c r="H739" s="5">
        <f t="shared" si="50"/>
        <v>2.6599906117978911E-3</v>
      </c>
      <c r="I739" s="5">
        <f t="shared" si="51"/>
        <v>5.6497175141243527E-3</v>
      </c>
    </row>
    <row r="740" spans="1:9" x14ac:dyDescent="0.2">
      <c r="A740" s="42">
        <v>45047</v>
      </c>
      <c r="B740" s="41">
        <v>1761.25</v>
      </c>
      <c r="C740" s="41">
        <v>32500</v>
      </c>
      <c r="D740" s="41">
        <v>6391</v>
      </c>
      <c r="E740" s="41">
        <v>2301</v>
      </c>
      <c r="F740" s="5">
        <f t="shared" si="48"/>
        <v>4.0990616056464368E-3</v>
      </c>
      <c r="G740" s="5">
        <f t="shared" si="49"/>
        <v>-1.5151515151515138E-2</v>
      </c>
      <c r="H740" s="5">
        <f t="shared" si="50"/>
        <v>1.4927743369858693E-2</v>
      </c>
      <c r="I740" s="5">
        <f t="shared" si="51"/>
        <v>1.3054830287206887E-3</v>
      </c>
    </row>
    <row r="741" spans="1:9" x14ac:dyDescent="0.2">
      <c r="A741" s="42">
        <v>45046</v>
      </c>
      <c r="B741" s="41">
        <v>1754.06</v>
      </c>
      <c r="C741" s="41">
        <v>33000</v>
      </c>
      <c r="D741" s="41">
        <v>6297</v>
      </c>
      <c r="E741" s="41">
        <v>2298</v>
      </c>
      <c r="F741" s="5">
        <f t="shared" si="48"/>
        <v>1.0676853756489413E-2</v>
      </c>
      <c r="G741" s="5">
        <f t="shared" si="49"/>
        <v>2.293862368257904E-2</v>
      </c>
      <c r="H741" s="5">
        <f t="shared" si="50"/>
        <v>1.4826752618855688E-2</v>
      </c>
      <c r="I741" s="5">
        <f t="shared" si="51"/>
        <v>0</v>
      </c>
    </row>
    <row r="742" spans="1:9" x14ac:dyDescent="0.2">
      <c r="A742" s="42">
        <v>45043</v>
      </c>
      <c r="B742" s="41">
        <v>1735.53</v>
      </c>
      <c r="C742" s="41">
        <v>32260</v>
      </c>
      <c r="D742" s="41">
        <v>6205</v>
      </c>
      <c r="E742" s="41">
        <v>2298</v>
      </c>
      <c r="F742" s="5">
        <f t="shared" si="48"/>
        <v>4.5669236646523892E-3</v>
      </c>
      <c r="G742" s="5">
        <f t="shared" si="49"/>
        <v>3.3643063120794681E-2</v>
      </c>
      <c r="H742" s="5">
        <f t="shared" si="50"/>
        <v>8.9430894308943909E-3</v>
      </c>
      <c r="I742" s="5">
        <f t="shared" si="51"/>
        <v>0</v>
      </c>
    </row>
    <row r="743" spans="1:9" x14ac:dyDescent="0.2">
      <c r="A743" s="42">
        <v>45040</v>
      </c>
      <c r="B743" s="41">
        <v>1727.64</v>
      </c>
      <c r="C743" s="41">
        <v>31210</v>
      </c>
      <c r="D743" s="41">
        <v>6150</v>
      </c>
      <c r="E743" s="41">
        <v>2298</v>
      </c>
      <c r="F743" s="5">
        <f t="shared" si="48"/>
        <v>8.4168991723188036E-3</v>
      </c>
      <c r="G743" s="5">
        <f t="shared" si="49"/>
        <v>1.6943629846855712E-2</v>
      </c>
      <c r="H743" s="5">
        <f t="shared" si="50"/>
        <v>1.4182058047493395E-2</v>
      </c>
      <c r="I743" s="5">
        <f t="shared" si="51"/>
        <v>8.7796312554873079E-3</v>
      </c>
    </row>
    <row r="744" spans="1:9" x14ac:dyDescent="0.2">
      <c r="A744" s="42">
        <v>45039</v>
      </c>
      <c r="B744" s="41">
        <v>1713.22</v>
      </c>
      <c r="C744" s="41">
        <v>30690</v>
      </c>
      <c r="D744" s="41">
        <v>6064</v>
      </c>
      <c r="E744" s="41">
        <v>2278</v>
      </c>
      <c r="F744" s="5">
        <f t="shared" si="48"/>
        <v>6.5094528064670865E-3</v>
      </c>
      <c r="G744" s="5">
        <f t="shared" si="49"/>
        <v>9.2074975337059772E-3</v>
      </c>
      <c r="H744" s="5">
        <f t="shared" si="50"/>
        <v>-3.5009548058561379E-2</v>
      </c>
      <c r="I744" s="5">
        <f t="shared" si="51"/>
        <v>0</v>
      </c>
    </row>
    <row r="745" spans="1:9" x14ac:dyDescent="0.2">
      <c r="A745" s="42">
        <v>45036</v>
      </c>
      <c r="B745" s="41">
        <v>1702.14</v>
      </c>
      <c r="C745" s="41">
        <v>30410</v>
      </c>
      <c r="D745" s="41">
        <v>6284</v>
      </c>
      <c r="E745" s="41">
        <v>2278</v>
      </c>
      <c r="F745" s="5">
        <f t="shared" si="48"/>
        <v>-7.0932742227147738E-3</v>
      </c>
      <c r="G745" s="5">
        <f t="shared" si="49"/>
        <v>9.2930633919681149E-3</v>
      </c>
      <c r="H745" s="5">
        <f t="shared" si="50"/>
        <v>-7.9537131975977782E-2</v>
      </c>
      <c r="I745" s="5">
        <f t="shared" si="51"/>
        <v>2.658855340243349E-2</v>
      </c>
    </row>
    <row r="746" spans="1:9" x14ac:dyDescent="0.2">
      <c r="A746" s="42">
        <v>45035</v>
      </c>
      <c r="B746" s="41">
        <v>1714.3</v>
      </c>
      <c r="C746" s="41">
        <v>30130</v>
      </c>
      <c r="D746" s="41">
        <v>6827</v>
      </c>
      <c r="E746" s="41">
        <v>2219</v>
      </c>
      <c r="F746" s="5">
        <f t="shared" si="48"/>
        <v>-6.0242710284167389E-3</v>
      </c>
      <c r="G746" s="5">
        <f t="shared" si="49"/>
        <v>4.3333333333333002E-3</v>
      </c>
      <c r="H746" s="5">
        <f t="shared" si="50"/>
        <v>-2.9704377487208666E-2</v>
      </c>
      <c r="I746" s="5">
        <f t="shared" si="51"/>
        <v>2.5889967637540368E-2</v>
      </c>
    </row>
    <row r="747" spans="1:9" x14ac:dyDescent="0.2">
      <c r="A747" s="42">
        <v>45034</v>
      </c>
      <c r="B747" s="41">
        <v>1724.69</v>
      </c>
      <c r="C747" s="41">
        <v>30000</v>
      </c>
      <c r="D747" s="41">
        <v>7036</v>
      </c>
      <c r="E747" s="41">
        <v>2163</v>
      </c>
      <c r="F747" s="5">
        <f t="shared" si="48"/>
        <v>3.9641884182830545E-3</v>
      </c>
      <c r="G747" s="5">
        <f t="shared" si="49"/>
        <v>1.6694490818029983E-3</v>
      </c>
      <c r="H747" s="5">
        <f t="shared" si="50"/>
        <v>-4.50597176981542E-2</v>
      </c>
      <c r="I747" s="5">
        <f t="shared" si="51"/>
        <v>-3.2647584973166333E-2</v>
      </c>
    </row>
    <row r="748" spans="1:9" x14ac:dyDescent="0.2">
      <c r="A748" s="42">
        <v>45033</v>
      </c>
      <c r="B748" s="41">
        <v>1717.88</v>
      </c>
      <c r="C748" s="41">
        <v>29950</v>
      </c>
      <c r="D748" s="41">
        <v>7368</v>
      </c>
      <c r="E748" s="41">
        <v>2236</v>
      </c>
      <c r="F748" s="5">
        <f t="shared" si="48"/>
        <v>-6.7933604296872563E-3</v>
      </c>
      <c r="G748" s="5">
        <f t="shared" si="49"/>
        <v>-1.6666666666667052E-3</v>
      </c>
      <c r="H748" s="5">
        <f t="shared" si="50"/>
        <v>-3.4464683527715922E-2</v>
      </c>
      <c r="I748" s="5">
        <f t="shared" si="51"/>
        <v>0</v>
      </c>
    </row>
    <row r="749" spans="1:9" x14ac:dyDescent="0.2">
      <c r="A749" s="42">
        <v>45032</v>
      </c>
      <c r="B749" s="41">
        <v>1729.63</v>
      </c>
      <c r="C749" s="41">
        <v>30000</v>
      </c>
      <c r="D749" s="41">
        <v>7631</v>
      </c>
      <c r="E749" s="41">
        <v>2236</v>
      </c>
      <c r="F749" s="5">
        <f t="shared" si="48"/>
        <v>-1.8006059731640045E-3</v>
      </c>
      <c r="G749" s="5">
        <f t="shared" si="49"/>
        <v>-2.4707412223667125E-2</v>
      </c>
      <c r="H749" s="5">
        <f t="shared" si="50"/>
        <v>-1.9781631342325023E-2</v>
      </c>
      <c r="I749" s="5">
        <f t="shared" si="51"/>
        <v>0</v>
      </c>
    </row>
    <row r="750" spans="1:9" x14ac:dyDescent="0.2">
      <c r="A750" s="42">
        <v>45029</v>
      </c>
      <c r="B750" s="41">
        <v>1732.75</v>
      </c>
      <c r="C750" s="41">
        <v>30760</v>
      </c>
      <c r="D750" s="41">
        <v>7785</v>
      </c>
      <c r="E750" s="41">
        <v>2236</v>
      </c>
      <c r="F750" s="5">
        <f t="shared" si="48"/>
        <v>-3.920509091327129E-3</v>
      </c>
      <c r="G750" s="5">
        <f t="shared" si="49"/>
        <v>-3.814884302689181E-2</v>
      </c>
      <c r="H750" s="5">
        <f t="shared" si="50"/>
        <v>5.5021005556308511E-2</v>
      </c>
      <c r="I750" s="5">
        <f t="shared" si="51"/>
        <v>1.7288444040036488E-2</v>
      </c>
    </row>
    <row r="751" spans="1:9" x14ac:dyDescent="0.2">
      <c r="A751" s="42">
        <v>45026</v>
      </c>
      <c r="B751" s="41">
        <v>1739.57</v>
      </c>
      <c r="C751" s="41">
        <v>31980</v>
      </c>
      <c r="D751" s="41">
        <v>7379</v>
      </c>
      <c r="E751" s="41">
        <v>2198</v>
      </c>
      <c r="F751" s="5">
        <f t="shared" si="48"/>
        <v>8.2847658115325906E-4</v>
      </c>
      <c r="G751" s="5">
        <f t="shared" si="49"/>
        <v>-1.6000000000000014E-2</v>
      </c>
      <c r="H751" s="5">
        <f t="shared" si="50"/>
        <v>6.1358058358331746E-3</v>
      </c>
      <c r="I751" s="5">
        <f t="shared" si="51"/>
        <v>-1.1690647482014427E-2</v>
      </c>
    </row>
    <row r="752" spans="1:9" x14ac:dyDescent="0.2">
      <c r="A752" s="42">
        <v>45025</v>
      </c>
      <c r="B752" s="41">
        <v>1738.13</v>
      </c>
      <c r="C752" s="41">
        <v>32500</v>
      </c>
      <c r="D752" s="41">
        <v>7334</v>
      </c>
      <c r="E752" s="41">
        <v>2224</v>
      </c>
      <c r="F752" s="5">
        <f t="shared" si="48"/>
        <v>1.6827934371055342E-3</v>
      </c>
      <c r="G752" s="5">
        <f t="shared" si="49"/>
        <v>-2.6654687032045543E-2</v>
      </c>
      <c r="H752" s="5">
        <f t="shared" si="50"/>
        <v>-7.0403466016788485E-3</v>
      </c>
      <c r="I752" s="5">
        <f t="shared" si="51"/>
        <v>-1.5929203539822967E-2</v>
      </c>
    </row>
    <row r="753" spans="1:9" x14ac:dyDescent="0.2">
      <c r="A753" s="42">
        <v>45020</v>
      </c>
      <c r="B753" s="41">
        <v>1735.21</v>
      </c>
      <c r="C753" s="41">
        <v>33390</v>
      </c>
      <c r="D753" s="41">
        <v>7386</v>
      </c>
      <c r="E753" s="41">
        <v>2260</v>
      </c>
      <c r="F753" s="5">
        <f t="shared" si="48"/>
        <v>2.3336818452259767E-3</v>
      </c>
      <c r="G753" s="5">
        <f t="shared" si="49"/>
        <v>1.2431776834445074E-2</v>
      </c>
      <c r="H753" s="5">
        <f t="shared" si="50"/>
        <v>2.2142264046498772E-2</v>
      </c>
      <c r="I753" s="5">
        <f t="shared" si="51"/>
        <v>-8.7719298245614308E-3</v>
      </c>
    </row>
    <row r="754" spans="1:9" x14ac:dyDescent="0.2">
      <c r="A754" s="42">
        <v>45019</v>
      </c>
      <c r="B754" s="41">
        <v>1731.17</v>
      </c>
      <c r="C754" s="41">
        <v>32980</v>
      </c>
      <c r="D754" s="41">
        <v>7226</v>
      </c>
      <c r="E754" s="41">
        <v>2280</v>
      </c>
      <c r="F754" s="5">
        <f t="shared" si="48"/>
        <v>-1.0137800903424976E-2</v>
      </c>
      <c r="G754" s="5">
        <f t="shared" si="49"/>
        <v>-1.552238805970152E-2</v>
      </c>
      <c r="H754" s="5">
        <f t="shared" si="50"/>
        <v>2.4673851389676704E-2</v>
      </c>
      <c r="I754" s="5">
        <f t="shared" si="51"/>
        <v>4.3878894251858647E-4</v>
      </c>
    </row>
    <row r="755" spans="1:9" x14ac:dyDescent="0.2">
      <c r="A755" s="42">
        <v>45018</v>
      </c>
      <c r="B755" s="41">
        <v>1748.9</v>
      </c>
      <c r="C755" s="41">
        <v>33500</v>
      </c>
      <c r="D755" s="41">
        <v>7052</v>
      </c>
      <c r="E755" s="41">
        <v>2279</v>
      </c>
      <c r="F755" s="5">
        <f t="shared" si="48"/>
        <v>1.3373352956855378E-2</v>
      </c>
      <c r="G755" s="5">
        <f t="shared" si="49"/>
        <v>0</v>
      </c>
      <c r="H755" s="5">
        <f t="shared" si="50"/>
        <v>-3.0386360511480803E-2</v>
      </c>
      <c r="I755" s="5">
        <f t="shared" si="51"/>
        <v>0</v>
      </c>
    </row>
    <row r="756" spans="1:9" x14ac:dyDescent="0.2">
      <c r="A756" s="42">
        <v>45015</v>
      </c>
      <c r="B756" s="41">
        <v>1725.82</v>
      </c>
      <c r="C756" s="41">
        <v>33500</v>
      </c>
      <c r="D756" s="41">
        <v>7273</v>
      </c>
      <c r="E756" s="41">
        <v>2279</v>
      </c>
      <c r="F756" s="5">
        <f t="shared" si="48"/>
        <v>3.1912481907541146E-3</v>
      </c>
      <c r="G756" s="5">
        <f t="shared" si="49"/>
        <v>1.9166413142683192E-2</v>
      </c>
      <c r="H756" s="5">
        <f t="shared" si="50"/>
        <v>1.1684518013632017E-2</v>
      </c>
      <c r="I756" s="5">
        <f t="shared" si="51"/>
        <v>0</v>
      </c>
    </row>
    <row r="757" spans="1:9" x14ac:dyDescent="0.2">
      <c r="A757" s="42">
        <v>45014</v>
      </c>
      <c r="B757" s="41">
        <v>1720.33</v>
      </c>
      <c r="C757" s="41">
        <v>32870</v>
      </c>
      <c r="D757" s="41">
        <v>7189</v>
      </c>
      <c r="E757" s="41">
        <v>2279</v>
      </c>
      <c r="F757" s="5">
        <f t="shared" si="48"/>
        <v>-1.7549370095827688E-2</v>
      </c>
      <c r="G757" s="5">
        <f t="shared" si="49"/>
        <v>-2.9811097992916147E-2</v>
      </c>
      <c r="H757" s="5">
        <f t="shared" si="50"/>
        <v>-8.960573476702538E-3</v>
      </c>
      <c r="I757" s="5">
        <f t="shared" si="51"/>
        <v>0</v>
      </c>
    </row>
    <row r="758" spans="1:9" x14ac:dyDescent="0.2">
      <c r="A758" s="42">
        <v>45013</v>
      </c>
      <c r="B758" s="41">
        <v>1751.06</v>
      </c>
      <c r="C758" s="41">
        <v>33880</v>
      </c>
      <c r="D758" s="41">
        <v>7254</v>
      </c>
      <c r="E758" s="41">
        <v>2279</v>
      </c>
      <c r="F758" s="5">
        <f t="shared" si="48"/>
        <v>-9.7046747576658987E-3</v>
      </c>
      <c r="G758" s="5">
        <f t="shared" si="49"/>
        <v>6.8769716088328048E-2</v>
      </c>
      <c r="H758" s="5">
        <f t="shared" si="50"/>
        <v>3.5102739726027288E-2</v>
      </c>
      <c r="I758" s="5">
        <f t="shared" si="51"/>
        <v>3.9647577092511987E-3</v>
      </c>
    </row>
    <row r="759" spans="1:9" x14ac:dyDescent="0.2">
      <c r="A759" s="42">
        <v>45012</v>
      </c>
      <c r="B759" s="41">
        <v>1768.22</v>
      </c>
      <c r="C759" s="41">
        <v>31700</v>
      </c>
      <c r="D759" s="41">
        <v>7008</v>
      </c>
      <c r="E759" s="41">
        <v>2270</v>
      </c>
      <c r="F759" s="5">
        <f t="shared" si="48"/>
        <v>1.8301812904563342E-2</v>
      </c>
      <c r="G759" s="5">
        <f t="shared" si="49"/>
        <v>4.2763157894736947E-2</v>
      </c>
      <c r="H759" s="5">
        <f t="shared" si="50"/>
        <v>1.5721023295698355E-3</v>
      </c>
      <c r="I759" s="5">
        <f t="shared" si="51"/>
        <v>0</v>
      </c>
    </row>
    <row r="760" spans="1:9" x14ac:dyDescent="0.2">
      <c r="A760" s="42">
        <v>45011</v>
      </c>
      <c r="B760" s="41">
        <v>1736.44</v>
      </c>
      <c r="C760" s="41">
        <v>30400</v>
      </c>
      <c r="D760" s="41">
        <v>6997</v>
      </c>
      <c r="E760" s="41">
        <v>2270</v>
      </c>
      <c r="F760" s="5">
        <f t="shared" si="48"/>
        <v>-2.267648995626792E-2</v>
      </c>
      <c r="G760" s="5">
        <f t="shared" si="49"/>
        <v>-2.1879021879021909E-2</v>
      </c>
      <c r="H760" s="5">
        <f t="shared" si="50"/>
        <v>-3.5694597574421172E-2</v>
      </c>
      <c r="I760" s="5">
        <f t="shared" si="51"/>
        <v>4.4072278536799736E-4</v>
      </c>
    </row>
    <row r="761" spans="1:9" x14ac:dyDescent="0.2">
      <c r="A761" s="42">
        <v>45008</v>
      </c>
      <c r="B761" s="41">
        <v>1776.73</v>
      </c>
      <c r="C761" s="41">
        <v>31080</v>
      </c>
      <c r="D761" s="41">
        <v>7256</v>
      </c>
      <c r="E761" s="41">
        <v>2269</v>
      </c>
      <c r="F761" s="5">
        <f t="shared" si="48"/>
        <v>2.0610621248240868E-2</v>
      </c>
      <c r="G761" s="5">
        <f t="shared" si="49"/>
        <v>3.2558139534883734E-2</v>
      </c>
      <c r="H761" s="5">
        <f t="shared" si="50"/>
        <v>1.3832611429369868E-2</v>
      </c>
      <c r="I761" s="5">
        <f t="shared" si="51"/>
        <v>0</v>
      </c>
    </row>
    <row r="762" spans="1:9" x14ac:dyDescent="0.2">
      <c r="A762" s="42">
        <v>45007</v>
      </c>
      <c r="B762" s="41">
        <v>1740.85</v>
      </c>
      <c r="C762" s="41">
        <v>30100</v>
      </c>
      <c r="D762" s="41">
        <v>7157</v>
      </c>
      <c r="E762" s="41">
        <v>2269</v>
      </c>
      <c r="F762" s="5">
        <f t="shared" si="48"/>
        <v>2.1068507186892127E-3</v>
      </c>
      <c r="G762" s="5">
        <f t="shared" si="49"/>
        <v>-3.5256410256410242E-2</v>
      </c>
      <c r="H762" s="5">
        <f t="shared" si="50"/>
        <v>-1.6219931271477694E-2</v>
      </c>
      <c r="I762" s="5">
        <f t="shared" si="51"/>
        <v>0</v>
      </c>
    </row>
    <row r="763" spans="1:9" x14ac:dyDescent="0.2">
      <c r="A763" s="42">
        <v>45006</v>
      </c>
      <c r="B763" s="41">
        <v>1737.19</v>
      </c>
      <c r="C763" s="41">
        <v>31200</v>
      </c>
      <c r="D763" s="41">
        <v>7275</v>
      </c>
      <c r="E763" s="41">
        <v>2269</v>
      </c>
      <c r="F763" s="5">
        <f t="shared" si="48"/>
        <v>9.0262248424475278E-3</v>
      </c>
      <c r="G763" s="5">
        <f t="shared" si="49"/>
        <v>4.03467822607535E-2</v>
      </c>
      <c r="H763" s="5">
        <f t="shared" si="50"/>
        <v>0</v>
      </c>
      <c r="I763" s="5">
        <f t="shared" si="51"/>
        <v>8.8222320247033359E-4</v>
      </c>
    </row>
    <row r="764" spans="1:9" x14ac:dyDescent="0.2">
      <c r="A764" s="42">
        <v>45005</v>
      </c>
      <c r="B764" s="41">
        <v>1721.65</v>
      </c>
      <c r="C764" s="41">
        <v>29990</v>
      </c>
      <c r="D764" s="41">
        <v>7275</v>
      </c>
      <c r="E764" s="41">
        <v>2267</v>
      </c>
      <c r="F764" s="5">
        <f t="shared" si="48"/>
        <v>1.5159734424566862E-2</v>
      </c>
      <c r="G764" s="5">
        <f t="shared" si="49"/>
        <v>2.8463648834019306E-2</v>
      </c>
      <c r="H764" s="5">
        <f t="shared" si="50"/>
        <v>9.7154753643302616E-3</v>
      </c>
      <c r="I764" s="5">
        <f t="shared" si="51"/>
        <v>1.3250883392226243E-3</v>
      </c>
    </row>
    <row r="765" spans="1:9" x14ac:dyDescent="0.2">
      <c r="A765" s="42">
        <v>45004</v>
      </c>
      <c r="B765" s="41">
        <v>1695.94</v>
      </c>
      <c r="C765" s="41">
        <v>29160</v>
      </c>
      <c r="D765" s="41">
        <v>7205</v>
      </c>
      <c r="E765" s="41">
        <v>2264</v>
      </c>
      <c r="F765" s="5">
        <f t="shared" si="48"/>
        <v>-7.8741078741079162E-3</v>
      </c>
      <c r="G765" s="5">
        <f t="shared" si="49"/>
        <v>3.4305317324179185E-4</v>
      </c>
      <c r="H765" s="5">
        <f t="shared" si="50"/>
        <v>-9.8941871650405355E-3</v>
      </c>
      <c r="I765" s="5">
        <f t="shared" si="51"/>
        <v>0</v>
      </c>
    </row>
    <row r="766" spans="1:9" x14ac:dyDescent="0.2">
      <c r="A766" s="42">
        <v>45001</v>
      </c>
      <c r="B766" s="41">
        <v>1709.4</v>
      </c>
      <c r="C766" s="41">
        <v>29150</v>
      </c>
      <c r="D766" s="41">
        <v>7277</v>
      </c>
      <c r="E766" s="41">
        <v>2264</v>
      </c>
      <c r="F766" s="5">
        <f t="shared" si="48"/>
        <v>-1.1744701737164132E-3</v>
      </c>
      <c r="G766" s="5">
        <f t="shared" si="49"/>
        <v>-2.0168067226890796E-2</v>
      </c>
      <c r="H766" s="5">
        <f t="shared" si="50"/>
        <v>-2.9603947192959112E-2</v>
      </c>
      <c r="I766" s="5">
        <f t="shared" si="51"/>
        <v>0</v>
      </c>
    </row>
    <row r="767" spans="1:9" x14ac:dyDescent="0.2">
      <c r="A767" s="42">
        <v>45000</v>
      </c>
      <c r="B767" s="41">
        <v>1711.41</v>
      </c>
      <c r="C767" s="41">
        <v>29750</v>
      </c>
      <c r="D767" s="41">
        <v>7499</v>
      </c>
      <c r="E767" s="41">
        <v>2264</v>
      </c>
      <c r="F767" s="5">
        <f t="shared" si="48"/>
        <v>-1.6182252983512946E-2</v>
      </c>
      <c r="G767" s="5">
        <f t="shared" si="49"/>
        <v>-1.490066225165565E-2</v>
      </c>
      <c r="H767" s="5">
        <f t="shared" si="50"/>
        <v>-9.2482494384991121E-3</v>
      </c>
      <c r="I767" s="5">
        <f t="shared" si="51"/>
        <v>-1.1353711790393017E-2</v>
      </c>
    </row>
    <row r="768" spans="1:9" x14ac:dyDescent="0.2">
      <c r="A768" s="42">
        <v>44999</v>
      </c>
      <c r="B768" s="41">
        <v>1739.56</v>
      </c>
      <c r="C768" s="41">
        <v>30200</v>
      </c>
      <c r="D768" s="41">
        <v>7569</v>
      </c>
      <c r="E768" s="41">
        <v>2290</v>
      </c>
      <c r="F768" s="5">
        <f t="shared" si="48"/>
        <v>1.2561263809823142E-2</v>
      </c>
      <c r="G768" s="5">
        <f t="shared" si="49"/>
        <v>4.2097998619737842E-2</v>
      </c>
      <c r="H768" s="5">
        <f t="shared" si="50"/>
        <v>-1.4324781872639636E-2</v>
      </c>
      <c r="I768" s="5">
        <f t="shared" si="51"/>
        <v>1.3117621337996876E-3</v>
      </c>
    </row>
    <row r="769" spans="1:9" x14ac:dyDescent="0.2">
      <c r="A769" s="42">
        <v>44998</v>
      </c>
      <c r="B769" s="41">
        <v>1717.98</v>
      </c>
      <c r="C769" s="41">
        <v>28980</v>
      </c>
      <c r="D769" s="41">
        <v>7679</v>
      </c>
      <c r="E769" s="41">
        <v>2287</v>
      </c>
      <c r="F769" s="5">
        <f t="shared" si="48"/>
        <v>-6.2759207093814329E-3</v>
      </c>
      <c r="G769" s="5">
        <f t="shared" si="49"/>
        <v>-3.400000000000003E-2</v>
      </c>
      <c r="H769" s="5">
        <f t="shared" si="50"/>
        <v>4.7755491881566359E-2</v>
      </c>
      <c r="I769" s="5">
        <f t="shared" si="51"/>
        <v>3.0701754385964453E-3</v>
      </c>
    </row>
    <row r="770" spans="1:9" x14ac:dyDescent="0.2">
      <c r="A770" s="42">
        <v>44997</v>
      </c>
      <c r="B770" s="41">
        <v>1728.83</v>
      </c>
      <c r="C770" s="41">
        <v>30000</v>
      </c>
      <c r="D770" s="41">
        <v>7329</v>
      </c>
      <c r="E770" s="41">
        <v>2280</v>
      </c>
      <c r="F770" s="5">
        <f t="shared" si="48"/>
        <v>-3.3071209646748256E-2</v>
      </c>
      <c r="G770" s="5">
        <f t="shared" si="49"/>
        <v>-4.5801526717557217E-2</v>
      </c>
      <c r="H770" s="5">
        <f t="shared" si="50"/>
        <v>-1.8875502008032119E-2</v>
      </c>
      <c r="I770" s="5">
        <f t="shared" si="51"/>
        <v>-4.2016806722689037E-2</v>
      </c>
    </row>
    <row r="771" spans="1:9" x14ac:dyDescent="0.2">
      <c r="A771" s="42">
        <v>44994</v>
      </c>
      <c r="B771" s="41">
        <v>1787.96</v>
      </c>
      <c r="C771" s="41">
        <v>31440</v>
      </c>
      <c r="D771" s="41">
        <v>7470</v>
      </c>
      <c r="E771" s="41">
        <v>2380</v>
      </c>
      <c r="F771" s="5">
        <f t="shared" si="48"/>
        <v>4.7880231983095101E-3</v>
      </c>
      <c r="G771" s="5">
        <f t="shared" si="49"/>
        <v>3.8314176245211051E-3</v>
      </c>
      <c r="H771" s="5">
        <f t="shared" si="50"/>
        <v>-1.0333863275039712E-2</v>
      </c>
      <c r="I771" s="5">
        <f t="shared" si="51"/>
        <v>1.0615711252653925E-2</v>
      </c>
    </row>
    <row r="772" spans="1:9" x14ac:dyDescent="0.2">
      <c r="A772" s="42">
        <v>44993</v>
      </c>
      <c r="B772" s="41">
        <v>1779.44</v>
      </c>
      <c r="C772" s="41">
        <v>31320</v>
      </c>
      <c r="D772" s="41">
        <v>7548</v>
      </c>
      <c r="E772" s="41">
        <v>2355</v>
      </c>
      <c r="F772" s="5">
        <f t="shared" si="48"/>
        <v>-2.5282461275699664E-4</v>
      </c>
      <c r="G772" s="5">
        <f t="shared" si="49"/>
        <v>-1.354330708661422E-2</v>
      </c>
      <c r="H772" s="5">
        <f t="shared" si="50"/>
        <v>-8.6682427107959148E-3</v>
      </c>
      <c r="I772" s="5">
        <f t="shared" si="51"/>
        <v>8.1335616438356073E-3</v>
      </c>
    </row>
    <row r="773" spans="1:9" x14ac:dyDescent="0.2">
      <c r="A773" s="42">
        <v>44991</v>
      </c>
      <c r="B773" s="41">
        <v>1779.89</v>
      </c>
      <c r="C773" s="41">
        <v>31750</v>
      </c>
      <c r="D773" s="41">
        <v>7614</v>
      </c>
      <c r="E773" s="41">
        <v>2336</v>
      </c>
      <c r="F773" s="5">
        <f t="shared" si="48"/>
        <v>1.6307606219273518E-2</v>
      </c>
      <c r="G773" s="5">
        <f t="shared" si="49"/>
        <v>4.8893293690122297E-2</v>
      </c>
      <c r="H773" s="5">
        <f t="shared" si="50"/>
        <v>0</v>
      </c>
      <c r="I773" s="5">
        <f t="shared" si="51"/>
        <v>6.8965517241379448E-3</v>
      </c>
    </row>
    <row r="774" spans="1:9" x14ac:dyDescent="0.2">
      <c r="A774" s="42">
        <v>44990</v>
      </c>
      <c r="B774" s="41">
        <v>1751.33</v>
      </c>
      <c r="C774" s="41">
        <v>30270</v>
      </c>
      <c r="D774" s="41">
        <v>7614</v>
      </c>
      <c r="E774" s="41">
        <v>2320</v>
      </c>
      <c r="F774" s="5">
        <f t="shared" si="48"/>
        <v>1.0781173347184758E-2</v>
      </c>
      <c r="G774" s="5">
        <f t="shared" si="49"/>
        <v>2.7843803056027072E-2</v>
      </c>
      <c r="H774" s="5">
        <f t="shared" si="50"/>
        <v>-1.6787190082644621E-2</v>
      </c>
      <c r="I774" s="5">
        <f t="shared" si="51"/>
        <v>0</v>
      </c>
    </row>
    <row r="775" spans="1:9" x14ac:dyDescent="0.2">
      <c r="A775" s="42">
        <v>44987</v>
      </c>
      <c r="B775" s="41">
        <v>1732.65</v>
      </c>
      <c r="C775" s="41">
        <v>29450</v>
      </c>
      <c r="D775" s="41">
        <v>7744</v>
      </c>
      <c r="E775" s="41">
        <v>2320</v>
      </c>
      <c r="F775" s="5">
        <f t="shared" si="48"/>
        <v>-2.4985751213305596E-3</v>
      </c>
      <c r="G775" s="5">
        <f t="shared" si="49"/>
        <v>-3.6321989528795839E-2</v>
      </c>
      <c r="H775" s="5">
        <f t="shared" si="50"/>
        <v>-8.8314347881736088E-3</v>
      </c>
      <c r="I775" s="5">
        <f t="shared" si="51"/>
        <v>-3.0505641454241506E-2</v>
      </c>
    </row>
    <row r="776" spans="1:9" x14ac:dyDescent="0.2">
      <c r="A776" s="42">
        <v>44986</v>
      </c>
      <c r="B776" s="41">
        <v>1736.99</v>
      </c>
      <c r="C776" s="41">
        <v>30560</v>
      </c>
      <c r="D776" s="41">
        <v>7813</v>
      </c>
      <c r="E776" s="41">
        <v>2393</v>
      </c>
      <c r="F776" s="5">
        <f t="shared" si="48"/>
        <v>2.8868526954544116E-3</v>
      </c>
      <c r="G776" s="5">
        <f t="shared" si="49"/>
        <v>4.6022353714660902E-3</v>
      </c>
      <c r="H776" s="5">
        <f t="shared" si="50"/>
        <v>4.6290343320045668E-3</v>
      </c>
      <c r="I776" s="5">
        <f t="shared" si="51"/>
        <v>0</v>
      </c>
    </row>
    <row r="777" spans="1:9" x14ac:dyDescent="0.2">
      <c r="A777" s="42">
        <v>44985</v>
      </c>
      <c r="B777" s="41">
        <v>1731.99</v>
      </c>
      <c r="C777" s="41">
        <v>30420</v>
      </c>
      <c r="D777" s="41">
        <v>7777</v>
      </c>
      <c r="E777" s="41">
        <v>2393</v>
      </c>
      <c r="F777" s="5">
        <f t="shared" si="48"/>
        <v>5.2234777915136643E-3</v>
      </c>
      <c r="G777" s="5">
        <f t="shared" si="49"/>
        <v>-6.5703022339025363E-4</v>
      </c>
      <c r="H777" s="5">
        <f t="shared" si="50"/>
        <v>1.5453960077269624E-3</v>
      </c>
      <c r="I777" s="5">
        <f t="shared" si="51"/>
        <v>0</v>
      </c>
    </row>
    <row r="778" spans="1:9" x14ac:dyDescent="0.2">
      <c r="A778" s="42">
        <v>44984</v>
      </c>
      <c r="B778" s="41">
        <v>1722.99</v>
      </c>
      <c r="C778" s="41">
        <v>30440</v>
      </c>
      <c r="D778" s="41">
        <v>7765</v>
      </c>
      <c r="E778" s="41">
        <v>2393</v>
      </c>
      <c r="F778" s="5">
        <f t="shared" si="48"/>
        <v>9.5624813232786376E-3</v>
      </c>
      <c r="G778" s="5">
        <f t="shared" si="49"/>
        <v>2.4915824915825002E-2</v>
      </c>
      <c r="H778" s="5">
        <f t="shared" si="50"/>
        <v>8.834610887358707E-3</v>
      </c>
      <c r="I778" s="5">
        <f t="shared" si="51"/>
        <v>-3.3911990310859896E-2</v>
      </c>
    </row>
    <row r="779" spans="1:9" x14ac:dyDescent="0.2">
      <c r="A779" s="42">
        <v>44983</v>
      </c>
      <c r="B779" s="41">
        <v>1706.67</v>
      </c>
      <c r="C779" s="41">
        <v>29700</v>
      </c>
      <c r="D779" s="41">
        <v>7697</v>
      </c>
      <c r="E779" s="41">
        <v>2477</v>
      </c>
      <c r="F779" s="5">
        <f t="shared" si="48"/>
        <v>-2.59844766579157E-2</v>
      </c>
      <c r="G779" s="5">
        <f t="shared" si="49"/>
        <v>-5.414012738853502E-2</v>
      </c>
      <c r="H779" s="5">
        <f t="shared" si="50"/>
        <v>-5.0924784217016072E-2</v>
      </c>
      <c r="I779" s="5">
        <f t="shared" si="51"/>
        <v>0</v>
      </c>
    </row>
    <row r="780" spans="1:9" x14ac:dyDescent="0.2">
      <c r="A780" s="42">
        <v>44980</v>
      </c>
      <c r="B780" s="41">
        <v>1752.2</v>
      </c>
      <c r="C780" s="41">
        <v>31400</v>
      </c>
      <c r="D780" s="41">
        <v>8110</v>
      </c>
      <c r="E780" s="41">
        <v>2477</v>
      </c>
      <c r="F780" s="5">
        <f t="shared" si="48"/>
        <v>-7.7524647628108845E-3</v>
      </c>
      <c r="G780" s="5">
        <f t="shared" si="49"/>
        <v>-1.9975031210986316E-2</v>
      </c>
      <c r="H780" s="5">
        <f t="shared" si="50"/>
        <v>-2.7461326298117261E-2</v>
      </c>
      <c r="I780" s="5">
        <f t="shared" si="51"/>
        <v>5.6841250507511099E-3</v>
      </c>
    </row>
    <row r="781" spans="1:9" x14ac:dyDescent="0.2">
      <c r="A781" s="42">
        <v>44979</v>
      </c>
      <c r="B781" s="41">
        <v>1765.89</v>
      </c>
      <c r="C781" s="41">
        <v>32040</v>
      </c>
      <c r="D781" s="41">
        <v>8339</v>
      </c>
      <c r="E781" s="41">
        <v>2463</v>
      </c>
      <c r="F781" s="5">
        <f t="shared" si="48"/>
        <v>-4.7062404184325946E-3</v>
      </c>
      <c r="G781" s="5">
        <f t="shared" si="49"/>
        <v>-6.5116279069767913E-3</v>
      </c>
      <c r="H781" s="5">
        <f t="shared" si="50"/>
        <v>-2.1818181818181848E-2</v>
      </c>
      <c r="I781" s="5">
        <f t="shared" si="51"/>
        <v>0</v>
      </c>
    </row>
    <row r="782" spans="1:9" x14ac:dyDescent="0.2">
      <c r="A782" s="42">
        <v>44978</v>
      </c>
      <c r="B782" s="41">
        <v>1774.24</v>
      </c>
      <c r="C782" s="41">
        <v>32250</v>
      </c>
      <c r="D782" s="41">
        <v>8525</v>
      </c>
      <c r="E782" s="41">
        <v>2463</v>
      </c>
      <c r="F782" s="5">
        <f t="shared" ref="F782:F845" si="52">B782/B783-1</f>
        <v>-2.0097976947250462E-2</v>
      </c>
      <c r="G782" s="5">
        <f t="shared" ref="G782:G845" si="53">C782/C783-1</f>
        <v>-4.7267355982274717E-2</v>
      </c>
      <c r="H782" s="5">
        <f t="shared" ref="H782:H845" si="54">D782/D783-1</f>
        <v>-4.2350033700292111E-2</v>
      </c>
      <c r="I782" s="5">
        <f t="shared" ref="I782:I845" si="55">E782/E783-1</f>
        <v>0</v>
      </c>
    </row>
    <row r="783" spans="1:9" x14ac:dyDescent="0.2">
      <c r="A783" s="42">
        <v>44977</v>
      </c>
      <c r="B783" s="41">
        <v>1810.63</v>
      </c>
      <c r="C783" s="41">
        <v>33850</v>
      </c>
      <c r="D783" s="41">
        <v>8902</v>
      </c>
      <c r="E783" s="41">
        <v>2463</v>
      </c>
      <c r="F783" s="5">
        <f t="shared" si="52"/>
        <v>3.3701285068676867E-4</v>
      </c>
      <c r="G783" s="5">
        <f t="shared" si="53"/>
        <v>5.9119125036954934E-4</v>
      </c>
      <c r="H783" s="5">
        <f t="shared" si="54"/>
        <v>-5.1408135896289231E-3</v>
      </c>
      <c r="I783" s="5">
        <f t="shared" si="55"/>
        <v>0</v>
      </c>
    </row>
    <row r="784" spans="1:9" x14ac:dyDescent="0.2">
      <c r="A784" s="42">
        <v>44976</v>
      </c>
      <c r="B784" s="41">
        <v>1810.02</v>
      </c>
      <c r="C784" s="41">
        <v>33830</v>
      </c>
      <c r="D784" s="41">
        <v>8948</v>
      </c>
      <c r="E784" s="41">
        <v>2463</v>
      </c>
      <c r="F784" s="5">
        <f t="shared" si="52"/>
        <v>-6.9403677023268662E-3</v>
      </c>
      <c r="G784" s="5">
        <f t="shared" si="53"/>
        <v>-2.563364055299544E-2</v>
      </c>
      <c r="H784" s="5">
        <f t="shared" si="54"/>
        <v>-1.7849174475680352E-3</v>
      </c>
      <c r="I784" s="5">
        <f t="shared" si="55"/>
        <v>0</v>
      </c>
    </row>
    <row r="785" spans="1:9" x14ac:dyDescent="0.2">
      <c r="A785" s="42">
        <v>44973</v>
      </c>
      <c r="B785" s="41">
        <v>1822.67</v>
      </c>
      <c r="C785" s="41">
        <v>34720</v>
      </c>
      <c r="D785" s="41">
        <v>8964</v>
      </c>
      <c r="E785" s="41">
        <v>2463</v>
      </c>
      <c r="F785" s="5">
        <f t="shared" si="52"/>
        <v>-9.1169051450441518E-3</v>
      </c>
      <c r="G785" s="5">
        <f t="shared" si="53"/>
        <v>-2.3347398030942323E-2</v>
      </c>
      <c r="H785" s="5">
        <f t="shared" si="54"/>
        <v>-2.5592522532547068E-3</v>
      </c>
      <c r="I785" s="5">
        <f t="shared" si="55"/>
        <v>0</v>
      </c>
    </row>
    <row r="786" spans="1:9" x14ac:dyDescent="0.2">
      <c r="A786" s="42">
        <v>44972</v>
      </c>
      <c r="B786" s="41">
        <v>1839.44</v>
      </c>
      <c r="C786" s="41">
        <v>35550</v>
      </c>
      <c r="D786" s="41">
        <v>8987</v>
      </c>
      <c r="E786" s="41">
        <v>2463</v>
      </c>
      <c r="F786" s="5">
        <f t="shared" si="52"/>
        <v>6.6877551690547321E-3</v>
      </c>
      <c r="G786" s="5">
        <f t="shared" si="53"/>
        <v>-6.7057837384744134E-3</v>
      </c>
      <c r="H786" s="5">
        <f t="shared" si="54"/>
        <v>-4.761904761904745E-3</v>
      </c>
      <c r="I786" s="5">
        <f t="shared" si="55"/>
        <v>2.8501628664494572E-3</v>
      </c>
    </row>
    <row r="787" spans="1:9" x14ac:dyDescent="0.2">
      <c r="A787" s="42">
        <v>44971</v>
      </c>
      <c r="B787" s="41">
        <v>1827.22</v>
      </c>
      <c r="C787" s="41">
        <v>35790</v>
      </c>
      <c r="D787" s="41">
        <v>9030</v>
      </c>
      <c r="E787" s="41">
        <v>2456</v>
      </c>
      <c r="F787" s="5">
        <f t="shared" si="52"/>
        <v>-2.4893819126751149E-3</v>
      </c>
      <c r="G787" s="5">
        <f t="shared" si="53"/>
        <v>1.4168319637291038E-2</v>
      </c>
      <c r="H787" s="5">
        <f t="shared" si="54"/>
        <v>6.1281337047354167E-3</v>
      </c>
      <c r="I787" s="5">
        <f t="shared" si="55"/>
        <v>4.9099836333879043E-3</v>
      </c>
    </row>
    <row r="788" spans="1:9" x14ac:dyDescent="0.2">
      <c r="A788" s="42">
        <v>44970</v>
      </c>
      <c r="B788" s="41">
        <v>1831.78</v>
      </c>
      <c r="C788" s="41">
        <v>35290</v>
      </c>
      <c r="D788" s="41">
        <v>8975</v>
      </c>
      <c r="E788" s="41">
        <v>2444</v>
      </c>
      <c r="F788" s="5">
        <f t="shared" si="52"/>
        <v>1.5590521495181919E-2</v>
      </c>
      <c r="G788" s="5">
        <f t="shared" si="53"/>
        <v>4.0082522841143442E-2</v>
      </c>
      <c r="H788" s="5">
        <f t="shared" si="54"/>
        <v>-1.1140819964350346E-4</v>
      </c>
      <c r="I788" s="5">
        <f t="shared" si="55"/>
        <v>2.4610336341264194E-3</v>
      </c>
    </row>
    <row r="789" spans="1:9" x14ac:dyDescent="0.2">
      <c r="A789" s="42">
        <v>44969</v>
      </c>
      <c r="B789" s="41">
        <v>1803.66</v>
      </c>
      <c r="C789" s="41">
        <v>33930</v>
      </c>
      <c r="D789" s="41">
        <v>8976</v>
      </c>
      <c r="E789" s="41">
        <v>2438</v>
      </c>
      <c r="F789" s="5">
        <f t="shared" si="52"/>
        <v>-8.2096569320186941E-3</v>
      </c>
      <c r="G789" s="5">
        <f t="shared" si="53"/>
        <v>-3.3057851239669422E-2</v>
      </c>
      <c r="H789" s="5">
        <f t="shared" si="54"/>
        <v>-2.4449877750610804E-3</v>
      </c>
      <c r="I789" s="5">
        <f t="shared" si="55"/>
        <v>-2.9844807003581386E-2</v>
      </c>
    </row>
    <row r="790" spans="1:9" x14ac:dyDescent="0.2">
      <c r="A790" s="42">
        <v>44966</v>
      </c>
      <c r="B790" s="41">
        <v>1818.59</v>
      </c>
      <c r="C790" s="41">
        <v>35090</v>
      </c>
      <c r="D790" s="41">
        <v>8998</v>
      </c>
      <c r="E790" s="41">
        <v>2513</v>
      </c>
      <c r="F790" s="5">
        <f t="shared" si="52"/>
        <v>-9.7145004165691828E-3</v>
      </c>
      <c r="G790" s="5">
        <f t="shared" si="53"/>
        <v>-2.9590707964601726E-2</v>
      </c>
      <c r="H790" s="5">
        <f t="shared" si="54"/>
        <v>-7.7734591893396932E-4</v>
      </c>
      <c r="I790" s="5">
        <f t="shared" si="55"/>
        <v>7.9649542015136632E-4</v>
      </c>
    </row>
    <row r="791" spans="1:9" x14ac:dyDescent="0.2">
      <c r="A791" s="42">
        <v>44965</v>
      </c>
      <c r="B791" s="41">
        <v>1836.43</v>
      </c>
      <c r="C791" s="41">
        <v>36160</v>
      </c>
      <c r="D791" s="41">
        <v>9005</v>
      </c>
      <c r="E791" s="41">
        <v>2511</v>
      </c>
      <c r="F791" s="5">
        <f t="shared" si="52"/>
        <v>-5.3242771873950323E-3</v>
      </c>
      <c r="G791" s="5">
        <f t="shared" si="53"/>
        <v>-1.3808340237503325E-3</v>
      </c>
      <c r="H791" s="5">
        <f t="shared" si="54"/>
        <v>5.8081090137385161E-3</v>
      </c>
      <c r="I791" s="5">
        <f t="shared" si="55"/>
        <v>1.1961722488038617E-3</v>
      </c>
    </row>
    <row r="792" spans="1:9" x14ac:dyDescent="0.2">
      <c r="A792" s="42">
        <v>44964</v>
      </c>
      <c r="B792" s="41">
        <v>1846.26</v>
      </c>
      <c r="C792" s="41">
        <v>36210</v>
      </c>
      <c r="D792" s="41">
        <v>8953</v>
      </c>
      <c r="E792" s="41">
        <v>2508</v>
      </c>
      <c r="F792" s="5">
        <f t="shared" si="52"/>
        <v>-2.9239766081867735E-4</v>
      </c>
      <c r="G792" s="5">
        <f t="shared" si="53"/>
        <v>2.8109028960817684E-2</v>
      </c>
      <c r="H792" s="5">
        <f t="shared" si="54"/>
        <v>-2.1176995095854023E-3</v>
      </c>
      <c r="I792" s="5">
        <f t="shared" si="55"/>
        <v>1.0882708585247869E-2</v>
      </c>
    </row>
    <row r="793" spans="1:9" x14ac:dyDescent="0.2">
      <c r="A793" s="42">
        <v>44963</v>
      </c>
      <c r="B793" s="41">
        <v>1846.8</v>
      </c>
      <c r="C793" s="41">
        <v>35220</v>
      </c>
      <c r="D793" s="41">
        <v>8972</v>
      </c>
      <c r="E793" s="41">
        <v>2481</v>
      </c>
      <c r="F793" s="5">
        <f t="shared" si="52"/>
        <v>-5.8835245164797767E-3</v>
      </c>
      <c r="G793" s="5">
        <f t="shared" si="53"/>
        <v>-5.0847457627118953E-3</v>
      </c>
      <c r="H793" s="5">
        <f t="shared" si="54"/>
        <v>1.6196624759315936E-2</v>
      </c>
      <c r="I793" s="5">
        <f t="shared" si="55"/>
        <v>4.8602673147022379E-3</v>
      </c>
    </row>
    <row r="794" spans="1:9" x14ac:dyDescent="0.2">
      <c r="A794" s="42">
        <v>44962</v>
      </c>
      <c r="B794" s="41">
        <v>1857.73</v>
      </c>
      <c r="C794" s="41">
        <v>35400</v>
      </c>
      <c r="D794" s="41">
        <v>8829</v>
      </c>
      <c r="E794" s="41">
        <v>2469</v>
      </c>
      <c r="F794" s="5">
        <f t="shared" si="52"/>
        <v>-9.2265190423619359E-3</v>
      </c>
      <c r="G794" s="5">
        <f t="shared" si="53"/>
        <v>-1.3102871480345724E-2</v>
      </c>
      <c r="H794" s="5">
        <f t="shared" si="54"/>
        <v>5.5808656036446802E-3</v>
      </c>
      <c r="I794" s="5">
        <f t="shared" si="55"/>
        <v>6.9331158238172819E-3</v>
      </c>
    </row>
    <row r="795" spans="1:9" x14ac:dyDescent="0.2">
      <c r="A795" s="42">
        <v>44959</v>
      </c>
      <c r="B795" s="41">
        <v>1875.03</v>
      </c>
      <c r="C795" s="41">
        <v>35870</v>
      </c>
      <c r="D795" s="41">
        <v>8780</v>
      </c>
      <c r="E795" s="41">
        <v>2452</v>
      </c>
      <c r="F795" s="5">
        <f t="shared" si="52"/>
        <v>2.1786872292308024E-2</v>
      </c>
      <c r="G795" s="5">
        <f t="shared" si="53"/>
        <v>5.9362079149438918E-2</v>
      </c>
      <c r="H795" s="5">
        <f t="shared" si="54"/>
        <v>-3.0048608042421598E-2</v>
      </c>
      <c r="I795" s="5">
        <f t="shared" si="55"/>
        <v>2.4529844644316512E-3</v>
      </c>
    </row>
    <row r="796" spans="1:9" x14ac:dyDescent="0.2">
      <c r="A796" s="42">
        <v>44958</v>
      </c>
      <c r="B796" s="41">
        <v>1835.05</v>
      </c>
      <c r="C796" s="41">
        <v>33860</v>
      </c>
      <c r="D796" s="41">
        <v>9052</v>
      </c>
      <c r="E796" s="41">
        <v>2446</v>
      </c>
      <c r="F796" s="5">
        <f t="shared" si="52"/>
        <v>6.6983388558512491E-3</v>
      </c>
      <c r="G796" s="5">
        <f t="shared" si="53"/>
        <v>1.9879518072289049E-2</v>
      </c>
      <c r="H796" s="5">
        <f t="shared" si="54"/>
        <v>-3.8516562121712061E-3</v>
      </c>
      <c r="I796" s="5">
        <f t="shared" si="55"/>
        <v>0</v>
      </c>
    </row>
    <row r="797" spans="1:9" x14ac:dyDescent="0.2">
      <c r="A797" s="42">
        <v>44957</v>
      </c>
      <c r="B797" s="41">
        <v>1822.84</v>
      </c>
      <c r="C797" s="41">
        <v>33200</v>
      </c>
      <c r="D797" s="41">
        <v>9087</v>
      </c>
      <c r="E797" s="41">
        <v>2446</v>
      </c>
      <c r="F797" s="5">
        <f t="shared" si="52"/>
        <v>1.4136850948298418E-2</v>
      </c>
      <c r="G797" s="5">
        <f t="shared" si="53"/>
        <v>2.977667493796532E-2</v>
      </c>
      <c r="H797" s="5">
        <f t="shared" si="54"/>
        <v>-1.4285714285714457E-3</v>
      </c>
      <c r="I797" s="5">
        <f t="shared" si="55"/>
        <v>0</v>
      </c>
    </row>
    <row r="798" spans="1:9" x14ac:dyDescent="0.2">
      <c r="A798" s="42">
        <v>44956</v>
      </c>
      <c r="B798" s="41">
        <v>1797.43</v>
      </c>
      <c r="C798" s="41">
        <v>32240</v>
      </c>
      <c r="D798" s="41">
        <v>9100</v>
      </c>
      <c r="E798" s="41">
        <v>2446</v>
      </c>
      <c r="F798" s="5">
        <f t="shared" si="52"/>
        <v>1.6168879994120422E-2</v>
      </c>
      <c r="G798" s="5">
        <f t="shared" si="53"/>
        <v>4.9820905242591973E-2</v>
      </c>
      <c r="H798" s="5">
        <f t="shared" si="54"/>
        <v>-1.8550474547023299E-2</v>
      </c>
      <c r="I798" s="5">
        <f t="shared" si="55"/>
        <v>0</v>
      </c>
    </row>
    <row r="799" spans="1:9" x14ac:dyDescent="0.2">
      <c r="A799" s="42">
        <v>44955</v>
      </c>
      <c r="B799" s="41">
        <v>1768.83</v>
      </c>
      <c r="C799" s="41">
        <v>30710</v>
      </c>
      <c r="D799" s="41">
        <v>9272</v>
      </c>
      <c r="E799" s="41">
        <v>2446</v>
      </c>
      <c r="F799" s="5">
        <f t="shared" si="52"/>
        <v>-2.1405019031601302E-2</v>
      </c>
      <c r="G799" s="5">
        <f t="shared" si="53"/>
        <v>-4.538389804165377E-2</v>
      </c>
      <c r="H799" s="5">
        <f t="shared" si="54"/>
        <v>-6.3230093237595097E-3</v>
      </c>
      <c r="I799" s="5">
        <f t="shared" si="55"/>
        <v>0</v>
      </c>
    </row>
    <row r="800" spans="1:9" x14ac:dyDescent="0.2">
      <c r="A800" s="42">
        <v>44952</v>
      </c>
      <c r="B800" s="41">
        <v>1807.52</v>
      </c>
      <c r="C800" s="41">
        <v>32170</v>
      </c>
      <c r="D800" s="41">
        <v>9331</v>
      </c>
      <c r="E800" s="41">
        <v>2446</v>
      </c>
      <c r="F800" s="5">
        <f t="shared" si="52"/>
        <v>-1.0115060871089154E-2</v>
      </c>
      <c r="G800" s="5">
        <f t="shared" si="53"/>
        <v>-1.1066707654472818E-2</v>
      </c>
      <c r="H800" s="5">
        <f t="shared" si="54"/>
        <v>0</v>
      </c>
      <c r="I800" s="5">
        <f t="shared" si="55"/>
        <v>0</v>
      </c>
    </row>
    <row r="801" spans="1:9" x14ac:dyDescent="0.2">
      <c r="A801" s="42">
        <v>44951</v>
      </c>
      <c r="B801" s="41">
        <v>1825.99</v>
      </c>
      <c r="C801" s="41">
        <v>32530</v>
      </c>
      <c r="D801" s="41">
        <v>9331</v>
      </c>
      <c r="E801" s="41">
        <v>2446</v>
      </c>
      <c r="F801" s="5">
        <f t="shared" si="52"/>
        <v>-1.7265226821379098E-2</v>
      </c>
      <c r="G801" s="5">
        <f t="shared" si="53"/>
        <v>-3.3283803863298655E-2</v>
      </c>
      <c r="H801" s="5">
        <f t="shared" si="54"/>
        <v>-4.2849491162288977E-4</v>
      </c>
      <c r="I801" s="5">
        <f t="shared" si="55"/>
        <v>0</v>
      </c>
    </row>
    <row r="802" spans="1:9" x14ac:dyDescent="0.2">
      <c r="A802" s="42">
        <v>44950</v>
      </c>
      <c r="B802" s="41">
        <v>1858.07</v>
      </c>
      <c r="C802" s="41">
        <v>33650</v>
      </c>
      <c r="D802" s="41">
        <v>9335</v>
      </c>
      <c r="E802" s="41">
        <v>2446</v>
      </c>
      <c r="F802" s="5">
        <f t="shared" si="52"/>
        <v>-6.3466451526161816E-4</v>
      </c>
      <c r="G802" s="5">
        <f t="shared" si="53"/>
        <v>-7.3746312684366266E-3</v>
      </c>
      <c r="H802" s="5">
        <f t="shared" si="54"/>
        <v>0</v>
      </c>
      <c r="I802" s="5">
        <f t="shared" si="55"/>
        <v>0</v>
      </c>
    </row>
    <row r="803" spans="1:9" x14ac:dyDescent="0.2">
      <c r="A803" s="42">
        <v>44949</v>
      </c>
      <c r="B803" s="41">
        <v>1859.25</v>
      </c>
      <c r="C803" s="41">
        <v>33900</v>
      </c>
      <c r="D803" s="41">
        <v>9335</v>
      </c>
      <c r="E803" s="41">
        <v>2446</v>
      </c>
      <c r="F803" s="5">
        <f t="shared" si="52"/>
        <v>1.270942274448128E-3</v>
      </c>
      <c r="G803" s="5">
        <f t="shared" si="53"/>
        <v>4.4444444444444731E-3</v>
      </c>
      <c r="H803" s="5">
        <f t="shared" si="54"/>
        <v>5.3590568060024601E-4</v>
      </c>
      <c r="I803" s="5">
        <f t="shared" si="55"/>
        <v>0</v>
      </c>
    </row>
    <row r="804" spans="1:9" x14ac:dyDescent="0.2">
      <c r="A804" s="42">
        <v>44948</v>
      </c>
      <c r="B804" s="41">
        <v>1856.89</v>
      </c>
      <c r="C804" s="41">
        <v>33750</v>
      </c>
      <c r="D804" s="41">
        <v>9330</v>
      </c>
      <c r="E804" s="41">
        <v>2446</v>
      </c>
      <c r="F804" s="5">
        <f t="shared" si="52"/>
        <v>8.6173003075451504E-5</v>
      </c>
      <c r="G804" s="5">
        <f t="shared" si="53"/>
        <v>1.4427412082957725E-2</v>
      </c>
      <c r="H804" s="5">
        <f t="shared" si="54"/>
        <v>-2.1431633090440716E-4</v>
      </c>
      <c r="I804" s="5">
        <f t="shared" si="55"/>
        <v>2.1294363256785021E-2</v>
      </c>
    </row>
    <row r="805" spans="1:9" x14ac:dyDescent="0.2">
      <c r="A805" s="42">
        <v>44945</v>
      </c>
      <c r="B805" s="41">
        <v>1856.73</v>
      </c>
      <c r="C805" s="41">
        <v>33270</v>
      </c>
      <c r="D805" s="41">
        <v>9332</v>
      </c>
      <c r="E805" s="41">
        <v>2395</v>
      </c>
      <c r="F805" s="5">
        <f t="shared" si="52"/>
        <v>-1.7145549250444536E-2</v>
      </c>
      <c r="G805" s="5">
        <f t="shared" si="53"/>
        <v>-1.099881093935795E-2</v>
      </c>
      <c r="H805" s="5">
        <f t="shared" si="54"/>
        <v>5.8202198749730538E-3</v>
      </c>
      <c r="I805" s="5">
        <f t="shared" si="55"/>
        <v>7.148864592094295E-3</v>
      </c>
    </row>
    <row r="806" spans="1:9" x14ac:dyDescent="0.2">
      <c r="A806" s="42">
        <v>44944</v>
      </c>
      <c r="B806" s="41">
        <v>1889.12</v>
      </c>
      <c r="C806" s="41">
        <v>33640</v>
      </c>
      <c r="D806" s="41">
        <v>9278</v>
      </c>
      <c r="E806" s="41">
        <v>2378</v>
      </c>
      <c r="F806" s="5">
        <f t="shared" si="52"/>
        <v>6.833242400003936E-4</v>
      </c>
      <c r="G806" s="5">
        <f t="shared" si="53"/>
        <v>-1.4841199168892372E-3</v>
      </c>
      <c r="H806" s="5">
        <f t="shared" si="54"/>
        <v>3.2439446366780977E-3</v>
      </c>
      <c r="I806" s="5">
        <f t="shared" si="55"/>
        <v>2.9523407844791461E-3</v>
      </c>
    </row>
    <row r="807" spans="1:9" x14ac:dyDescent="0.2">
      <c r="A807" s="42">
        <v>44943</v>
      </c>
      <c r="B807" s="41">
        <v>1887.83</v>
      </c>
      <c r="C807" s="41">
        <v>33690</v>
      </c>
      <c r="D807" s="41">
        <v>9248</v>
      </c>
      <c r="E807" s="41">
        <v>2371</v>
      </c>
      <c r="F807" s="5">
        <f t="shared" si="52"/>
        <v>2.0329087048831518E-3</v>
      </c>
      <c r="G807" s="5">
        <f t="shared" si="53"/>
        <v>0</v>
      </c>
      <c r="H807" s="5">
        <f t="shared" si="54"/>
        <v>1.082485386447285E-3</v>
      </c>
      <c r="I807" s="5">
        <f t="shared" si="55"/>
        <v>2.5369978858351683E-3</v>
      </c>
    </row>
    <row r="808" spans="1:9" x14ac:dyDescent="0.2">
      <c r="A808" s="42">
        <v>44942</v>
      </c>
      <c r="B808" s="41">
        <v>1884</v>
      </c>
      <c r="C808" s="41">
        <v>33690</v>
      </c>
      <c r="D808" s="41">
        <v>9238</v>
      </c>
      <c r="E808" s="41">
        <v>2365</v>
      </c>
      <c r="F808" s="5">
        <f t="shared" si="52"/>
        <v>3.740050506664927E-3</v>
      </c>
      <c r="G808" s="5">
        <f t="shared" si="53"/>
        <v>5.9719319199760257E-3</v>
      </c>
      <c r="H808" s="5">
        <f t="shared" si="54"/>
        <v>-8.6523902227986227E-4</v>
      </c>
      <c r="I808" s="5">
        <f t="shared" si="55"/>
        <v>3.3202271734381839E-2</v>
      </c>
    </row>
    <row r="809" spans="1:9" x14ac:dyDescent="0.2">
      <c r="A809" s="42">
        <v>44941</v>
      </c>
      <c r="B809" s="41">
        <v>1876.98</v>
      </c>
      <c r="C809" s="41">
        <v>33490</v>
      </c>
      <c r="D809" s="41">
        <v>9246</v>
      </c>
      <c r="E809" s="41">
        <v>2289</v>
      </c>
      <c r="F809" s="5">
        <f t="shared" si="52"/>
        <v>1.5538939326718015E-2</v>
      </c>
      <c r="G809" s="5">
        <f t="shared" si="53"/>
        <v>3.6842105263157787E-2</v>
      </c>
      <c r="H809" s="5">
        <f t="shared" si="54"/>
        <v>1.0816657652790163E-4</v>
      </c>
      <c r="I809" s="5">
        <f t="shared" si="55"/>
        <v>0</v>
      </c>
    </row>
    <row r="810" spans="1:9" x14ac:dyDescent="0.2">
      <c r="A810" s="42">
        <v>44938</v>
      </c>
      <c r="B810" s="41">
        <v>1848.26</v>
      </c>
      <c r="C810" s="41">
        <v>32300</v>
      </c>
      <c r="D810" s="41">
        <v>9245</v>
      </c>
      <c r="E810" s="41">
        <v>2289</v>
      </c>
      <c r="F810" s="5">
        <f t="shared" si="52"/>
        <v>1.2513881741109678E-3</v>
      </c>
      <c r="G810" s="5">
        <f t="shared" si="53"/>
        <v>4.5645840077695121E-2</v>
      </c>
      <c r="H810" s="5">
        <f t="shared" si="54"/>
        <v>8.7288597926895584E-3</v>
      </c>
      <c r="I810" s="5">
        <f t="shared" si="55"/>
        <v>0</v>
      </c>
    </row>
    <row r="811" spans="1:9" x14ac:dyDescent="0.2">
      <c r="A811" s="42">
        <v>44937</v>
      </c>
      <c r="B811" s="41">
        <v>1845.95</v>
      </c>
      <c r="C811" s="41">
        <v>30890</v>
      </c>
      <c r="D811" s="41">
        <v>9165</v>
      </c>
      <c r="E811" s="41">
        <v>2289</v>
      </c>
      <c r="F811" s="5">
        <f t="shared" si="52"/>
        <v>1.4974039572697162E-3</v>
      </c>
      <c r="G811" s="5">
        <f t="shared" si="53"/>
        <v>4.006734006734014E-2</v>
      </c>
      <c r="H811" s="5">
        <f t="shared" si="54"/>
        <v>-7.3648868190187011E-3</v>
      </c>
      <c r="I811" s="5">
        <f t="shared" si="55"/>
        <v>-3.0487804878048808E-3</v>
      </c>
    </row>
    <row r="812" spans="1:9" x14ac:dyDescent="0.2">
      <c r="A812" s="42">
        <v>44936</v>
      </c>
      <c r="B812" s="41">
        <v>1843.19</v>
      </c>
      <c r="C812" s="41">
        <v>29700</v>
      </c>
      <c r="D812" s="41">
        <v>9233</v>
      </c>
      <c r="E812" s="41">
        <v>2296</v>
      </c>
      <c r="F812" s="5">
        <f t="shared" si="52"/>
        <v>-3.9179870733446753E-3</v>
      </c>
      <c r="G812" s="5">
        <f t="shared" si="53"/>
        <v>-2.0771513353115778E-2</v>
      </c>
      <c r="H812" s="5">
        <f t="shared" si="54"/>
        <v>0</v>
      </c>
      <c r="I812" s="5">
        <f t="shared" si="55"/>
        <v>0</v>
      </c>
    </row>
    <row r="813" spans="1:9" x14ac:dyDescent="0.2">
      <c r="A813" s="42">
        <v>44935</v>
      </c>
      <c r="B813" s="41">
        <v>1850.44</v>
      </c>
      <c r="C813" s="41">
        <v>30330</v>
      </c>
      <c r="D813" s="41">
        <v>9233</v>
      </c>
      <c r="E813" s="41">
        <v>2296</v>
      </c>
      <c r="F813" s="5">
        <f t="shared" si="52"/>
        <v>1.0137182223629582E-2</v>
      </c>
      <c r="G813" s="5">
        <f t="shared" si="53"/>
        <v>3.5153583617747453E-2</v>
      </c>
      <c r="H813" s="5">
        <f t="shared" si="54"/>
        <v>6.1022120518687828E-3</v>
      </c>
      <c r="I813" s="5">
        <f t="shared" si="55"/>
        <v>-1.3321873657069161E-2</v>
      </c>
    </row>
    <row r="814" spans="1:9" x14ac:dyDescent="0.2">
      <c r="A814" s="42">
        <v>44934</v>
      </c>
      <c r="B814" s="41">
        <v>1831.87</v>
      </c>
      <c r="C814" s="41">
        <v>29300</v>
      </c>
      <c r="D814" s="41">
        <v>9177</v>
      </c>
      <c r="E814" s="41">
        <v>2327</v>
      </c>
      <c r="F814" s="5">
        <f t="shared" si="52"/>
        <v>1.3589256962004193E-2</v>
      </c>
      <c r="G814" s="5">
        <f t="shared" si="53"/>
        <v>2.6989134244654656E-2</v>
      </c>
      <c r="H814" s="5">
        <f t="shared" si="54"/>
        <v>-1.0885966803190317E-2</v>
      </c>
      <c r="I814" s="5">
        <f t="shared" si="55"/>
        <v>2.1533161068045814E-3</v>
      </c>
    </row>
    <row r="815" spans="1:9" x14ac:dyDescent="0.2">
      <c r="A815" s="42">
        <v>44931</v>
      </c>
      <c r="B815" s="41">
        <v>1807.31</v>
      </c>
      <c r="C815" s="41">
        <v>28530</v>
      </c>
      <c r="D815" s="41">
        <v>9278</v>
      </c>
      <c r="E815" s="41">
        <v>2322</v>
      </c>
      <c r="F815" s="5">
        <f t="shared" si="52"/>
        <v>-4.6536987267039587E-3</v>
      </c>
      <c r="G815" s="5">
        <f t="shared" si="53"/>
        <v>-2.3279698733310483E-2</v>
      </c>
      <c r="H815" s="5">
        <f t="shared" si="54"/>
        <v>4.130190796857458E-2</v>
      </c>
      <c r="I815" s="5">
        <f t="shared" si="55"/>
        <v>1.3973799126637543E-2</v>
      </c>
    </row>
    <row r="816" spans="1:9" x14ac:dyDescent="0.2">
      <c r="A816" s="42">
        <v>44930</v>
      </c>
      <c r="B816" s="41">
        <v>1815.76</v>
      </c>
      <c r="C816" s="41">
        <v>29210</v>
      </c>
      <c r="D816" s="41">
        <v>8910</v>
      </c>
      <c r="E816" s="41">
        <v>2290</v>
      </c>
      <c r="F816" s="5">
        <f t="shared" si="52"/>
        <v>2.1137681919278783E-3</v>
      </c>
      <c r="G816" s="5">
        <f t="shared" si="53"/>
        <v>-8.4860828241684061E-3</v>
      </c>
      <c r="H816" s="5">
        <f t="shared" si="54"/>
        <v>-2.8459273797840967E-2</v>
      </c>
      <c r="I816" s="5">
        <f t="shared" si="55"/>
        <v>1.3117621337996876E-3</v>
      </c>
    </row>
    <row r="817" spans="1:9" x14ac:dyDescent="0.2">
      <c r="A817" s="42">
        <v>44929</v>
      </c>
      <c r="B817" s="41">
        <v>1811.93</v>
      </c>
      <c r="C817" s="41">
        <v>29460</v>
      </c>
      <c r="D817" s="41">
        <v>9171</v>
      </c>
      <c r="E817" s="41">
        <v>2287</v>
      </c>
      <c r="F817" s="5">
        <f t="shared" si="52"/>
        <v>2.6838878190229565E-3</v>
      </c>
      <c r="G817" s="5">
        <f t="shared" si="53"/>
        <v>2.3627519110493322E-2</v>
      </c>
      <c r="H817" s="5">
        <f t="shared" si="54"/>
        <v>-1.3234344738541015E-2</v>
      </c>
      <c r="I817" s="5">
        <f t="shared" si="55"/>
        <v>4.833040421792667E-3</v>
      </c>
    </row>
    <row r="818" spans="1:9" x14ac:dyDescent="0.2">
      <c r="A818" s="42">
        <v>44928</v>
      </c>
      <c r="B818" s="41">
        <v>1807.08</v>
      </c>
      <c r="C818" s="41">
        <v>28780</v>
      </c>
      <c r="D818" s="41">
        <v>9294</v>
      </c>
      <c r="E818" s="41">
        <v>2276</v>
      </c>
      <c r="F818" s="5">
        <f t="shared" si="52"/>
        <v>3.3647599693507058E-3</v>
      </c>
      <c r="G818" s="5">
        <f t="shared" si="53"/>
        <v>3.475842891902392E-4</v>
      </c>
      <c r="H818" s="5">
        <f t="shared" si="54"/>
        <v>-4.3920728441350088E-3</v>
      </c>
      <c r="I818" s="5">
        <f t="shared" si="55"/>
        <v>0</v>
      </c>
    </row>
    <row r="819" spans="1:9" x14ac:dyDescent="0.2">
      <c r="A819" s="42">
        <v>44927</v>
      </c>
      <c r="B819" s="41">
        <v>1801.02</v>
      </c>
      <c r="C819" s="41">
        <v>28770</v>
      </c>
      <c r="D819" s="41">
        <v>9335</v>
      </c>
      <c r="E819" s="41">
        <v>2276</v>
      </c>
      <c r="F819" s="5">
        <f t="shared" si="52"/>
        <v>-6.7995698568946716E-3</v>
      </c>
      <c r="G819" s="5">
        <f t="shared" si="53"/>
        <v>-3.0986864264061942E-2</v>
      </c>
      <c r="H819" s="5">
        <f t="shared" si="54"/>
        <v>1.1814437459354066E-2</v>
      </c>
      <c r="I819" s="5">
        <f t="shared" si="55"/>
        <v>2.2016732716865217E-3</v>
      </c>
    </row>
    <row r="820" spans="1:9" x14ac:dyDescent="0.2">
      <c r="A820" s="42">
        <v>44924</v>
      </c>
      <c r="B820" s="41">
        <v>1813.35</v>
      </c>
      <c r="C820" s="41">
        <v>29690</v>
      </c>
      <c r="D820" s="41">
        <v>9226</v>
      </c>
      <c r="E820" s="41">
        <v>2271</v>
      </c>
      <c r="F820" s="5">
        <f t="shared" si="52"/>
        <v>5.6567673238498983E-3</v>
      </c>
      <c r="G820" s="5">
        <f t="shared" si="53"/>
        <v>0</v>
      </c>
      <c r="H820" s="5">
        <f t="shared" si="54"/>
        <v>-1.0837758751491844E-4</v>
      </c>
      <c r="I820" s="5">
        <f t="shared" si="55"/>
        <v>-3.0315969257045272E-2</v>
      </c>
    </row>
    <row r="821" spans="1:9" x14ac:dyDescent="0.2">
      <c r="A821" s="42">
        <v>44923</v>
      </c>
      <c r="B821" s="41">
        <v>1803.15</v>
      </c>
      <c r="C821" s="41">
        <v>29690</v>
      </c>
      <c r="D821" s="41">
        <v>9227</v>
      </c>
      <c r="E821" s="41">
        <v>2342</v>
      </c>
      <c r="F821" s="5">
        <f t="shared" si="52"/>
        <v>1.88915127100997E-3</v>
      </c>
      <c r="G821" s="5">
        <f t="shared" si="53"/>
        <v>-6.7317401548294686E-4</v>
      </c>
      <c r="H821" s="5">
        <f t="shared" si="54"/>
        <v>-3.2407907529437008E-3</v>
      </c>
      <c r="I821" s="5">
        <f t="shared" si="55"/>
        <v>-5.1821862348178094E-2</v>
      </c>
    </row>
    <row r="822" spans="1:9" x14ac:dyDescent="0.2">
      <c r="A822" s="42">
        <v>44922</v>
      </c>
      <c r="B822" s="41">
        <v>1799.75</v>
      </c>
      <c r="C822" s="41">
        <v>29710</v>
      </c>
      <c r="D822" s="41">
        <v>9257</v>
      </c>
      <c r="E822" s="41">
        <v>2470</v>
      </c>
      <c r="F822" s="5">
        <f t="shared" si="52"/>
        <v>8.3762886597937847E-3</v>
      </c>
      <c r="G822" s="5">
        <f t="shared" si="53"/>
        <v>-3.6952998379254476E-2</v>
      </c>
      <c r="H822" s="5">
        <f t="shared" si="54"/>
        <v>4.1219221173662834E-3</v>
      </c>
      <c r="I822" s="5">
        <f t="shared" si="55"/>
        <v>0</v>
      </c>
    </row>
    <row r="823" spans="1:9" x14ac:dyDescent="0.2">
      <c r="A823" s="42">
        <v>44921</v>
      </c>
      <c r="B823" s="41">
        <v>1784.8</v>
      </c>
      <c r="C823" s="41">
        <v>30850</v>
      </c>
      <c r="D823" s="41">
        <v>9219</v>
      </c>
      <c r="E823" s="41">
        <v>2470</v>
      </c>
      <c r="F823" s="5">
        <f t="shared" si="52"/>
        <v>8.7481213970064253E-4</v>
      </c>
      <c r="G823" s="5">
        <f t="shared" si="53"/>
        <v>6.5252854812398731E-3</v>
      </c>
      <c r="H823" s="5">
        <f t="shared" si="54"/>
        <v>7.6511094108646649E-3</v>
      </c>
      <c r="I823" s="5">
        <f t="shared" si="55"/>
        <v>0</v>
      </c>
    </row>
    <row r="824" spans="1:9" x14ac:dyDescent="0.2">
      <c r="A824" s="42">
        <v>44920</v>
      </c>
      <c r="B824" s="41">
        <v>1783.24</v>
      </c>
      <c r="C824" s="41">
        <v>30650</v>
      </c>
      <c r="D824" s="41">
        <v>9149</v>
      </c>
      <c r="E824" s="41">
        <v>2470</v>
      </c>
      <c r="F824" s="5">
        <f t="shared" si="52"/>
        <v>-1.5067494421492134E-2</v>
      </c>
      <c r="G824" s="5">
        <f t="shared" si="53"/>
        <v>-1.9827310521266406E-2</v>
      </c>
      <c r="H824" s="5">
        <f t="shared" si="54"/>
        <v>7.5991189427313532E-3</v>
      </c>
      <c r="I824" s="5">
        <f t="shared" si="55"/>
        <v>0</v>
      </c>
    </row>
    <row r="825" spans="1:9" x14ac:dyDescent="0.2">
      <c r="A825" s="42">
        <v>44917</v>
      </c>
      <c r="B825" s="41">
        <v>1810.52</v>
      </c>
      <c r="C825" s="41">
        <v>31270</v>
      </c>
      <c r="D825" s="41">
        <v>9080</v>
      </c>
      <c r="E825" s="41">
        <v>2470</v>
      </c>
      <c r="F825" s="5">
        <f t="shared" si="52"/>
        <v>-9.9198320081371749E-3</v>
      </c>
      <c r="G825" s="5">
        <f t="shared" si="53"/>
        <v>-2.1283255086071984E-2</v>
      </c>
      <c r="H825" s="5">
        <f t="shared" si="54"/>
        <v>1.9766397124887591E-2</v>
      </c>
      <c r="I825" s="5">
        <f t="shared" si="55"/>
        <v>5.2910052910053462E-3</v>
      </c>
    </row>
    <row r="826" spans="1:9" x14ac:dyDescent="0.2">
      <c r="A826" s="42">
        <v>44916</v>
      </c>
      <c r="B826" s="41">
        <v>1828.66</v>
      </c>
      <c r="C826" s="41">
        <v>31950</v>
      </c>
      <c r="D826" s="41">
        <v>8904</v>
      </c>
      <c r="E826" s="41">
        <v>2457</v>
      </c>
      <c r="F826" s="5">
        <f t="shared" si="52"/>
        <v>8.3873280211750334E-3</v>
      </c>
      <c r="G826" s="5">
        <f t="shared" si="53"/>
        <v>2.1419437340153502E-2</v>
      </c>
      <c r="H826" s="5">
        <f t="shared" si="54"/>
        <v>6.4428619871141901E-3</v>
      </c>
      <c r="I826" s="5">
        <f t="shared" si="55"/>
        <v>2.0391517128874881E-3</v>
      </c>
    </row>
    <row r="827" spans="1:9" x14ac:dyDescent="0.2">
      <c r="A827" s="42">
        <v>44915</v>
      </c>
      <c r="B827" s="41">
        <v>1813.45</v>
      </c>
      <c r="C827" s="41">
        <v>31280</v>
      </c>
      <c r="D827" s="41">
        <v>8847</v>
      </c>
      <c r="E827" s="41">
        <v>2452</v>
      </c>
      <c r="F827" s="5">
        <f t="shared" si="52"/>
        <v>-6.9218932254160315E-3</v>
      </c>
      <c r="G827" s="5">
        <f t="shared" si="53"/>
        <v>-2.6757934038581177E-2</v>
      </c>
      <c r="H827" s="5">
        <f t="shared" si="54"/>
        <v>1.6983695652172948E-3</v>
      </c>
      <c r="I827" s="5">
        <f t="shared" si="55"/>
        <v>-1.3676588897827857E-2</v>
      </c>
    </row>
    <row r="828" spans="1:9" x14ac:dyDescent="0.2">
      <c r="A828" s="42">
        <v>44914</v>
      </c>
      <c r="B828" s="41">
        <v>1826.09</v>
      </c>
      <c r="C828" s="41">
        <v>32140</v>
      </c>
      <c r="D828" s="41">
        <v>8832</v>
      </c>
      <c r="E828" s="41">
        <v>2486</v>
      </c>
      <c r="F828" s="5">
        <f t="shared" si="52"/>
        <v>2.3218029925460293E-3</v>
      </c>
      <c r="G828" s="5">
        <f t="shared" si="53"/>
        <v>-2.6060606060606006E-2</v>
      </c>
      <c r="H828" s="5">
        <f t="shared" si="54"/>
        <v>1.0873297470527676E-2</v>
      </c>
      <c r="I828" s="5">
        <f t="shared" si="55"/>
        <v>0</v>
      </c>
    </row>
    <row r="829" spans="1:9" x14ac:dyDescent="0.2">
      <c r="A829" s="42">
        <v>44913</v>
      </c>
      <c r="B829" s="41">
        <v>1821.86</v>
      </c>
      <c r="C829" s="41">
        <v>33000</v>
      </c>
      <c r="D829" s="41">
        <v>8737</v>
      </c>
      <c r="E829" s="41">
        <v>2486</v>
      </c>
      <c r="F829" s="5">
        <f t="shared" si="52"/>
        <v>-1.0761913035923776E-2</v>
      </c>
      <c r="G829" s="5">
        <f t="shared" si="53"/>
        <v>-3.790087463556846E-2</v>
      </c>
      <c r="H829" s="5">
        <f t="shared" si="54"/>
        <v>-7.6101771921853745E-3</v>
      </c>
      <c r="I829" s="5">
        <f t="shared" si="55"/>
        <v>0</v>
      </c>
    </row>
    <row r="830" spans="1:9" x14ac:dyDescent="0.2">
      <c r="A830" s="42">
        <v>44910</v>
      </c>
      <c r="B830" s="41">
        <v>1841.68</v>
      </c>
      <c r="C830" s="41">
        <v>34300</v>
      </c>
      <c r="D830" s="41">
        <v>8804</v>
      </c>
      <c r="E830" s="41">
        <v>2486</v>
      </c>
      <c r="F830" s="5">
        <f t="shared" si="52"/>
        <v>-8.3513264663281905E-3</v>
      </c>
      <c r="G830" s="5">
        <f t="shared" si="53"/>
        <v>1.8711018711018657E-2</v>
      </c>
      <c r="H830" s="5">
        <f t="shared" si="54"/>
        <v>-9.5623804702441584E-3</v>
      </c>
      <c r="I830" s="5">
        <f t="shared" si="55"/>
        <v>0</v>
      </c>
    </row>
    <row r="831" spans="1:9" x14ac:dyDescent="0.2">
      <c r="A831" s="42">
        <v>44909</v>
      </c>
      <c r="B831" s="41">
        <v>1857.19</v>
      </c>
      <c r="C831" s="41">
        <v>33670</v>
      </c>
      <c r="D831" s="41">
        <v>8889</v>
      </c>
      <c r="E831" s="41">
        <v>2486</v>
      </c>
      <c r="F831" s="5">
        <f t="shared" si="52"/>
        <v>-7.9060251390231651E-3</v>
      </c>
      <c r="G831" s="5">
        <f t="shared" si="53"/>
        <v>7.7821011673151474E-3</v>
      </c>
      <c r="H831" s="5">
        <f t="shared" si="54"/>
        <v>8.394781622234726E-3</v>
      </c>
      <c r="I831" s="5">
        <f t="shared" si="55"/>
        <v>6.8853786958282814E-3</v>
      </c>
    </row>
    <row r="832" spans="1:9" x14ac:dyDescent="0.2">
      <c r="A832" s="42">
        <v>44908</v>
      </c>
      <c r="B832" s="41">
        <v>1871.99</v>
      </c>
      <c r="C832" s="41">
        <v>33410</v>
      </c>
      <c r="D832" s="41">
        <v>8815</v>
      </c>
      <c r="E832" s="41">
        <v>2469</v>
      </c>
      <c r="F832" s="5">
        <f t="shared" si="52"/>
        <v>1.2127208633404774E-2</v>
      </c>
      <c r="G832" s="5">
        <f t="shared" si="53"/>
        <v>5.6944005061689396E-2</v>
      </c>
      <c r="H832" s="5">
        <f t="shared" si="54"/>
        <v>-2.0120053357047585E-2</v>
      </c>
      <c r="I832" s="5">
        <f t="shared" si="55"/>
        <v>2.789342214820989E-2</v>
      </c>
    </row>
    <row r="833" spans="1:9" x14ac:dyDescent="0.2">
      <c r="A833" s="42">
        <v>44907</v>
      </c>
      <c r="B833" s="41">
        <v>1849.56</v>
      </c>
      <c r="C833" s="41">
        <v>31610</v>
      </c>
      <c r="D833" s="41">
        <v>8996</v>
      </c>
      <c r="E833" s="41">
        <v>2402</v>
      </c>
      <c r="F833" s="5">
        <f t="shared" si="52"/>
        <v>-3.8240711815842321E-3</v>
      </c>
      <c r="G833" s="5">
        <f t="shared" si="53"/>
        <v>2.0006453694740189E-2</v>
      </c>
      <c r="H833" s="5">
        <f t="shared" si="54"/>
        <v>-1.2188426485121306E-2</v>
      </c>
      <c r="I833" s="5">
        <f t="shared" si="55"/>
        <v>-4.758128469468681E-2</v>
      </c>
    </row>
    <row r="834" spans="1:9" x14ac:dyDescent="0.2">
      <c r="A834" s="42">
        <v>44906</v>
      </c>
      <c r="B834" s="41">
        <v>1856.66</v>
      </c>
      <c r="C834" s="41">
        <v>30990</v>
      </c>
      <c r="D834" s="41">
        <v>9107</v>
      </c>
      <c r="E834" s="41">
        <v>2522</v>
      </c>
      <c r="F834" s="5">
        <f t="shared" si="52"/>
        <v>-4.6372988940175386E-3</v>
      </c>
      <c r="G834" s="5">
        <f t="shared" si="53"/>
        <v>-2.8831087433406455E-2</v>
      </c>
      <c r="H834" s="5">
        <f t="shared" si="54"/>
        <v>0</v>
      </c>
      <c r="I834" s="5">
        <f t="shared" si="55"/>
        <v>0</v>
      </c>
    </row>
    <row r="835" spans="1:9" x14ac:dyDescent="0.2">
      <c r="A835" s="42">
        <v>44903</v>
      </c>
      <c r="B835" s="41">
        <v>1865.31</v>
      </c>
      <c r="C835" s="41">
        <v>31910</v>
      </c>
      <c r="D835" s="41">
        <v>9107</v>
      </c>
      <c r="E835" s="41">
        <v>2522</v>
      </c>
      <c r="F835" s="5">
        <f t="shared" si="52"/>
        <v>7.1813867095749107E-3</v>
      </c>
      <c r="G835" s="5">
        <f t="shared" si="53"/>
        <v>-1.845585973546604E-2</v>
      </c>
      <c r="H835" s="5">
        <f t="shared" si="54"/>
        <v>-1.0108695652173871E-2</v>
      </c>
      <c r="I835" s="5">
        <f t="shared" si="55"/>
        <v>5.9832469086558149E-3</v>
      </c>
    </row>
    <row r="836" spans="1:9" x14ac:dyDescent="0.2">
      <c r="A836" s="42">
        <v>44902</v>
      </c>
      <c r="B836" s="41">
        <v>1852.01</v>
      </c>
      <c r="C836" s="41">
        <v>32510</v>
      </c>
      <c r="D836" s="41">
        <v>9200</v>
      </c>
      <c r="E836" s="41">
        <v>2507</v>
      </c>
      <c r="F836" s="5">
        <f t="shared" si="52"/>
        <v>-1.5605649074876271E-2</v>
      </c>
      <c r="G836" s="5">
        <f t="shared" si="53"/>
        <v>-3.674074074074074E-2</v>
      </c>
      <c r="H836" s="5">
        <f t="shared" si="54"/>
        <v>-2.1068312406895107E-2</v>
      </c>
      <c r="I836" s="5">
        <f t="shared" si="55"/>
        <v>-1.6091051805337542E-2</v>
      </c>
    </row>
    <row r="837" spans="1:9" x14ac:dyDescent="0.2">
      <c r="A837" s="42">
        <v>44901</v>
      </c>
      <c r="B837" s="41">
        <v>1881.37</v>
      </c>
      <c r="C837" s="41">
        <v>33750</v>
      </c>
      <c r="D837" s="41">
        <v>9398</v>
      </c>
      <c r="E837" s="41">
        <v>2548</v>
      </c>
      <c r="F837" s="5">
        <f t="shared" si="52"/>
        <v>-1.142340694967714E-2</v>
      </c>
      <c r="G837" s="5">
        <f t="shared" si="53"/>
        <v>-3.0172413793103425E-2</v>
      </c>
      <c r="H837" s="5">
        <f t="shared" si="54"/>
        <v>2.2855898998694002E-2</v>
      </c>
      <c r="I837" s="5">
        <f t="shared" si="55"/>
        <v>-2.0376778162245257E-2</v>
      </c>
    </row>
    <row r="838" spans="1:9" x14ac:dyDescent="0.2">
      <c r="A838" s="42">
        <v>44900</v>
      </c>
      <c r="B838" s="41">
        <v>1903.11</v>
      </c>
      <c r="C838" s="41">
        <v>34800</v>
      </c>
      <c r="D838" s="41">
        <v>9188</v>
      </c>
      <c r="E838" s="41">
        <v>2601</v>
      </c>
      <c r="F838" s="5">
        <f t="shared" si="52"/>
        <v>-2.4687863634934581E-3</v>
      </c>
      <c r="G838" s="5">
        <f t="shared" si="53"/>
        <v>1.7271157167531026E-3</v>
      </c>
      <c r="H838" s="5">
        <f t="shared" si="54"/>
        <v>-4.3516100957352588E-4</v>
      </c>
      <c r="I838" s="5">
        <f t="shared" si="55"/>
        <v>-1.1520737327188613E-3</v>
      </c>
    </row>
    <row r="839" spans="1:9" x14ac:dyDescent="0.2">
      <c r="A839" s="42">
        <v>44899</v>
      </c>
      <c r="B839" s="41">
        <v>1907.82</v>
      </c>
      <c r="C839" s="41">
        <v>34740</v>
      </c>
      <c r="D839" s="41">
        <v>9192</v>
      </c>
      <c r="E839" s="41">
        <v>2604</v>
      </c>
      <c r="F839" s="5">
        <f t="shared" si="52"/>
        <v>-2.1861924686192857E-3</v>
      </c>
      <c r="G839" s="5">
        <f t="shared" si="53"/>
        <v>-1.7241379310344307E-3</v>
      </c>
      <c r="H839" s="5">
        <f t="shared" si="54"/>
        <v>7.6211213935772903E-4</v>
      </c>
      <c r="I839" s="5">
        <f t="shared" si="55"/>
        <v>-2.3622047244094446E-2</v>
      </c>
    </row>
    <row r="840" spans="1:9" x14ac:dyDescent="0.2">
      <c r="A840" s="42">
        <v>44896</v>
      </c>
      <c r="B840" s="41">
        <v>1912</v>
      </c>
      <c r="C840" s="41">
        <v>34800</v>
      </c>
      <c r="D840" s="41">
        <v>9185</v>
      </c>
      <c r="E840" s="41">
        <v>2667</v>
      </c>
      <c r="F840" s="5">
        <f t="shared" si="52"/>
        <v>1.485660904135333E-2</v>
      </c>
      <c r="G840" s="5">
        <f t="shared" si="53"/>
        <v>5.7803468208093012E-3</v>
      </c>
      <c r="H840" s="5">
        <f t="shared" si="54"/>
        <v>6.5753424657535309E-3</v>
      </c>
      <c r="I840" s="5">
        <f t="shared" si="55"/>
        <v>0</v>
      </c>
    </row>
    <row r="841" spans="1:9" x14ac:dyDescent="0.2">
      <c r="A841" s="42">
        <v>44895</v>
      </c>
      <c r="B841" s="41">
        <v>1884.01</v>
      </c>
      <c r="C841" s="41">
        <v>34600</v>
      </c>
      <c r="D841" s="41">
        <v>9125</v>
      </c>
      <c r="E841" s="41">
        <v>2667</v>
      </c>
      <c r="F841" s="5">
        <f t="shared" si="52"/>
        <v>-5.9935527100248853E-3</v>
      </c>
      <c r="G841" s="5">
        <f t="shared" si="53"/>
        <v>9.9241097489783936E-3</v>
      </c>
      <c r="H841" s="5">
        <f t="shared" si="54"/>
        <v>0</v>
      </c>
      <c r="I841" s="5">
        <f t="shared" si="55"/>
        <v>-1.4776505356483227E-2</v>
      </c>
    </row>
    <row r="842" spans="1:9" x14ac:dyDescent="0.2">
      <c r="A842" s="42">
        <v>44894</v>
      </c>
      <c r="B842" s="41">
        <v>1895.37</v>
      </c>
      <c r="C842" s="41">
        <v>34260</v>
      </c>
      <c r="D842" s="41">
        <v>9125</v>
      </c>
      <c r="E842" s="41">
        <v>2707</v>
      </c>
      <c r="F842" s="5">
        <f t="shared" si="52"/>
        <v>1.457599537507881E-2</v>
      </c>
      <c r="G842" s="5">
        <f t="shared" si="53"/>
        <v>2.2991937891908121E-2</v>
      </c>
      <c r="H842" s="5">
        <f t="shared" si="54"/>
        <v>-2.5835379523860391E-2</v>
      </c>
      <c r="I842" s="5">
        <f t="shared" si="55"/>
        <v>0</v>
      </c>
    </row>
    <row r="843" spans="1:9" x14ac:dyDescent="0.2">
      <c r="A843" s="42">
        <v>44893</v>
      </c>
      <c r="B843" s="41">
        <v>1868.14</v>
      </c>
      <c r="C843" s="41">
        <v>33490</v>
      </c>
      <c r="D843" s="41">
        <v>9367</v>
      </c>
      <c r="E843" s="41">
        <v>2707</v>
      </c>
      <c r="F843" s="5">
        <f t="shared" si="52"/>
        <v>-1.047189749511368E-2</v>
      </c>
      <c r="G843" s="5">
        <f t="shared" si="53"/>
        <v>-3.0680173661360333E-2</v>
      </c>
      <c r="H843" s="5">
        <f t="shared" si="54"/>
        <v>-1.0674637062335623E-4</v>
      </c>
      <c r="I843" s="5">
        <f t="shared" si="55"/>
        <v>0</v>
      </c>
    </row>
    <row r="844" spans="1:9" x14ac:dyDescent="0.2">
      <c r="A844" s="42">
        <v>44892</v>
      </c>
      <c r="B844" s="41">
        <v>1887.91</v>
      </c>
      <c r="C844" s="41">
        <v>34550</v>
      </c>
      <c r="D844" s="41">
        <v>9368</v>
      </c>
      <c r="E844" s="41">
        <v>2707</v>
      </c>
      <c r="F844" s="5">
        <f t="shared" si="52"/>
        <v>-8.4193829637488893E-3</v>
      </c>
      <c r="G844" s="5">
        <f t="shared" si="53"/>
        <v>-4.0011114198388431E-2</v>
      </c>
      <c r="H844" s="5">
        <f t="shared" si="54"/>
        <v>-2.134471718249209E-4</v>
      </c>
      <c r="I844" s="5">
        <f t="shared" si="55"/>
        <v>0</v>
      </c>
    </row>
    <row r="845" spans="1:9" x14ac:dyDescent="0.2">
      <c r="A845" s="42">
        <v>44889</v>
      </c>
      <c r="B845" s="41">
        <v>1903.94</v>
      </c>
      <c r="C845" s="41">
        <v>35990</v>
      </c>
      <c r="D845" s="41">
        <v>9370</v>
      </c>
      <c r="E845" s="41">
        <v>2707</v>
      </c>
      <c r="F845" s="5">
        <f t="shared" si="52"/>
        <v>2.3849511163993586E-3</v>
      </c>
      <c r="G845" s="5">
        <f t="shared" si="53"/>
        <v>-2.1479064709081008E-2</v>
      </c>
      <c r="H845" s="5">
        <f t="shared" si="54"/>
        <v>-2.5548222269533571E-3</v>
      </c>
      <c r="I845" s="5">
        <f t="shared" si="55"/>
        <v>0</v>
      </c>
    </row>
    <row r="846" spans="1:9" x14ac:dyDescent="0.2">
      <c r="A846" s="42">
        <v>44888</v>
      </c>
      <c r="B846" s="41">
        <v>1899.41</v>
      </c>
      <c r="C846" s="41">
        <v>36780</v>
      </c>
      <c r="D846" s="41">
        <v>9394</v>
      </c>
      <c r="E846" s="41">
        <v>2707</v>
      </c>
      <c r="F846" s="5">
        <f t="shared" ref="F846:F893" si="56">B846/B847-1</f>
        <v>-7.0625013069025577E-3</v>
      </c>
      <c r="G846" s="5">
        <f t="shared" ref="G846:G893" si="57">C846/C847-1</f>
        <v>2.1666666666666723E-2</v>
      </c>
      <c r="H846" s="5">
        <f t="shared" ref="H846:H893" si="58">D846/D847-1</f>
        <v>1.0646225912913643E-4</v>
      </c>
      <c r="I846" s="5">
        <f t="shared" ref="I846:I893" si="59">E846/E847-1</f>
        <v>0</v>
      </c>
    </row>
    <row r="847" spans="1:9" x14ac:dyDescent="0.2">
      <c r="A847" s="42">
        <v>44887</v>
      </c>
      <c r="B847" s="41">
        <v>1912.92</v>
      </c>
      <c r="C847" s="41">
        <v>36000</v>
      </c>
      <c r="D847" s="41">
        <v>9393</v>
      </c>
      <c r="E847" s="41">
        <v>2707</v>
      </c>
      <c r="F847" s="5">
        <f t="shared" si="56"/>
        <v>3.4147953483247839E-3</v>
      </c>
      <c r="G847" s="5">
        <f t="shared" si="57"/>
        <v>-2.2004889975550168E-2</v>
      </c>
      <c r="H847" s="5">
        <f t="shared" si="58"/>
        <v>5.566855797023873E-3</v>
      </c>
      <c r="I847" s="5">
        <f t="shared" si="59"/>
        <v>0</v>
      </c>
    </row>
    <row r="848" spans="1:9" x14ac:dyDescent="0.2">
      <c r="A848" s="42">
        <v>44886</v>
      </c>
      <c r="B848" s="41">
        <v>1906.41</v>
      </c>
      <c r="C848" s="41">
        <v>36810</v>
      </c>
      <c r="D848" s="41">
        <v>9341</v>
      </c>
      <c r="E848" s="41">
        <v>2707</v>
      </c>
      <c r="F848" s="5">
        <f t="shared" si="56"/>
        <v>-1.5472249621714784E-2</v>
      </c>
      <c r="G848" s="5">
        <f t="shared" si="57"/>
        <v>-3.4111781684597164E-2</v>
      </c>
      <c r="H848" s="5">
        <f t="shared" si="58"/>
        <v>-1.3897797733589679E-3</v>
      </c>
      <c r="I848" s="5">
        <f t="shared" si="59"/>
        <v>-2.5792188651436732E-3</v>
      </c>
    </row>
    <row r="849" spans="1:9" x14ac:dyDescent="0.2">
      <c r="A849" s="42">
        <v>44885</v>
      </c>
      <c r="B849" s="41">
        <v>1936.37</v>
      </c>
      <c r="C849" s="41">
        <v>38110</v>
      </c>
      <c r="D849" s="41">
        <v>9354</v>
      </c>
      <c r="E849" s="41">
        <v>2714</v>
      </c>
      <c r="F849" s="5">
        <f t="shared" si="56"/>
        <v>1.1396934005379888E-2</v>
      </c>
      <c r="G849" s="5">
        <f t="shared" si="57"/>
        <v>9.2690677966100754E-3</v>
      </c>
      <c r="H849" s="5">
        <f t="shared" si="58"/>
        <v>1.1461937716263026E-2</v>
      </c>
      <c r="I849" s="5">
        <f t="shared" si="59"/>
        <v>-1.4166363966581885E-2</v>
      </c>
    </row>
    <row r="850" spans="1:9" x14ac:dyDescent="0.2">
      <c r="A850" s="42">
        <v>44882</v>
      </c>
      <c r="B850" s="41">
        <v>1914.55</v>
      </c>
      <c r="C850" s="41">
        <v>37760</v>
      </c>
      <c r="D850" s="41">
        <v>9248</v>
      </c>
      <c r="E850" s="41">
        <v>2753</v>
      </c>
      <c r="F850" s="5">
        <f t="shared" si="56"/>
        <v>-1.958223874558962E-2</v>
      </c>
      <c r="G850" s="5">
        <f t="shared" si="57"/>
        <v>-8.9238845144357093E-3</v>
      </c>
      <c r="H850" s="5">
        <f t="shared" si="58"/>
        <v>1.5705656232839038E-2</v>
      </c>
      <c r="I850" s="5">
        <f t="shared" si="59"/>
        <v>0</v>
      </c>
    </row>
    <row r="851" spans="1:9" x14ac:dyDescent="0.2">
      <c r="A851" s="42">
        <v>44881</v>
      </c>
      <c r="B851" s="41">
        <v>1952.79</v>
      </c>
      <c r="C851" s="41">
        <v>38100</v>
      </c>
      <c r="D851" s="41">
        <v>9105</v>
      </c>
      <c r="E851" s="41">
        <v>2753</v>
      </c>
      <c r="F851" s="5">
        <f t="shared" si="56"/>
        <v>-1.4195496009409836E-2</v>
      </c>
      <c r="G851" s="5">
        <f t="shared" si="57"/>
        <v>7.9365079365079083E-3</v>
      </c>
      <c r="H851" s="5">
        <f t="shared" si="58"/>
        <v>-3.0661130629191957E-2</v>
      </c>
      <c r="I851" s="5">
        <f t="shared" si="59"/>
        <v>-1.4508523757708058E-3</v>
      </c>
    </row>
    <row r="852" spans="1:9" x14ac:dyDescent="0.2">
      <c r="A852" s="42">
        <v>44880</v>
      </c>
      <c r="B852" s="41">
        <v>1980.91</v>
      </c>
      <c r="C852" s="41">
        <v>37800</v>
      </c>
      <c r="D852" s="41">
        <v>9393</v>
      </c>
      <c r="E852" s="41">
        <v>2757</v>
      </c>
      <c r="F852" s="5">
        <f t="shared" si="56"/>
        <v>7.3840896261676559E-3</v>
      </c>
      <c r="G852" s="5">
        <f t="shared" si="57"/>
        <v>1.0695187165775444E-2</v>
      </c>
      <c r="H852" s="5">
        <f t="shared" si="58"/>
        <v>-2.0031298904538364E-2</v>
      </c>
      <c r="I852" s="5">
        <f t="shared" si="59"/>
        <v>-1.9907571987202277E-2</v>
      </c>
    </row>
    <row r="853" spans="1:9" x14ac:dyDescent="0.2">
      <c r="A853" s="42">
        <v>44879</v>
      </c>
      <c r="B853" s="41">
        <v>1966.39</v>
      </c>
      <c r="C853" s="41">
        <v>37400</v>
      </c>
      <c r="D853" s="41">
        <v>9585</v>
      </c>
      <c r="E853" s="41">
        <v>2813</v>
      </c>
      <c r="F853" s="5">
        <f t="shared" si="56"/>
        <v>-1.0078483293982643E-2</v>
      </c>
      <c r="G853" s="5">
        <f t="shared" si="57"/>
        <v>2.6809651474530849E-3</v>
      </c>
      <c r="H853" s="5">
        <f t="shared" si="58"/>
        <v>-1.6664930736381978E-3</v>
      </c>
      <c r="I853" s="5">
        <f t="shared" si="59"/>
        <v>3.5561877667134034E-4</v>
      </c>
    </row>
    <row r="854" spans="1:9" x14ac:dyDescent="0.2">
      <c r="A854" s="42">
        <v>44878</v>
      </c>
      <c r="B854" s="41">
        <v>1986.41</v>
      </c>
      <c r="C854" s="41">
        <v>37300</v>
      </c>
      <c r="D854" s="41">
        <v>9601</v>
      </c>
      <c r="E854" s="41">
        <v>2812</v>
      </c>
      <c r="F854" s="5">
        <f t="shared" si="56"/>
        <v>-2.2502498882409627E-3</v>
      </c>
      <c r="G854" s="5">
        <f t="shared" si="57"/>
        <v>3.2954860149543075E-2</v>
      </c>
      <c r="H854" s="5">
        <f t="shared" si="58"/>
        <v>5.0245996022191264E-3</v>
      </c>
      <c r="I854" s="5">
        <f t="shared" si="59"/>
        <v>0</v>
      </c>
    </row>
    <row r="855" spans="1:9" x14ac:dyDescent="0.2">
      <c r="A855" s="42">
        <v>44875</v>
      </c>
      <c r="B855" s="41">
        <v>1990.89</v>
      </c>
      <c r="C855" s="41">
        <v>36110</v>
      </c>
      <c r="D855" s="41">
        <v>9553</v>
      </c>
      <c r="E855" s="41">
        <v>2812</v>
      </c>
      <c r="F855" s="5">
        <f t="shared" si="56"/>
        <v>2.8352272727272698E-2</v>
      </c>
      <c r="G855" s="5">
        <f t="shared" si="57"/>
        <v>6.0187903699354006E-2</v>
      </c>
      <c r="H855" s="5">
        <f t="shared" si="58"/>
        <v>-2.0931449502881172E-4</v>
      </c>
      <c r="I855" s="5">
        <f t="shared" si="59"/>
        <v>0</v>
      </c>
    </row>
    <row r="856" spans="1:9" x14ac:dyDescent="0.2">
      <c r="A856" s="42">
        <v>44874</v>
      </c>
      <c r="B856" s="41">
        <v>1936</v>
      </c>
      <c r="C856" s="41">
        <v>34060</v>
      </c>
      <c r="D856" s="41">
        <v>9555</v>
      </c>
      <c r="E856" s="41">
        <v>2812</v>
      </c>
      <c r="F856" s="5">
        <f t="shared" si="56"/>
        <v>-3.0074568450541017E-3</v>
      </c>
      <c r="G856" s="5">
        <f t="shared" si="57"/>
        <v>-2.635431918008746E-3</v>
      </c>
      <c r="H856" s="5">
        <f t="shared" si="58"/>
        <v>8.3368509919796718E-3</v>
      </c>
      <c r="I856" s="5">
        <f t="shared" si="59"/>
        <v>0</v>
      </c>
    </row>
    <row r="857" spans="1:9" x14ac:dyDescent="0.2">
      <c r="A857" s="42">
        <v>44873</v>
      </c>
      <c r="B857" s="41">
        <v>1941.84</v>
      </c>
      <c r="C857" s="41">
        <v>34150</v>
      </c>
      <c r="D857" s="41">
        <v>9476</v>
      </c>
      <c r="E857" s="41">
        <v>2812</v>
      </c>
      <c r="F857" s="5">
        <f t="shared" si="56"/>
        <v>1.1195934053344736E-2</v>
      </c>
      <c r="G857" s="5">
        <f t="shared" si="57"/>
        <v>-3.5016049022468243E-3</v>
      </c>
      <c r="H857" s="5">
        <f t="shared" si="58"/>
        <v>-1.7907932160539097E-3</v>
      </c>
      <c r="I857" s="5">
        <f t="shared" si="59"/>
        <v>-1.065719360568429E-3</v>
      </c>
    </row>
    <row r="858" spans="1:9" x14ac:dyDescent="0.2">
      <c r="A858" s="42">
        <v>44872</v>
      </c>
      <c r="B858" s="41">
        <v>1920.34</v>
      </c>
      <c r="C858" s="41">
        <v>34270</v>
      </c>
      <c r="D858" s="41">
        <v>9493</v>
      </c>
      <c r="E858" s="41">
        <v>2815</v>
      </c>
      <c r="F858" s="5">
        <f t="shared" si="56"/>
        <v>-9.8533089277889063E-3</v>
      </c>
      <c r="G858" s="5">
        <f t="shared" si="57"/>
        <v>-2.2532800912721029E-2</v>
      </c>
      <c r="H858" s="5">
        <f t="shared" si="58"/>
        <v>-1.0532968190435366E-4</v>
      </c>
      <c r="I858" s="5">
        <f t="shared" si="59"/>
        <v>0</v>
      </c>
    </row>
    <row r="859" spans="1:9" x14ac:dyDescent="0.2">
      <c r="A859" s="42">
        <v>44871</v>
      </c>
      <c r="B859" s="41">
        <v>1939.45</v>
      </c>
      <c r="C859" s="41">
        <v>35060</v>
      </c>
      <c r="D859" s="41">
        <v>9494</v>
      </c>
      <c r="E859" s="41">
        <v>2815</v>
      </c>
      <c r="F859" s="5">
        <f t="shared" si="56"/>
        <v>8.1768656561245212E-3</v>
      </c>
      <c r="G859" s="5">
        <f t="shared" si="57"/>
        <v>3.9122703023118044E-2</v>
      </c>
      <c r="H859" s="5">
        <f t="shared" si="58"/>
        <v>-4.2114129290371505E-4</v>
      </c>
      <c r="I859" s="5">
        <f t="shared" si="59"/>
        <v>0</v>
      </c>
    </row>
    <row r="860" spans="1:9" x14ac:dyDescent="0.2">
      <c r="A860" s="42">
        <v>44868</v>
      </c>
      <c r="B860" s="41">
        <v>1923.72</v>
      </c>
      <c r="C860" s="41">
        <v>33740</v>
      </c>
      <c r="D860" s="41">
        <v>9498</v>
      </c>
      <c r="E860" s="41">
        <v>2815</v>
      </c>
      <c r="F860" s="5">
        <f t="shared" si="56"/>
        <v>-1.5602212658823778E-2</v>
      </c>
      <c r="G860" s="5">
        <f t="shared" si="57"/>
        <v>-9.1042584434655183E-3</v>
      </c>
      <c r="H860" s="5">
        <f t="shared" si="58"/>
        <v>0</v>
      </c>
      <c r="I860" s="5">
        <f t="shared" si="59"/>
        <v>7.1098471382868844E-4</v>
      </c>
    </row>
    <row r="861" spans="1:9" x14ac:dyDescent="0.2">
      <c r="A861" s="42">
        <v>44867</v>
      </c>
      <c r="B861" s="41">
        <v>1954.21</v>
      </c>
      <c r="C861" s="41">
        <v>34050</v>
      </c>
      <c r="D861" s="41">
        <v>9498</v>
      </c>
      <c r="E861" s="41">
        <v>2813</v>
      </c>
      <c r="F861" s="5">
        <f t="shared" si="56"/>
        <v>-2.2821492025241197E-3</v>
      </c>
      <c r="G861" s="5">
        <f t="shared" si="57"/>
        <v>-5.2851182197496516E-2</v>
      </c>
      <c r="H861" s="5">
        <f t="shared" si="58"/>
        <v>0</v>
      </c>
      <c r="I861" s="5">
        <f t="shared" si="59"/>
        <v>1.2963629816348687E-2</v>
      </c>
    </row>
    <row r="862" spans="1:9" x14ac:dyDescent="0.2">
      <c r="A862" s="42">
        <v>44865</v>
      </c>
      <c r="B862" s="41">
        <v>1958.68</v>
      </c>
      <c r="C862" s="41">
        <v>35950</v>
      </c>
      <c r="D862" s="41">
        <v>9498</v>
      </c>
      <c r="E862" s="41">
        <v>2777</v>
      </c>
      <c r="F862" s="5">
        <f t="shared" si="56"/>
        <v>-7.288171672427568E-3</v>
      </c>
      <c r="G862" s="5">
        <f t="shared" si="57"/>
        <v>-1.8831877729257651E-2</v>
      </c>
      <c r="H862" s="5">
        <f t="shared" si="58"/>
        <v>0</v>
      </c>
      <c r="I862" s="5">
        <f t="shared" si="59"/>
        <v>0</v>
      </c>
    </row>
    <row r="863" spans="1:9" x14ac:dyDescent="0.2">
      <c r="A863" s="42">
        <v>44864</v>
      </c>
      <c r="B863" s="41">
        <v>1973.06</v>
      </c>
      <c r="C863" s="41">
        <v>36640</v>
      </c>
      <c r="D863" s="41">
        <v>9498</v>
      </c>
      <c r="E863" s="41">
        <v>2777</v>
      </c>
      <c r="F863" s="5">
        <f t="shared" si="56"/>
        <v>8.2888738987347832E-3</v>
      </c>
      <c r="G863" s="5">
        <f t="shared" si="57"/>
        <v>4.9856733524355379E-2</v>
      </c>
      <c r="H863" s="5">
        <f t="shared" si="58"/>
        <v>1.2650221378873727E-3</v>
      </c>
      <c r="I863" s="5">
        <f t="shared" si="59"/>
        <v>-4.340337581811915E-2</v>
      </c>
    </row>
    <row r="864" spans="1:9" x14ac:dyDescent="0.2">
      <c r="A864" s="42">
        <v>44861</v>
      </c>
      <c r="B864" s="41">
        <v>1956.84</v>
      </c>
      <c r="C864" s="41">
        <v>34900</v>
      </c>
      <c r="D864" s="41">
        <v>9486</v>
      </c>
      <c r="E864" s="41">
        <v>2903</v>
      </c>
      <c r="F864" s="5">
        <f t="shared" si="56"/>
        <v>-8.1697677743519659E-4</v>
      </c>
      <c r="G864" s="5">
        <f t="shared" si="57"/>
        <v>4.4910179640718528E-2</v>
      </c>
      <c r="H864" s="5">
        <f t="shared" si="58"/>
        <v>-1.7889087656529634E-3</v>
      </c>
      <c r="I864" s="5">
        <f t="shared" si="59"/>
        <v>0</v>
      </c>
    </row>
    <row r="865" spans="1:9" x14ac:dyDescent="0.2">
      <c r="A865" s="42">
        <v>44860</v>
      </c>
      <c r="B865" s="41">
        <v>1958.44</v>
      </c>
      <c r="C865" s="41">
        <v>33400</v>
      </c>
      <c r="D865" s="41">
        <v>9503</v>
      </c>
      <c r="E865" s="41">
        <v>2903</v>
      </c>
      <c r="F865" s="5">
        <f t="shared" si="56"/>
        <v>8.1747796721851618E-3</v>
      </c>
      <c r="G865" s="5">
        <f t="shared" si="57"/>
        <v>-4.4709388971684305E-3</v>
      </c>
      <c r="H865" s="5">
        <f t="shared" si="58"/>
        <v>4.3139407244785932E-2</v>
      </c>
      <c r="I865" s="5">
        <f t="shared" si="59"/>
        <v>0</v>
      </c>
    </row>
    <row r="866" spans="1:9" x14ac:dyDescent="0.2">
      <c r="A866" s="42">
        <v>44859</v>
      </c>
      <c r="B866" s="41">
        <v>1942.56</v>
      </c>
      <c r="C866" s="41">
        <v>33550</v>
      </c>
      <c r="D866" s="41">
        <v>9110</v>
      </c>
      <c r="E866" s="41">
        <v>2903</v>
      </c>
      <c r="F866" s="5">
        <f t="shared" si="56"/>
        <v>9.6360744690804356E-3</v>
      </c>
      <c r="G866" s="5">
        <f t="shared" si="57"/>
        <v>1.6358679188124725E-2</v>
      </c>
      <c r="H866" s="5">
        <f t="shared" si="58"/>
        <v>2.130044843049328E-2</v>
      </c>
      <c r="I866" s="5">
        <f t="shared" si="59"/>
        <v>0</v>
      </c>
    </row>
    <row r="867" spans="1:9" x14ac:dyDescent="0.2">
      <c r="A867" s="42">
        <v>44858</v>
      </c>
      <c r="B867" s="41">
        <v>1924.02</v>
      </c>
      <c r="C867" s="41">
        <v>33010</v>
      </c>
      <c r="D867" s="41">
        <v>8920</v>
      </c>
      <c r="E867" s="41">
        <v>2903</v>
      </c>
      <c r="F867" s="5">
        <f t="shared" si="56"/>
        <v>-3.1965765028313387E-3</v>
      </c>
      <c r="G867" s="5">
        <f t="shared" si="57"/>
        <v>0</v>
      </c>
      <c r="H867" s="5">
        <f t="shared" si="58"/>
        <v>-4.5989304812834253E-2</v>
      </c>
      <c r="I867" s="5">
        <f t="shared" si="59"/>
        <v>0</v>
      </c>
    </row>
    <row r="868" spans="1:9" x14ac:dyDescent="0.2">
      <c r="A868" s="42">
        <v>44857</v>
      </c>
      <c r="B868" s="41">
        <v>1930.19</v>
      </c>
      <c r="C868" s="41">
        <v>33010</v>
      </c>
      <c r="D868" s="41">
        <v>9350</v>
      </c>
      <c r="E868" s="41">
        <v>2903</v>
      </c>
      <c r="F868" s="5">
        <f t="shared" si="56"/>
        <v>6.581246056206691E-3</v>
      </c>
      <c r="G868" s="5">
        <f t="shared" si="57"/>
        <v>1.7257318952234257E-2</v>
      </c>
      <c r="H868" s="5">
        <f t="shared" si="58"/>
        <v>-6.4129970072679399E-4</v>
      </c>
      <c r="I868" s="5">
        <f t="shared" si="59"/>
        <v>0</v>
      </c>
    </row>
    <row r="869" spans="1:9" x14ac:dyDescent="0.2">
      <c r="A869" s="42">
        <v>44854</v>
      </c>
      <c r="B869" s="41">
        <v>1917.57</v>
      </c>
      <c r="C869" s="41">
        <v>32450</v>
      </c>
      <c r="D869" s="41">
        <v>9356</v>
      </c>
      <c r="E869" s="41">
        <v>2903</v>
      </c>
      <c r="F869" s="5">
        <f t="shared" si="56"/>
        <v>-4.0253048843829076E-3</v>
      </c>
      <c r="G869" s="5">
        <f t="shared" si="57"/>
        <v>-3.2786885245901676E-2</v>
      </c>
      <c r="H869" s="5">
        <f t="shared" si="58"/>
        <v>-3.0900372935535048E-3</v>
      </c>
      <c r="I869" s="5">
        <f t="shared" si="59"/>
        <v>0</v>
      </c>
    </row>
    <row r="870" spans="1:9" x14ac:dyDescent="0.2">
      <c r="A870" s="42">
        <v>44853</v>
      </c>
      <c r="B870" s="41">
        <v>1925.32</v>
      </c>
      <c r="C870" s="41">
        <v>33550</v>
      </c>
      <c r="D870" s="41">
        <v>9385</v>
      </c>
      <c r="E870" s="41">
        <v>2903</v>
      </c>
      <c r="F870" s="5">
        <f t="shared" si="56"/>
        <v>-9.4440466183054461E-4</v>
      </c>
      <c r="G870" s="5">
        <f t="shared" si="57"/>
        <v>4.7918538484577056E-3</v>
      </c>
      <c r="H870" s="5">
        <f t="shared" si="58"/>
        <v>1.0656436487632703E-4</v>
      </c>
      <c r="I870" s="5">
        <f t="shared" si="59"/>
        <v>1.4325646401118108E-2</v>
      </c>
    </row>
    <row r="871" spans="1:9" x14ac:dyDescent="0.2">
      <c r="A871" s="42">
        <v>44852</v>
      </c>
      <c r="B871" s="41">
        <v>1927.14</v>
      </c>
      <c r="C871" s="41">
        <v>33390</v>
      </c>
      <c r="D871" s="41">
        <v>9384</v>
      </c>
      <c r="E871" s="41">
        <v>2862</v>
      </c>
      <c r="F871" s="5">
        <f t="shared" si="56"/>
        <v>1.1547707780005689E-2</v>
      </c>
      <c r="G871" s="5">
        <f t="shared" si="57"/>
        <v>4.2134831460674205E-2</v>
      </c>
      <c r="H871" s="5">
        <f t="shared" si="58"/>
        <v>2.4570024570025328E-3</v>
      </c>
      <c r="I871" s="5">
        <f t="shared" si="59"/>
        <v>-1.3783597518952417E-2</v>
      </c>
    </row>
    <row r="872" spans="1:9" x14ac:dyDescent="0.2">
      <c r="A872" s="42">
        <v>44847</v>
      </c>
      <c r="B872" s="41">
        <v>1905.14</v>
      </c>
      <c r="C872" s="41">
        <v>32040</v>
      </c>
      <c r="D872" s="41">
        <v>9361</v>
      </c>
      <c r="E872" s="41">
        <v>2902</v>
      </c>
      <c r="F872" s="5">
        <f t="shared" si="56"/>
        <v>3.5609308989770216E-3</v>
      </c>
      <c r="G872" s="5">
        <f t="shared" si="57"/>
        <v>-2.1800062285892707E-3</v>
      </c>
      <c r="H872" s="5">
        <f t="shared" si="58"/>
        <v>-2.3446658851113966E-3</v>
      </c>
      <c r="I872" s="5">
        <f t="shared" si="59"/>
        <v>0</v>
      </c>
    </row>
    <row r="873" spans="1:9" x14ac:dyDescent="0.2">
      <c r="A873" s="42">
        <v>44846</v>
      </c>
      <c r="B873" s="41">
        <v>1898.38</v>
      </c>
      <c r="C873" s="41">
        <v>32110</v>
      </c>
      <c r="D873" s="41">
        <v>9383</v>
      </c>
      <c r="E873" s="41">
        <v>2902</v>
      </c>
      <c r="F873" s="5">
        <f t="shared" si="56"/>
        <v>9.6477045483556179E-3</v>
      </c>
      <c r="G873" s="5">
        <f t="shared" si="57"/>
        <v>3.0818619582664519E-2</v>
      </c>
      <c r="H873" s="5">
        <f t="shared" si="58"/>
        <v>-1.1170829381389025E-2</v>
      </c>
      <c r="I873" s="5">
        <f t="shared" si="59"/>
        <v>0</v>
      </c>
    </row>
    <row r="874" spans="1:9" x14ac:dyDescent="0.2">
      <c r="A874" s="42">
        <v>44845</v>
      </c>
      <c r="B874" s="41">
        <v>1880.24</v>
      </c>
      <c r="C874" s="41">
        <v>31150</v>
      </c>
      <c r="D874" s="41">
        <v>9489</v>
      </c>
      <c r="E874" s="41">
        <v>2902</v>
      </c>
      <c r="F874" s="5">
        <f t="shared" si="56"/>
        <v>-1.2011980452945159E-2</v>
      </c>
      <c r="G874" s="5">
        <f t="shared" si="57"/>
        <v>-2.4122807017543879E-2</v>
      </c>
      <c r="H874" s="5">
        <f t="shared" si="58"/>
        <v>-9.4756790903349764E-4</v>
      </c>
      <c r="I874" s="5">
        <f t="shared" si="59"/>
        <v>0</v>
      </c>
    </row>
    <row r="875" spans="1:9" x14ac:dyDescent="0.2">
      <c r="A875" s="42">
        <v>44840</v>
      </c>
      <c r="B875" s="41">
        <v>1903.1</v>
      </c>
      <c r="C875" s="41">
        <v>31920</v>
      </c>
      <c r="D875" s="41">
        <v>9498</v>
      </c>
      <c r="E875" s="41">
        <v>2902</v>
      </c>
      <c r="F875" s="5">
        <f t="shared" si="56"/>
        <v>1.3257374081567352E-2</v>
      </c>
      <c r="G875" s="5">
        <f t="shared" si="57"/>
        <v>-2.6829268292682951E-2</v>
      </c>
      <c r="H875" s="5">
        <f t="shared" si="58"/>
        <v>-9.59332638164756E-3</v>
      </c>
      <c r="I875" s="5">
        <f t="shared" si="59"/>
        <v>-1.2253233492171556E-2</v>
      </c>
    </row>
    <row r="876" spans="1:9" x14ac:dyDescent="0.2">
      <c r="A876" s="42">
        <v>44837</v>
      </c>
      <c r="B876" s="41">
        <v>1878.2</v>
      </c>
      <c r="C876" s="41">
        <v>32800</v>
      </c>
      <c r="D876" s="41">
        <v>9590</v>
      </c>
      <c r="E876" s="41">
        <v>2938</v>
      </c>
      <c r="F876" s="5">
        <f t="shared" si="56"/>
        <v>2.0921775714650703E-2</v>
      </c>
      <c r="G876" s="5">
        <f t="shared" si="57"/>
        <v>-1.5310717502251547E-2</v>
      </c>
      <c r="H876" s="5">
        <f t="shared" si="58"/>
        <v>3.5189982728842883E-2</v>
      </c>
      <c r="I876" s="5">
        <f t="shared" si="59"/>
        <v>1.1359724612736599E-2</v>
      </c>
    </row>
    <row r="877" spans="1:9" x14ac:dyDescent="0.2">
      <c r="A877" s="42">
        <v>44836</v>
      </c>
      <c r="B877" s="41">
        <v>1839.71</v>
      </c>
      <c r="C877" s="41">
        <v>33310</v>
      </c>
      <c r="D877" s="41">
        <v>9264</v>
      </c>
      <c r="E877" s="41">
        <v>2905</v>
      </c>
      <c r="F877" s="5">
        <f t="shared" si="56"/>
        <v>-2.3472209689319734E-2</v>
      </c>
      <c r="G877" s="5">
        <f t="shared" si="57"/>
        <v>-4.1438848920863358E-2</v>
      </c>
      <c r="H877" s="5">
        <f t="shared" si="58"/>
        <v>-3.8804731272048087E-2</v>
      </c>
      <c r="I877" s="5">
        <f t="shared" si="59"/>
        <v>0</v>
      </c>
    </row>
    <row r="878" spans="1:9" x14ac:dyDescent="0.2">
      <c r="A878" s="42">
        <v>44833</v>
      </c>
      <c r="B878" s="41">
        <v>1883.93</v>
      </c>
      <c r="C878" s="41">
        <v>34750</v>
      </c>
      <c r="D878" s="41">
        <v>9638</v>
      </c>
      <c r="E878" s="41">
        <v>2905</v>
      </c>
      <c r="F878" s="5">
        <f t="shared" si="56"/>
        <v>-1.7896426970275159E-2</v>
      </c>
      <c r="G878" s="5">
        <f t="shared" si="57"/>
        <v>-7.4264495858326063E-3</v>
      </c>
      <c r="H878" s="5">
        <f t="shared" si="58"/>
        <v>-1.2435233160621451E-3</v>
      </c>
      <c r="I878" s="5">
        <f t="shared" si="59"/>
        <v>-3.0885380919698502E-3</v>
      </c>
    </row>
    <row r="879" spans="1:9" x14ac:dyDescent="0.2">
      <c r="A879" s="42">
        <v>44832</v>
      </c>
      <c r="B879" s="41">
        <v>1918.26</v>
      </c>
      <c r="C879" s="41">
        <v>35010</v>
      </c>
      <c r="D879" s="41">
        <v>9650</v>
      </c>
      <c r="E879" s="41">
        <v>2914</v>
      </c>
      <c r="F879" s="5">
        <f t="shared" si="56"/>
        <v>-2.5685305485999232E-2</v>
      </c>
      <c r="G879" s="5">
        <f t="shared" si="57"/>
        <v>-4.0821917808219199E-2</v>
      </c>
      <c r="H879" s="5">
        <f t="shared" si="58"/>
        <v>6.221484861053117E-4</v>
      </c>
      <c r="I879" s="5">
        <f t="shared" si="59"/>
        <v>0</v>
      </c>
    </row>
    <row r="880" spans="1:9" x14ac:dyDescent="0.2">
      <c r="A880" s="42">
        <v>44826</v>
      </c>
      <c r="B880" s="41">
        <v>1968.83</v>
      </c>
      <c r="C880" s="41">
        <v>36500</v>
      </c>
      <c r="D880" s="41">
        <v>9644</v>
      </c>
      <c r="E880" s="41">
        <v>2914</v>
      </c>
      <c r="F880" s="5">
        <f t="shared" si="56"/>
        <v>-1.2077876461438208E-2</v>
      </c>
      <c r="G880" s="5">
        <f t="shared" si="57"/>
        <v>-1.8817204301075252E-2</v>
      </c>
      <c r="H880" s="5">
        <f t="shared" si="58"/>
        <v>-3.7190082644628086E-3</v>
      </c>
      <c r="I880" s="5">
        <f t="shared" si="59"/>
        <v>0</v>
      </c>
    </row>
    <row r="881" spans="1:9" x14ac:dyDescent="0.2">
      <c r="A881" s="42">
        <v>44825</v>
      </c>
      <c r="B881" s="41">
        <v>1992.9</v>
      </c>
      <c r="C881" s="41">
        <v>37200</v>
      </c>
      <c r="D881" s="41">
        <v>9680</v>
      </c>
      <c r="E881" s="41">
        <v>2914</v>
      </c>
      <c r="F881" s="5">
        <f t="shared" si="56"/>
        <v>4.7289666854883894E-3</v>
      </c>
      <c r="G881" s="5">
        <f t="shared" si="57"/>
        <v>-4.282655246252709E-3</v>
      </c>
      <c r="H881" s="5">
        <f t="shared" si="58"/>
        <v>-7.9934412789506304E-3</v>
      </c>
      <c r="I881" s="5">
        <f t="shared" si="59"/>
        <v>0</v>
      </c>
    </row>
    <row r="882" spans="1:9" x14ac:dyDescent="0.2">
      <c r="A882" s="42">
        <v>44824</v>
      </c>
      <c r="B882" s="41">
        <v>1983.52</v>
      </c>
      <c r="C882" s="41">
        <v>37360</v>
      </c>
      <c r="D882" s="41">
        <v>9758</v>
      </c>
      <c r="E882" s="41">
        <v>2914</v>
      </c>
      <c r="F882" s="5">
        <f t="shared" si="56"/>
        <v>-6.1977363481956482E-3</v>
      </c>
      <c r="G882" s="5">
        <f t="shared" si="57"/>
        <v>-3.998933617701983E-3</v>
      </c>
      <c r="H882" s="5">
        <f t="shared" si="58"/>
        <v>2.0538098172109276E-3</v>
      </c>
      <c r="I882" s="5">
        <f t="shared" si="59"/>
        <v>0</v>
      </c>
    </row>
    <row r="883" spans="1:9" x14ac:dyDescent="0.2">
      <c r="A883" s="42">
        <v>44823</v>
      </c>
      <c r="B883" s="41">
        <v>1995.89</v>
      </c>
      <c r="C883" s="41">
        <v>37510</v>
      </c>
      <c r="D883" s="41">
        <v>9738</v>
      </c>
      <c r="E883" s="41">
        <v>2914</v>
      </c>
      <c r="F883" s="5">
        <f t="shared" si="56"/>
        <v>9.4527614808821436E-3</v>
      </c>
      <c r="G883" s="5">
        <f t="shared" si="57"/>
        <v>3.4777956126270659E-3</v>
      </c>
      <c r="H883" s="5">
        <f t="shared" si="58"/>
        <v>-1.0466416014632607E-2</v>
      </c>
      <c r="I883" s="5">
        <f t="shared" si="59"/>
        <v>0</v>
      </c>
    </row>
    <row r="884" spans="1:9" x14ac:dyDescent="0.2">
      <c r="A884" s="42">
        <v>44822</v>
      </c>
      <c r="B884" s="41">
        <v>1977.2</v>
      </c>
      <c r="C884" s="41">
        <v>37380</v>
      </c>
      <c r="D884" s="41">
        <v>9841</v>
      </c>
      <c r="E884" s="41">
        <v>2914</v>
      </c>
      <c r="F884" s="5">
        <f t="shared" si="56"/>
        <v>-1.5019802226816426E-2</v>
      </c>
      <c r="G884" s="5">
        <f t="shared" si="57"/>
        <v>-3.3858878263117065E-2</v>
      </c>
      <c r="H884" s="5">
        <f t="shared" si="58"/>
        <v>-6.4613831398283583E-3</v>
      </c>
      <c r="I884" s="5">
        <f t="shared" si="59"/>
        <v>0</v>
      </c>
    </row>
    <row r="885" spans="1:9" x14ac:dyDescent="0.2">
      <c r="A885" s="42">
        <v>44819</v>
      </c>
      <c r="B885" s="41">
        <v>2007.35</v>
      </c>
      <c r="C885" s="41">
        <v>38690</v>
      </c>
      <c r="D885" s="41">
        <v>9905</v>
      </c>
      <c r="E885" s="41">
        <v>2914</v>
      </c>
      <c r="F885" s="5">
        <f t="shared" si="56"/>
        <v>-4.0683684354146932E-3</v>
      </c>
      <c r="G885" s="5">
        <f t="shared" si="57"/>
        <v>-1.2758356723653996E-2</v>
      </c>
      <c r="H885" s="5">
        <f t="shared" si="58"/>
        <v>6.1966680211296143E-3</v>
      </c>
      <c r="I885" s="5">
        <f t="shared" si="59"/>
        <v>5.52104899930983E-3</v>
      </c>
    </row>
    <row r="886" spans="1:9" x14ac:dyDescent="0.2">
      <c r="A886" s="42">
        <v>44818</v>
      </c>
      <c r="B886" s="41">
        <v>2015.55</v>
      </c>
      <c r="C886" s="41">
        <v>39190</v>
      </c>
      <c r="D886" s="41">
        <v>9844</v>
      </c>
      <c r="E886" s="41">
        <v>2898</v>
      </c>
      <c r="F886" s="5">
        <f t="shared" si="56"/>
        <v>-1.4820100983933493E-2</v>
      </c>
      <c r="G886" s="5">
        <f t="shared" si="57"/>
        <v>-5.3299492385786573E-3</v>
      </c>
      <c r="H886" s="5">
        <f t="shared" si="58"/>
        <v>-5.3551581287258898E-3</v>
      </c>
      <c r="I886" s="5">
        <f t="shared" si="59"/>
        <v>6.9060773480655868E-4</v>
      </c>
    </row>
    <row r="887" spans="1:9" x14ac:dyDescent="0.2">
      <c r="A887" s="42">
        <v>44817</v>
      </c>
      <c r="B887" s="41">
        <v>2045.87</v>
      </c>
      <c r="C887" s="41">
        <v>39400</v>
      </c>
      <c r="D887" s="41">
        <v>9897</v>
      </c>
      <c r="E887" s="41">
        <v>2896</v>
      </c>
      <c r="F887" s="5">
        <f t="shared" si="56"/>
        <v>-1.3325295394260972E-2</v>
      </c>
      <c r="G887" s="5">
        <f t="shared" si="57"/>
        <v>-7.0564516129032473E-3</v>
      </c>
      <c r="H887" s="5">
        <f t="shared" si="58"/>
        <v>-1.0103051121435058E-4</v>
      </c>
      <c r="I887" s="5">
        <f t="shared" si="59"/>
        <v>0</v>
      </c>
    </row>
    <row r="888" spans="1:9" x14ac:dyDescent="0.2">
      <c r="A888" s="42">
        <v>44816</v>
      </c>
      <c r="B888" s="41">
        <v>2073.5</v>
      </c>
      <c r="C888" s="41">
        <v>39680</v>
      </c>
      <c r="D888" s="41">
        <v>9898</v>
      </c>
      <c r="E888" s="41">
        <v>2896</v>
      </c>
      <c r="F888" s="5">
        <f t="shared" si="56"/>
        <v>3.581627220366812E-3</v>
      </c>
      <c r="G888" s="5">
        <f t="shared" si="57"/>
        <v>0</v>
      </c>
      <c r="H888" s="5">
        <f t="shared" si="58"/>
        <v>3.2434623961079545E-3</v>
      </c>
      <c r="I888" s="5">
        <f t="shared" si="59"/>
        <v>0</v>
      </c>
    </row>
    <row r="889" spans="1:9" x14ac:dyDescent="0.2">
      <c r="A889" s="42">
        <v>44815</v>
      </c>
      <c r="B889" s="41">
        <v>2066.1</v>
      </c>
      <c r="C889" s="41">
        <v>39680</v>
      </c>
      <c r="D889" s="41">
        <v>9866</v>
      </c>
      <c r="E889" s="41">
        <v>2896</v>
      </c>
      <c r="F889" s="5">
        <f t="shared" si="56"/>
        <v>1.3827824448457093E-2</v>
      </c>
      <c r="G889" s="5">
        <f t="shared" si="57"/>
        <v>1.3278855975485282E-2</v>
      </c>
      <c r="H889" s="5">
        <f t="shared" si="58"/>
        <v>-1.0629763337344555E-2</v>
      </c>
      <c r="I889" s="5">
        <f t="shared" si="59"/>
        <v>-6.5180102915951554E-3</v>
      </c>
    </row>
    <row r="890" spans="1:9" x14ac:dyDescent="0.2">
      <c r="A890" s="42">
        <v>44812</v>
      </c>
      <c r="B890" s="41">
        <v>2037.92</v>
      </c>
      <c r="C890" s="41">
        <v>39160</v>
      </c>
      <c r="D890" s="41">
        <v>9972</v>
      </c>
      <c r="E890" s="41">
        <v>2915</v>
      </c>
      <c r="F890" s="5">
        <f t="shared" si="56"/>
        <v>8.9112440096636991E-3</v>
      </c>
      <c r="G890" s="5">
        <f t="shared" si="57"/>
        <v>2.0589001824341979E-2</v>
      </c>
      <c r="H890" s="5">
        <f t="shared" si="58"/>
        <v>5.0165546302793906E-4</v>
      </c>
      <c r="I890" s="5">
        <f t="shared" si="59"/>
        <v>-1.1194029850746245E-2</v>
      </c>
    </row>
    <row r="891" spans="1:9" x14ac:dyDescent="0.2">
      <c r="A891" s="42">
        <v>44811</v>
      </c>
      <c r="B891" s="41">
        <v>2019.92</v>
      </c>
      <c r="C891" s="41">
        <v>38370</v>
      </c>
      <c r="D891" s="41">
        <v>9967</v>
      </c>
      <c r="E891" s="41">
        <v>2948</v>
      </c>
      <c r="F891" s="5">
        <f t="shared" si="56"/>
        <v>-6.7416393345889336E-3</v>
      </c>
      <c r="G891" s="5">
        <f t="shared" si="57"/>
        <v>-1.8670076726342688E-2</v>
      </c>
      <c r="H891" s="5">
        <f t="shared" si="58"/>
        <v>-5.289421157684604E-3</v>
      </c>
      <c r="I891" s="5">
        <f t="shared" si="59"/>
        <v>1.132075471698113E-2</v>
      </c>
    </row>
    <row r="892" spans="1:9" x14ac:dyDescent="0.2">
      <c r="A892" s="42">
        <v>44810</v>
      </c>
      <c r="B892" s="41">
        <v>2033.63</v>
      </c>
      <c r="C892" s="41">
        <v>39100</v>
      </c>
      <c r="D892" s="41">
        <v>10020</v>
      </c>
      <c r="E892" s="41">
        <v>2915</v>
      </c>
      <c r="F892" s="5">
        <f t="shared" si="56"/>
        <v>-9.5314630820181323E-3</v>
      </c>
      <c r="G892" s="5">
        <f t="shared" si="57"/>
        <v>-2.8088491175739527E-2</v>
      </c>
      <c r="H892" s="5">
        <f t="shared" si="58"/>
        <v>-9.9700897308074854E-4</v>
      </c>
      <c r="I892" s="5">
        <f t="shared" si="59"/>
        <v>-1.3703323055841432E-3</v>
      </c>
    </row>
    <row r="893" spans="1:9" x14ac:dyDescent="0.2">
      <c r="A893" s="42">
        <v>44809</v>
      </c>
      <c r="B893" s="41">
        <v>2053.1999999999998</v>
      </c>
      <c r="C893" s="41">
        <v>40230</v>
      </c>
      <c r="D893" s="41">
        <v>10030</v>
      </c>
      <c r="E893" s="41">
        <v>2919</v>
      </c>
      <c r="F893" s="5">
        <f t="shared" si="56"/>
        <v>-9.0508306326830823E-4</v>
      </c>
      <c r="G893" s="5">
        <f t="shared" si="57"/>
        <v>3.2418952618453734E-3</v>
      </c>
      <c r="H893" s="5">
        <f t="shared" si="58"/>
        <v>-1.9900497512437276E-3</v>
      </c>
      <c r="I893" s="5">
        <f t="shared" si="59"/>
        <v>-2.3923444976076125E-3</v>
      </c>
    </row>
    <row r="894" spans="1:9" x14ac:dyDescent="0.2">
      <c r="A894" s="42">
        <v>44808</v>
      </c>
      <c r="B894" s="41">
        <v>2055.06</v>
      </c>
      <c r="C894" s="41">
        <v>40100</v>
      </c>
      <c r="D894" s="41">
        <v>10050</v>
      </c>
      <c r="E894" s="41">
        <v>2926</v>
      </c>
      <c r="F894" s="5">
        <v>0</v>
      </c>
      <c r="G894" s="5">
        <v>0</v>
      </c>
      <c r="H894" s="5">
        <v>0</v>
      </c>
      <c r="I894" s="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C5726-B5DD-4047-8095-F4DC69AD6AD1}">
  <dimension ref="A1:L325"/>
  <sheetViews>
    <sheetView workbookViewId="0">
      <selection activeCell="E21" sqref="E21"/>
    </sheetView>
  </sheetViews>
  <sheetFormatPr baseColWidth="10" defaultRowHeight="16" x14ac:dyDescent="0.2"/>
  <cols>
    <col min="1" max="1" width="25.33203125" customWidth="1"/>
    <col min="2" max="4" width="11" bestFit="1" customWidth="1"/>
    <col min="5" max="5" width="12.1640625" bestFit="1" customWidth="1"/>
    <col min="6" max="6" width="11" bestFit="1" customWidth="1"/>
  </cols>
  <sheetData>
    <row r="1" spans="1:5" ht="18" x14ac:dyDescent="0.25">
      <c r="A1" s="8" t="s">
        <v>150</v>
      </c>
    </row>
    <row r="3" spans="1:5" x14ac:dyDescent="0.2">
      <c r="A3" s="3" t="s">
        <v>9</v>
      </c>
    </row>
    <row r="4" spans="1:5" x14ac:dyDescent="0.2">
      <c r="A4" t="s">
        <v>10</v>
      </c>
      <c r="B4" s="6">
        <v>252</v>
      </c>
    </row>
    <row r="5" spans="1:5" x14ac:dyDescent="0.2">
      <c r="A5" t="s">
        <v>11</v>
      </c>
      <c r="B5" s="6">
        <v>10</v>
      </c>
    </row>
    <row r="6" spans="1:5" x14ac:dyDescent="0.2">
      <c r="A6" t="s">
        <v>12</v>
      </c>
      <c r="B6" s="6">
        <v>1.96</v>
      </c>
    </row>
    <row r="8" spans="1:5" x14ac:dyDescent="0.2">
      <c r="A8" s="3" t="s">
        <v>13</v>
      </c>
    </row>
    <row r="9" spans="1:5" x14ac:dyDescent="0.2">
      <c r="A9" s="7" t="s">
        <v>14</v>
      </c>
      <c r="B9" s="7" t="s">
        <v>15</v>
      </c>
      <c r="C9" s="7" t="s">
        <v>16</v>
      </c>
      <c r="D9" s="7" t="s">
        <v>17</v>
      </c>
      <c r="E9" s="7" t="s">
        <v>18</v>
      </c>
    </row>
    <row r="10" spans="1:5" x14ac:dyDescent="0.2">
      <c r="A10">
        <v>1</v>
      </c>
      <c r="B10" s="1">
        <v>45206</v>
      </c>
      <c r="C10" s="1">
        <f>IF(WEEKDAY(B10)=6,B10+2,IF(WEEKDAY(B10)=7,B10+1,B10))</f>
        <v>45207</v>
      </c>
      <c r="D10" t="s">
        <v>19</v>
      </c>
      <c r="E10" t="s">
        <v>20</v>
      </c>
    </row>
    <row r="11" spans="1:5" x14ac:dyDescent="0.2">
      <c r="A11">
        <v>2</v>
      </c>
      <c r="B11" s="1">
        <v>45252</v>
      </c>
      <c r="C11" s="1">
        <f>IF(WEEKDAY(B11)=6,B11+2,IF(WEEKDAY(B11)=7,B11+1,B11))</f>
        <v>45252</v>
      </c>
      <c r="D11" t="s">
        <v>21</v>
      </c>
      <c r="E11" t="s">
        <v>22</v>
      </c>
    </row>
    <row r="12" spans="1:5" x14ac:dyDescent="0.2">
      <c r="A12">
        <v>3</v>
      </c>
      <c r="B12" s="1">
        <v>45396</v>
      </c>
      <c r="C12" s="1">
        <f>IF(WEEKDAY(B12)=6,B12+2,IF(WEEKDAY(B12)=7,B12+1,B12))</f>
        <v>45396</v>
      </c>
      <c r="D12" t="s">
        <v>19</v>
      </c>
      <c r="E12" t="s">
        <v>23</v>
      </c>
    </row>
    <row r="13" spans="1:5" x14ac:dyDescent="0.2">
      <c r="A13">
        <v>4</v>
      </c>
      <c r="B13" s="1">
        <v>45504</v>
      </c>
      <c r="C13" s="1">
        <f>IF(WEEKDAY(B13)=6,B13+2,IF(WEEKDAY(B13)=7,B13+1,B13))</f>
        <v>45504</v>
      </c>
      <c r="D13" t="s">
        <v>19</v>
      </c>
      <c r="E13" t="s">
        <v>24</v>
      </c>
    </row>
    <row r="14" spans="1:5" x14ac:dyDescent="0.2">
      <c r="A14">
        <v>5</v>
      </c>
      <c r="B14" s="1">
        <v>45566</v>
      </c>
      <c r="C14" s="1">
        <v>45571</v>
      </c>
      <c r="D14" t="s">
        <v>19</v>
      </c>
      <c r="E14" t="s">
        <v>25</v>
      </c>
    </row>
    <row r="15" spans="1:5" x14ac:dyDescent="0.2">
      <c r="A15">
        <v>6</v>
      </c>
      <c r="B15" s="1">
        <v>45623</v>
      </c>
      <c r="C15" s="1">
        <f>IF(WEEKDAY(B15)=6,B15+2,IF(WEEKDAY(B15)=7,B15+1,B15))</f>
        <v>45623</v>
      </c>
      <c r="D15" t="s">
        <v>21</v>
      </c>
      <c r="E15" t="s">
        <v>26</v>
      </c>
    </row>
    <row r="16" spans="1:5" x14ac:dyDescent="0.2">
      <c r="A16">
        <v>7</v>
      </c>
      <c r="B16" s="1">
        <v>45672</v>
      </c>
      <c r="C16" s="1">
        <f>IF(WEEKDAY(B16)=6,B16+2,IF(WEEKDAY(B16)=7,B16+1,B16))</f>
        <v>45672</v>
      </c>
      <c r="D16" t="s">
        <v>21</v>
      </c>
      <c r="E16" t="s">
        <v>27</v>
      </c>
    </row>
    <row r="17" spans="1:9" x14ac:dyDescent="0.2">
      <c r="A17">
        <v>8</v>
      </c>
      <c r="B17" s="1">
        <v>45789</v>
      </c>
      <c r="C17" s="1">
        <v>45789</v>
      </c>
      <c r="D17" t="s">
        <v>21</v>
      </c>
      <c r="E17" t="s">
        <v>28</v>
      </c>
    </row>
    <row r="18" spans="1:9" x14ac:dyDescent="0.2">
      <c r="A18">
        <v>9</v>
      </c>
      <c r="B18" s="1">
        <v>45821</v>
      </c>
      <c r="C18" s="1">
        <f>IF(WEEKDAY(B18)=6,B18+2,IF(WEEKDAY(B18)=7,B18+1,B18))</f>
        <v>45823</v>
      </c>
      <c r="D18" t="s">
        <v>19</v>
      </c>
      <c r="E18" t="s">
        <v>29</v>
      </c>
    </row>
    <row r="19" spans="1:9" x14ac:dyDescent="0.2">
      <c r="A19">
        <v>10</v>
      </c>
      <c r="B19" s="1">
        <v>45939</v>
      </c>
      <c r="C19" s="1">
        <f>IF(WEEKDAY(B19)=6,B19+2,IF(WEEKDAY(B19)=7,B19+1,B19))</f>
        <v>45939</v>
      </c>
      <c r="D19" t="s">
        <v>21</v>
      </c>
      <c r="E19" t="s">
        <v>30</v>
      </c>
    </row>
    <row r="20" spans="1:9" x14ac:dyDescent="0.2">
      <c r="A20">
        <v>11</v>
      </c>
      <c r="B20" s="1">
        <v>46081</v>
      </c>
      <c r="C20" s="1">
        <f>IF(WEEKDAY(B20)=7, B20+2, IF(WEEKDAY(B20)=1, B20+1, B20))</f>
        <v>46083</v>
      </c>
      <c r="D20" t="s">
        <v>19</v>
      </c>
      <c r="E20" t="s">
        <v>31</v>
      </c>
    </row>
    <row r="21" spans="1:9" x14ac:dyDescent="0.2">
      <c r="A21">
        <v>12</v>
      </c>
      <c r="B21" s="1">
        <v>46120</v>
      </c>
      <c r="C21" s="1">
        <v>46121</v>
      </c>
      <c r="D21" t="s">
        <v>21</v>
      </c>
      <c r="E21" t="s">
        <v>32</v>
      </c>
    </row>
    <row r="23" spans="1:9" x14ac:dyDescent="0.2">
      <c r="A23" s="9" t="s">
        <v>151</v>
      </c>
    </row>
    <row r="24" spans="1:9" x14ac:dyDescent="0.2">
      <c r="A24" s="7" t="s">
        <v>14</v>
      </c>
      <c r="B24" s="7" t="s">
        <v>33</v>
      </c>
      <c r="C24" s="7" t="s">
        <v>34</v>
      </c>
      <c r="D24" s="7" t="s">
        <v>35</v>
      </c>
      <c r="E24" s="7" t="s">
        <v>36</v>
      </c>
      <c r="F24" s="7" t="s">
        <v>37</v>
      </c>
      <c r="G24" s="7" t="s">
        <v>121</v>
      </c>
      <c r="H24" s="7" t="s">
        <v>38</v>
      </c>
      <c r="I24" s="7" t="s">
        <v>39</v>
      </c>
    </row>
    <row r="25" spans="1:9" x14ac:dyDescent="0.2">
      <c r="A25">
        <f t="shared" ref="A25:A36" si="0">A10</f>
        <v>1</v>
      </c>
      <c r="B25" s="2">
        <f>IF(WEEKDAY(B10)=6,B10+2,IF(WEEKDAY(B10)=7,B10+1,B10))</f>
        <v>45207</v>
      </c>
      <c r="C25">
        <f>IFERROR(MATCH(B25,Data!$A$2:$A$718,0),MATCH(B25,Data!$A$2:$A$718,-1))</f>
        <v>630</v>
      </c>
      <c r="D25">
        <f>MIN($B$4,COUNTA(Data!$A:$A)-1-(C25+11)+1)</f>
        <v>252</v>
      </c>
      <c r="E25">
        <f ca="1">INTERCEPT(OFFSET(Data!$G$1,C25+11,0,D25,1),OFFSET(Data!$F$1,C25+11,0,D25,1))</f>
        <v>2.8642490800503181E-4</v>
      </c>
      <c r="F25">
        <f ca="1">SLOPE(OFFSET(Data!$G$1,C25+11,0,D25,1),OFFSET(Data!$F$1,C25+11,0,D25,1))</f>
        <v>1.4028615278337524</v>
      </c>
      <c r="H25">
        <f ca="1">RSQ(OFFSET(Data!$G$1,C25+11,0,D25,1),OFFSET(Data!$F$1,C25+11,0,D25,1))</f>
        <v>0.3912399218298292</v>
      </c>
      <c r="I25">
        <f ca="1">STEYX(OFFSET(Data!$G$1,C25+11,0,D25,1),OFFSET(Data!$F$1,C25+11,0,D25,1))</f>
        <v>1.8253548980771618E-2</v>
      </c>
    </row>
    <row r="26" spans="1:9" x14ac:dyDescent="0.2">
      <c r="A26">
        <f t="shared" si="0"/>
        <v>2</v>
      </c>
      <c r="B26" s="2">
        <f t="shared" ref="B26:B34" si="1">IF(WEEKDAY(C11)=6,C11+2,IF(WEEKDAY(C11)=7,C11+1,C11))</f>
        <v>45252</v>
      </c>
      <c r="C26">
        <f>IFERROR(MATCH(B26,Data!$A$2:$A$718,0),MATCH(B26,Data!$A$2:$A$718,-1))</f>
        <v>597</v>
      </c>
      <c r="D26">
        <f>MIN($B$4,875-(C26+11)+1)</f>
        <v>252</v>
      </c>
      <c r="E26">
        <f ca="1">INTERCEPT(OFFSET(Data!$G$1,C26+11,0,D26,1),OFFSET(Data!$F$1,C26+11,0,D26,1))</f>
        <v>1.1347158435413285E-3</v>
      </c>
      <c r="F26">
        <f ca="1">SLOPE(OFFSET(Data!$G$1,C26+11,0,D26,1),OFFSET(Data!$F$1,C26+11,0,D26,1))</f>
        <v>1.3515287146880119</v>
      </c>
      <c r="H26">
        <f ca="1">RSQ(OFFSET(Data!$G$1,C26+11,0,D26,1),OFFSET(Data!$F$1,C26+11,0,D26,1))</f>
        <v>0.43759662060583066</v>
      </c>
      <c r="I26">
        <f ca="1">STEYX(OFFSET(Data!$G$1,C26+11,0,D26,1),OFFSET(Data!$F$1,C26+11,0,D26,1))</f>
        <v>1.7779337991007324E-2</v>
      </c>
    </row>
    <row r="27" spans="1:9" x14ac:dyDescent="0.2">
      <c r="A27">
        <f t="shared" si="0"/>
        <v>3</v>
      </c>
      <c r="B27" s="2">
        <f t="shared" si="1"/>
        <v>45396</v>
      </c>
      <c r="C27">
        <f>IFERROR(MATCH(B27,Data!$A$2:$A$718,0),MATCH(B27,Data!$A$2:$A$718,-1))</f>
        <v>497</v>
      </c>
      <c r="D27">
        <f>MIN($B$4,875-(C27+11))</f>
        <v>252</v>
      </c>
      <c r="E27" s="10">
        <f ca="1">INTERCEPT(OFFSET(Data!$G$1,C27+11,0,D27,1),OFFSET(Data!$F$1,C27+11,0,D27,1))</f>
        <v>1.1870734965598062E-3</v>
      </c>
      <c r="F27" s="10">
        <f ca="1">SLOPE(OFFSET(Data!$G$1,C27+11,0,D27,1),OFFSET(Data!$F$1,C27+11,0,D27,1))</f>
        <v>1.1217334273267003</v>
      </c>
      <c r="G27" s="10"/>
      <c r="H27" s="11">
        <f ca="1">RSQ(OFFSET(Data!$G$1,C27+11,0,D27,1),OFFSET(Data!$F$1,C27+11,0,D27,1))</f>
        <v>0.37528431828842285</v>
      </c>
      <c r="I27" s="10">
        <f ca="1">STEYX(OFFSET(Data!$G$1,C27+11,0,D27,1),OFFSET(Data!$F$1,C27+11,0,D27,1))</f>
        <v>1.5674184351158579E-2</v>
      </c>
    </row>
    <row r="28" spans="1:9" x14ac:dyDescent="0.2">
      <c r="A28">
        <f t="shared" si="0"/>
        <v>4</v>
      </c>
      <c r="B28" s="2">
        <f t="shared" si="1"/>
        <v>45504</v>
      </c>
      <c r="C28">
        <f>IFERROR(MATCH(B28,Data!$A$2:$A$718,0),MATCH(B28,Data!$A$2:$A$718,-1))</f>
        <v>427</v>
      </c>
      <c r="D28">
        <f t="shared" ref="D28:D36" si="2">MIN($B$4,717-(C28+11))</f>
        <v>252</v>
      </c>
      <c r="E28" s="10">
        <f ca="1">INTERCEPT(OFFSET(Data!$G$1,C28+11,0,D28,1),OFFSET(Data!$F$1,C28+11,0,D28,1))</f>
        <v>1.2483265091444004E-5</v>
      </c>
      <c r="F28" s="10">
        <f ca="1">SLOPE(OFFSET(Data!$G$1,C28+11,0,D28,1),OFFSET(Data!$F$1,C28+11,0,D28,1))</f>
        <v>1.1850264402160997</v>
      </c>
      <c r="G28" s="10"/>
      <c r="H28" s="11">
        <f ca="1">RSQ(OFFSET(Data!$G$1,C28+11,0,D28,1),OFFSET(Data!$F$1,C28+11,0,D28,1))</f>
        <v>0.44518873651963592</v>
      </c>
      <c r="I28" s="10">
        <f ca="1">STEYX(OFFSET(Data!$G$1,C28+11,0,D28,1),OFFSET(Data!$F$1,C28+11,0,D28,1))</f>
        <v>1.4435731031486624E-2</v>
      </c>
    </row>
    <row r="29" spans="1:9" x14ac:dyDescent="0.2">
      <c r="A29">
        <f t="shared" si="0"/>
        <v>5</v>
      </c>
      <c r="B29" s="2">
        <f t="shared" si="1"/>
        <v>45571</v>
      </c>
      <c r="C29">
        <f>IFERROR(MATCH(B29,Data!$A$2:$A$718,0),MATCH(B29,Data!$A$2:$A$718,-1))</f>
        <v>383</v>
      </c>
      <c r="D29">
        <f t="shared" si="2"/>
        <v>252</v>
      </c>
      <c r="E29" s="10">
        <f ca="1">INTERCEPT(OFFSET(Data!$G$1,C29+11,0,D29,1),OFFSET(Data!$F$1,C29+11,0,D29,1))</f>
        <v>1.570814254243566E-4</v>
      </c>
      <c r="F29" s="10">
        <f ca="1">SLOPE(OFFSET(Data!$G$1,C29+11,0,D29,1),OFFSET(Data!$F$1,C29+11,0,D29,1))</f>
        <v>1.2128881294793152</v>
      </c>
      <c r="G29" s="10"/>
      <c r="H29" s="11">
        <f ca="1">RSQ(OFFSET(Data!$G$1,C29+11,0,D29,1),OFFSET(Data!$F$1,C29+11,0,D29,1))</f>
        <v>0.45113359672412301</v>
      </c>
      <c r="I29" s="10">
        <f ca="1">STEYX(OFFSET(Data!$G$1,C29+11,0,D29,1),OFFSET(Data!$F$1,C29+11,0,D29,1))</f>
        <v>1.468459864973683E-2</v>
      </c>
    </row>
    <row r="30" spans="1:9" x14ac:dyDescent="0.2">
      <c r="A30">
        <f t="shared" si="0"/>
        <v>6</v>
      </c>
      <c r="B30" s="2">
        <f t="shared" si="1"/>
        <v>45623</v>
      </c>
      <c r="C30">
        <f>IFERROR(MATCH(B30,Data!$A$2:$A$718,0),MATCH(B30,Data!$A$2:$A$718,-1))</f>
        <v>349</v>
      </c>
      <c r="D30">
        <f t="shared" si="2"/>
        <v>252</v>
      </c>
      <c r="E30" s="10">
        <f ca="1">INTERCEPT(OFFSET(Data!$G$1,C30+11,0,D30,1),OFFSET(Data!$F$1,C30+11,0,D30,1))</f>
        <v>-1.4222530783512366E-4</v>
      </c>
      <c r="F30" s="10">
        <f ca="1">SLOPE(OFFSET(Data!$G$1,C30+11,0,D30,1),OFFSET(Data!$F$1,C30+11,0,D30,1))</f>
        <v>1.285762114103892</v>
      </c>
      <c r="G30" s="10"/>
      <c r="H30" s="11">
        <f ca="1">RSQ(OFFSET(Data!$G$1,C30+11,0,D30,1),OFFSET(Data!$F$1,C30+11,0,D30,1))</f>
        <v>0.40488194181903908</v>
      </c>
      <c r="I30" s="10">
        <f ca="1">STEYX(OFFSET(Data!$G$1,C30+11,0,D30,1),OFFSET(Data!$F$1,C30+11,0,D30,1))</f>
        <v>1.4930031897311267E-2</v>
      </c>
    </row>
    <row r="31" spans="1:9" x14ac:dyDescent="0.2">
      <c r="A31">
        <f t="shared" si="0"/>
        <v>7</v>
      </c>
      <c r="B31" s="2">
        <f t="shared" si="1"/>
        <v>45672</v>
      </c>
      <c r="C31">
        <f>IFERROR(MATCH(B31,Data!$A$2:$A$718,0),MATCH(B31,Data!$A$2:$A$718,-1))</f>
        <v>314</v>
      </c>
      <c r="D31">
        <f t="shared" si="2"/>
        <v>252</v>
      </c>
      <c r="E31" s="10">
        <f ca="1">INTERCEPT(OFFSET(Data!$G$1,C31+11,0,D31,1),OFFSET(Data!$F$1,C31+11,0,D31,1))</f>
        <v>-1.9690886251461613E-4</v>
      </c>
      <c r="F31" s="10">
        <f ca="1">SLOPE(OFFSET(Data!$G$1,C31+11,0,D31,1),OFFSET(Data!$F$1,C31+11,0,D31,1))</f>
        <v>1.2085726701151118</v>
      </c>
      <c r="G31" s="10"/>
      <c r="H31" s="11">
        <f ca="1">RSQ(OFFSET(Data!$G$1,C31+11,0,D31,1),OFFSET(Data!$F$1,C31+11,0,D31,1))</f>
        <v>0.34698947615394898</v>
      </c>
      <c r="I31" s="10">
        <f ca="1">STEYX(OFFSET(Data!$G$1,C31+11,0,D31,1),OFFSET(Data!$F$1,C31+11,0,D31,1))</f>
        <v>1.4935076407362935E-2</v>
      </c>
    </row>
    <row r="32" spans="1:9" x14ac:dyDescent="0.2">
      <c r="A32">
        <f t="shared" si="0"/>
        <v>8</v>
      </c>
      <c r="B32" s="2">
        <f t="shared" si="1"/>
        <v>45789</v>
      </c>
      <c r="C32">
        <f>IFERROR(MATCH(B32,Data!$A$2:$A$718,0),MATCH(B32,Data!$A$2:$A$718,-1))</f>
        <v>234</v>
      </c>
      <c r="D32">
        <f t="shared" si="2"/>
        <v>252</v>
      </c>
      <c r="E32" s="10">
        <f ca="1">INTERCEPT(OFFSET(Data!$G$1,C32+11,0,D32,1),OFFSET(Data!$F$1,C32+11,0,D32,1))</f>
        <v>-7.4675550299921649E-4</v>
      </c>
      <c r="F32" s="10">
        <f ca="1">SLOPE(OFFSET(Data!$G$1,C32+11,0,D32,1),OFFSET(Data!$F$1,C32+11,0,D32,1))</f>
        <v>1.1120020118193856</v>
      </c>
      <c r="G32" s="10"/>
      <c r="H32" s="11">
        <f ca="1">RSQ(OFFSET(Data!$G$1,C32+11,0,D32,1),OFFSET(Data!$F$1,C32+11,0,D32,1))</f>
        <v>0.32834483764504174</v>
      </c>
      <c r="I32" s="10">
        <f ca="1">STEYX(OFFSET(Data!$G$1,C32+11,0,D32,1),OFFSET(Data!$F$1,C32+11,0,D32,1))</f>
        <v>1.6032162879685855E-2</v>
      </c>
    </row>
    <row r="33" spans="1:12" x14ac:dyDescent="0.2">
      <c r="A33">
        <f t="shared" si="0"/>
        <v>9</v>
      </c>
      <c r="B33" s="2">
        <f t="shared" si="1"/>
        <v>45823</v>
      </c>
      <c r="C33">
        <f>IFERROR(MATCH(B33,Data!$A$2:$A$718,0),MATCH(B33,Data!$A$2:$A$718,-1))</f>
        <v>212</v>
      </c>
      <c r="D33">
        <f t="shared" si="2"/>
        <v>252</v>
      </c>
      <c r="E33" s="10">
        <f ca="1">INTERCEPT(OFFSET(Data!$G$1,C33+11,0,D33,1),OFFSET(Data!$F$1,C33+11,0,D33,1))</f>
        <v>-3.8242669516412868E-4</v>
      </c>
      <c r="F33" s="10">
        <f ca="1">SLOPE(OFFSET(Data!$G$1,C33+11,0,D33,1),OFFSET(Data!$F$1,C33+11,0,D33,1))</f>
        <v>1.119146081869578</v>
      </c>
      <c r="G33" s="10"/>
      <c r="H33" s="11">
        <f ca="1">RSQ(OFFSET(Data!$G$1,C33+11,0,D33,1),OFFSET(Data!$F$1,C33+11,0,D33,1))</f>
        <v>0.33041799325170695</v>
      </c>
      <c r="I33" s="10">
        <f ca="1">STEYX(OFFSET(Data!$G$1,C33+11,0,D33,1),OFFSET(Data!$F$1,C33+11,0,D33,1))</f>
        <v>1.5880047433680058E-2</v>
      </c>
    </row>
    <row r="34" spans="1:12" x14ac:dyDescent="0.2">
      <c r="A34">
        <f t="shared" si="0"/>
        <v>10</v>
      </c>
      <c r="B34" s="2">
        <f t="shared" si="1"/>
        <v>45939</v>
      </c>
      <c r="C34">
        <f>IFERROR(MATCH(B34,Data!$A$2:$A$718,0),MATCH(B34,Data!$A$2:$A$718,-1))</f>
        <v>136</v>
      </c>
      <c r="D34">
        <f t="shared" si="2"/>
        <v>252</v>
      </c>
      <c r="E34" s="10">
        <f ca="1">INTERCEPT(OFFSET(Data!$G$1,C34+11,0,D34,1),OFFSET(Data!$F$1,C34+11,0,D34,1))</f>
        <v>-8.2260591815581886E-4</v>
      </c>
      <c r="F34" s="10">
        <f ca="1">SLOPE(OFFSET(Data!$G$1,C34+11,0,D34,1),OFFSET(Data!$F$1,C34+11,0,D34,1))</f>
        <v>1.0944115020309486</v>
      </c>
      <c r="G34" s="10"/>
      <c r="H34" s="11">
        <f ca="1">RSQ(OFFSET(Data!$G$1,C34+11,0,D34,1),OFFSET(Data!$F$1,C34+11,0,D34,1))</f>
        <v>0.32052367119331104</v>
      </c>
      <c r="I34" s="10">
        <f ca="1">STEYX(OFFSET(Data!$G$1,C34+11,0,D34,1),OFFSET(Data!$F$1,C34+11,0,D34,1))</f>
        <v>1.5956257674465752E-2</v>
      </c>
    </row>
    <row r="35" spans="1:12" x14ac:dyDescent="0.2">
      <c r="A35">
        <f t="shared" si="0"/>
        <v>11</v>
      </c>
      <c r="B35" s="2">
        <f>IF(WEEKDAY(C20)=7, C20+2, IF(WEEKDAY(C20)=1, C20+1, C20))</f>
        <v>46083</v>
      </c>
      <c r="C35">
        <f>IFERROR(MATCH(B35,Data!$A$2:$A$718,0),MATCH(B35,Data!$A$2:$A$718,-1))</f>
        <v>37</v>
      </c>
      <c r="D35">
        <f t="shared" si="2"/>
        <v>252</v>
      </c>
      <c r="E35" s="10">
        <f ca="1">INTERCEPT(OFFSET(Data!$G$1,C35+11,0,D35,1),OFFSET(Data!$F$1,C35+11,0,D35,1))</f>
        <v>-9.9985744145034052E-4</v>
      </c>
      <c r="F35" s="10">
        <f ca="1">SLOPE(OFFSET(Data!$G$1,C35+11,0,D35,1),OFFSET(Data!$F$1,C35+11,0,D35,1))</f>
        <v>1.0400682269413126</v>
      </c>
      <c r="G35" s="10"/>
      <c r="H35" s="11">
        <f ca="1">RSQ(OFFSET(Data!$G$1,C35+11,0,D35,1),OFFSET(Data!$F$1,C35+11,0,D35,1))</f>
        <v>0.34312821677869093</v>
      </c>
      <c r="I35" s="10">
        <f ca="1">STEYX(OFFSET(Data!$G$1,C35+11,0,D35,1),OFFSET(Data!$F$1,C35+11,0,D35,1))</f>
        <v>1.5699861196723314E-2</v>
      </c>
    </row>
    <row r="36" spans="1:12" x14ac:dyDescent="0.2">
      <c r="A36">
        <f t="shared" si="0"/>
        <v>12</v>
      </c>
      <c r="B36" s="2">
        <f>IF(WEEKDAY(C21)=7, C21+2, IF(WEEKDAY(C21)=1, C21+1, C21))</f>
        <v>46121</v>
      </c>
      <c r="C36">
        <f>IFERROR(MATCH(B36,Data!$A$2:$A$718,0),MATCH(B36,Data!$A$2:$A$718,-1))</f>
        <v>14</v>
      </c>
      <c r="D36">
        <f t="shared" si="2"/>
        <v>252</v>
      </c>
      <c r="E36" s="10">
        <f ca="1">INTERCEPT(OFFSET(Data!$G$1,C36+11,0,D36,1),OFFSET(Data!$F$1,C36+11,0,D36,1))</f>
        <v>-9.6423103421411143E-4</v>
      </c>
      <c r="F36" s="10">
        <f ca="1">SLOPE(OFFSET(Data!$G$1,C36+11,0,D36,1),OFFSET(Data!$F$1,C36+11,0,D36,1))</f>
        <v>1.0115584922531848</v>
      </c>
      <c r="G36" s="10"/>
      <c r="H36" s="11">
        <f ca="1">RSQ(OFFSET(Data!$G$1,C36+11,0,D36,1),OFFSET(Data!$F$1,C36+11,0,D36,1))</f>
        <v>0.33478655376917726</v>
      </c>
      <c r="I36" s="10">
        <f ca="1">STEYX(OFFSET(Data!$G$1,C36+11,0,D36,1),OFFSET(Data!$F$1,C36+11,0,D36,1))</f>
        <v>1.6206938647354605E-2</v>
      </c>
    </row>
    <row r="38" spans="1:12" x14ac:dyDescent="0.2">
      <c r="A38" s="9" t="s">
        <v>40</v>
      </c>
    </row>
    <row r="39" spans="1:12" x14ac:dyDescent="0.2">
      <c r="A39" s="3" t="s">
        <v>41</v>
      </c>
      <c r="B39" t="str">
        <f>E10</f>
        <v>Hamas attack; Israel declares war</v>
      </c>
    </row>
    <row r="40" spans="1:12" x14ac:dyDescent="0.2">
      <c r="A40" s="12" t="s">
        <v>42</v>
      </c>
      <c r="B40" s="12" t="s">
        <v>43</v>
      </c>
      <c r="C40" s="12" t="s">
        <v>0</v>
      </c>
      <c r="D40" s="12" t="s">
        <v>44</v>
      </c>
      <c r="E40" s="12" t="s">
        <v>45</v>
      </c>
      <c r="F40" s="12" t="s">
        <v>46</v>
      </c>
      <c r="G40" s="12" t="s">
        <v>47</v>
      </c>
      <c r="H40" s="12" t="s">
        <v>48</v>
      </c>
      <c r="I40" s="12" t="s">
        <v>49</v>
      </c>
      <c r="L40" s="12" t="s">
        <v>154</v>
      </c>
    </row>
    <row r="41" spans="1:12" x14ac:dyDescent="0.2">
      <c r="A41">
        <v>10</v>
      </c>
      <c r="B41" t="str">
        <f t="shared" ref="B41:B61" ca="1" si="3">TEXT(WEEKDAY(C41),"ddd")</f>
        <v>Sun</v>
      </c>
      <c r="C41" s="2">
        <f ca="1">OFFSET(Data!$A$1,$C$25-A41,0,1,1)</f>
        <v>45221</v>
      </c>
      <c r="D41" s="5">
        <f ca="1">_xlfn.XLOOKUP(C41,Data!$A:$A,Data!$G:$G)</f>
        <v>-1.3732833957553092E-2</v>
      </c>
      <c r="E41" s="5">
        <f ca="1">$E$25+$F$25*_xlfn.XLOOKUP(C41,Data!$A:$A,Data!$F:$F)</f>
        <v>-3.5095034530683647E-2</v>
      </c>
      <c r="F41" s="5">
        <f t="shared" ref="F41:F61" ca="1" si="4">D41-E41</f>
        <v>2.1362200573130555E-2</v>
      </c>
      <c r="G41" s="13">
        <f t="shared" ref="G41:G61" ca="1" si="5">F41/$I$25</f>
        <v>1.1703039554463412</v>
      </c>
      <c r="H41" t="str">
        <f t="shared" ref="H41:H61" ca="1" si="6">IF(ABS(G41)&lt;$B$6,"No","Yes")</f>
        <v>No</v>
      </c>
      <c r="I41" s="5">
        <f t="shared" ref="I41:I60" ca="1" si="7">(1+I42)*(1+F41)-1</f>
        <v>5.0423102214775861E-2</v>
      </c>
    </row>
    <row r="42" spans="1:12" x14ac:dyDescent="0.2">
      <c r="A42">
        <v>9</v>
      </c>
      <c r="B42" t="str">
        <f t="shared" ca="1" si="3"/>
        <v>Thu</v>
      </c>
      <c r="C42" s="2">
        <f ca="1">OFFSET(Data!$A$1,$C$25-A42,0,1,1)</f>
        <v>45218</v>
      </c>
      <c r="D42" s="5">
        <f ca="1">_xlfn.XLOOKUP(C42,Data!$A:$A,Data!$G:$G)</f>
        <v>-5.8951287620229165E-3</v>
      </c>
      <c r="E42" s="5">
        <f ca="1">$E$25+$F$25*_xlfn.XLOOKUP(C42,Data!$A:$A,Data!$F:$F)</f>
        <v>-2.480882881744095E-2</v>
      </c>
      <c r="F42" s="5">
        <f t="shared" ca="1" si="4"/>
        <v>1.8913700055418033E-2</v>
      </c>
      <c r="G42" s="13">
        <f t="shared" ca="1" si="5"/>
        <v>1.036165628686335</v>
      </c>
      <c r="H42" t="str">
        <f t="shared" ca="1" si="6"/>
        <v>No</v>
      </c>
      <c r="I42" s="5">
        <f t="shared" ca="1" si="7"/>
        <v>2.8453081213831721E-2</v>
      </c>
    </row>
    <row r="43" spans="1:12" x14ac:dyDescent="0.2">
      <c r="A43">
        <v>8</v>
      </c>
      <c r="B43" t="str">
        <f t="shared" ca="1" si="3"/>
        <v>Wed</v>
      </c>
      <c r="C43" s="2">
        <f ca="1">OFFSET(Data!$A$1,$C$25-A43,0,1,1)</f>
        <v>45217</v>
      </c>
      <c r="D43" s="5">
        <f ca="1">_xlfn.XLOOKUP(C43,Data!$A:$A,Data!$G:$G)</f>
        <v>5.6162246489859236E-3</v>
      </c>
      <c r="E43" s="5">
        <f ca="1">$E$25+$F$25*_xlfn.XLOOKUP(C43,Data!$A:$A,Data!$F:$F)</f>
        <v>7.9839157299072244E-3</v>
      </c>
      <c r="F43" s="5">
        <f t="shared" ca="1" si="4"/>
        <v>-2.3676910809213008E-3</v>
      </c>
      <c r="G43" s="13">
        <f t="shared" ca="1" si="5"/>
        <v>-0.12971127332089988</v>
      </c>
      <c r="H43" t="str">
        <f t="shared" ca="1" si="6"/>
        <v>No</v>
      </c>
      <c r="I43" s="5">
        <f t="shared" ca="1" si="7"/>
        <v>9.3623053236941978E-3</v>
      </c>
    </row>
    <row r="44" spans="1:12" x14ac:dyDescent="0.2">
      <c r="A44">
        <v>7</v>
      </c>
      <c r="B44" t="str">
        <f t="shared" ca="1" si="3"/>
        <v>Tue</v>
      </c>
      <c r="C44" s="2">
        <f ca="1">OFFSET(Data!$A$1,$C$25-A44,0,1,1)</f>
        <v>45216</v>
      </c>
      <c r="D44" s="5">
        <f ca="1">_xlfn.XLOOKUP(C44,Data!$A:$A,Data!$G:$G)</f>
        <v>-1.3238916256157585E-2</v>
      </c>
      <c r="E44" s="5">
        <f ca="1">$E$25+$F$25*_xlfn.XLOOKUP(C44,Data!$A:$A,Data!$F:$F)</f>
        <v>-5.2404937880203683E-3</v>
      </c>
      <c r="F44" s="5">
        <f t="shared" ca="1" si="4"/>
        <v>-7.9984224681372163E-3</v>
      </c>
      <c r="G44" s="13">
        <f t="shared" ca="1" si="5"/>
        <v>-0.43818451286173421</v>
      </c>
      <c r="H44" t="str">
        <f t="shared" ca="1" si="6"/>
        <v>No</v>
      </c>
      <c r="I44" s="5">
        <f t="shared" ca="1" si="7"/>
        <v>1.1757835326448918E-2</v>
      </c>
    </row>
    <row r="45" spans="1:12" x14ac:dyDescent="0.2">
      <c r="A45">
        <v>6</v>
      </c>
      <c r="B45" t="str">
        <f t="shared" ca="1" si="3"/>
        <v>Mon</v>
      </c>
      <c r="C45" s="2">
        <f ca="1">OFFSET(Data!$A$1,$C$25-A45,0,1,1)</f>
        <v>45215</v>
      </c>
      <c r="D45" s="5">
        <f ca="1">_xlfn.XLOOKUP(C45,Data!$A:$A,Data!$G:$G)</f>
        <v>4.1025641025641102E-2</v>
      </c>
      <c r="E45" s="5">
        <f ca="1">$E$25+$F$25*_xlfn.XLOOKUP(C45,Data!$A:$A,Data!$F:$F)</f>
        <v>3.3391113184864367E-2</v>
      </c>
      <c r="F45" s="5">
        <f t="shared" ca="1" si="4"/>
        <v>7.634527840776735E-3</v>
      </c>
      <c r="G45" s="13">
        <f t="shared" ca="1" si="5"/>
        <v>0.41824895798723777</v>
      </c>
      <c r="H45" t="str">
        <f t="shared" ca="1" si="6"/>
        <v>No</v>
      </c>
      <c r="I45" s="5">
        <f t="shared" ca="1" si="7"/>
        <v>1.9915550783437652E-2</v>
      </c>
    </row>
    <row r="46" spans="1:12" x14ac:dyDescent="0.2">
      <c r="A46">
        <v>5</v>
      </c>
      <c r="B46" t="str">
        <f t="shared" ca="1" si="3"/>
        <v>Sun</v>
      </c>
      <c r="C46" s="2">
        <f ca="1">OFFSET(Data!$A$1,$C$25-A46,0,1,1)</f>
        <v>45214</v>
      </c>
      <c r="D46" s="5">
        <f ca="1">_xlfn.XLOOKUP(C46,Data!$A:$A,Data!$G:$G)</f>
        <v>-3.8224414303329235E-2</v>
      </c>
      <c r="E46" s="5">
        <f ca="1">$E$25+$F$25*_xlfn.XLOOKUP(C46,Data!$A:$A,Data!$F:$F)</f>
        <v>-5.3884562266551715E-2</v>
      </c>
      <c r="F46" s="5">
        <f t="shared" ca="1" si="4"/>
        <v>1.566014796322248E-2</v>
      </c>
      <c r="G46" s="13">
        <f t="shared" ca="1" si="5"/>
        <v>0.85792346352585791</v>
      </c>
      <c r="H46" t="str">
        <f t="shared" ca="1" si="6"/>
        <v>No</v>
      </c>
      <c r="I46" s="5">
        <f t="shared" ca="1" si="7"/>
        <v>1.2187973519503625E-2</v>
      </c>
    </row>
    <row r="47" spans="1:12" x14ac:dyDescent="0.2">
      <c r="A47">
        <v>4</v>
      </c>
      <c r="B47" t="str">
        <f t="shared" ca="1" si="3"/>
        <v>Thu</v>
      </c>
      <c r="C47" s="2">
        <f ca="1">OFFSET(Data!$A$1,$C$25-A47,0,1,1)</f>
        <v>45211</v>
      </c>
      <c r="D47" s="5">
        <f ca="1">_xlfn.XLOOKUP(C47,Data!$A:$A,Data!$G:$G)</f>
        <v>-1.5477996965098662E-2</v>
      </c>
      <c r="E47" s="5">
        <f ca="1">$E$25+$F$25*_xlfn.XLOOKUP(C47,Data!$A:$A,Data!$F:$F)</f>
        <v>-6.0277051533657771E-3</v>
      </c>
      <c r="F47" s="5">
        <f t="shared" ca="1" si="4"/>
        <v>-9.4502918117328853E-3</v>
      </c>
      <c r="G47" s="13">
        <f t="shared" ca="1" si="5"/>
        <v>-0.51772352991124471</v>
      </c>
      <c r="H47" t="str">
        <f t="shared" ca="1" si="6"/>
        <v>No</v>
      </c>
      <c r="I47" s="5">
        <f t="shared" ca="1" si="7"/>
        <v>-3.4186380657761362E-3</v>
      </c>
    </row>
    <row r="48" spans="1:12" x14ac:dyDescent="0.2">
      <c r="A48">
        <v>3</v>
      </c>
      <c r="B48" t="str">
        <f t="shared" ca="1" si="3"/>
        <v>Wed</v>
      </c>
      <c r="C48" s="2">
        <f ca="1">OFFSET(Data!$A$1,$C$25-A48,0,1,1)</f>
        <v>45210</v>
      </c>
      <c r="D48" s="5">
        <f ca="1">_xlfn.XLOOKUP(C48,Data!$A:$A,Data!$G:$G)</f>
        <v>-4.9336410848240031E-2</v>
      </c>
      <c r="E48" s="5">
        <f ca="1">$E$25+$F$25*_xlfn.XLOOKUP(C48,Data!$A:$A,Data!$F:$F)</f>
        <v>-1.9911335359649947E-2</v>
      </c>
      <c r="F48" s="5">
        <f t="shared" ca="1" si="4"/>
        <v>-2.9425075488590084E-2</v>
      </c>
      <c r="G48" s="13">
        <f t="shared" ca="1" si="5"/>
        <v>-1.6120194226112745</v>
      </c>
      <c r="H48" t="str">
        <f t="shared" ca="1" si="6"/>
        <v>No</v>
      </c>
      <c r="I48" s="5">
        <f t="shared" ca="1" si="7"/>
        <v>6.0891984481916683E-3</v>
      </c>
    </row>
    <row r="49" spans="1:9" x14ac:dyDescent="0.2">
      <c r="A49">
        <v>2</v>
      </c>
      <c r="B49" t="str">
        <f t="shared" ca="1" si="3"/>
        <v>Tue</v>
      </c>
      <c r="C49" s="2">
        <f ca="1">OFFSET(Data!$A$1,$C$25-A49,0,1,1)</f>
        <v>45209</v>
      </c>
      <c r="D49" s="5">
        <f ca="1">_xlfn.XLOOKUP(C49,Data!$A:$A,Data!$G:$G)</f>
        <v>2.6354752739117471E-2</v>
      </c>
      <c r="E49" s="5">
        <f ca="1">$E$25+$F$25*_xlfn.XLOOKUP(C49,Data!$A:$A,Data!$F:$F)</f>
        <v>2.0298508686572386E-2</v>
      </c>
      <c r="F49" s="5">
        <f t="shared" ca="1" si="4"/>
        <v>6.0562440525450852E-3</v>
      </c>
      <c r="G49" s="13">
        <f t="shared" ca="1" si="5"/>
        <v>0.33178446881342161</v>
      </c>
      <c r="H49" t="str">
        <f t="shared" ca="1" si="6"/>
        <v>No</v>
      </c>
      <c r="I49" s="5">
        <f t="shared" ca="1" si="7"/>
        <v>3.6590965869698122E-2</v>
      </c>
    </row>
    <row r="50" spans="1:9" x14ac:dyDescent="0.2">
      <c r="A50">
        <v>1</v>
      </c>
      <c r="B50" t="str">
        <f t="shared" ca="1" si="3"/>
        <v>Mon</v>
      </c>
      <c r="C50" s="2">
        <f ca="1">OFFSET(Data!$A$1,$C$25-A50,0,1,1)</f>
        <v>45208</v>
      </c>
      <c r="D50" s="5">
        <f ca="1">_xlfn.XLOOKUP(C50,Data!$A:$A,Data!$G:$G)</f>
        <v>-8.514386376981764E-3</v>
      </c>
      <c r="E50" s="5">
        <f ca="1">$E$25+$F$25*_xlfn.XLOOKUP(C50,Data!$A:$A,Data!$F:$F)</f>
        <v>1.0282889976193067E-2</v>
      </c>
      <c r="F50" s="5">
        <f t="shared" ca="1" si="4"/>
        <v>-1.8797276353174831E-2</v>
      </c>
      <c r="G50" s="13">
        <f t="shared" ca="1" si="5"/>
        <v>-1.0297874880647033</v>
      </c>
      <c r="H50" t="str">
        <f t="shared" ca="1" si="6"/>
        <v>No</v>
      </c>
      <c r="I50" s="5">
        <f t="shared" ca="1" si="7"/>
        <v>3.0350909303196172E-2</v>
      </c>
    </row>
    <row r="51" spans="1:9" x14ac:dyDescent="0.2">
      <c r="A51">
        <v>0</v>
      </c>
      <c r="B51" t="str">
        <f t="shared" ca="1" si="3"/>
        <v>Sun</v>
      </c>
      <c r="C51" s="2">
        <f ca="1">OFFSET(Data!$A$1,$C$25-A51,0,1,1)</f>
        <v>45207</v>
      </c>
      <c r="D51" s="5">
        <f ca="1">_xlfn.XLOOKUP(C51,Data!$A:$A,Data!$G:$G)</f>
        <v>-8.5146387322052153E-2</v>
      </c>
      <c r="E51" s="5">
        <f ca="1">$E$25+$F$25*_xlfn.XLOOKUP(C51,Data!$A:$A,Data!$F:$F)</f>
        <v>-9.3613487898132647E-2</v>
      </c>
      <c r="F51" s="5">
        <f t="shared" ca="1" si="4"/>
        <v>8.467100576080494E-3</v>
      </c>
      <c r="G51" s="13">
        <f t="shared" ca="1" si="5"/>
        <v>0.46386051200233891</v>
      </c>
      <c r="H51" t="str">
        <f t="shared" ca="1" si="6"/>
        <v>No</v>
      </c>
      <c r="I51" s="5">
        <f t="shared" ca="1" si="7"/>
        <v>5.0089736271524465E-2</v>
      </c>
    </row>
    <row r="52" spans="1:9" x14ac:dyDescent="0.2">
      <c r="A52">
        <v>-1</v>
      </c>
      <c r="B52" t="str">
        <f t="shared" ca="1" si="3"/>
        <v>Thu</v>
      </c>
      <c r="C52" s="2">
        <f ca="1">OFFSET(Data!$A$1,$C$25-A52,0,1,1)</f>
        <v>45204</v>
      </c>
      <c r="D52" s="5">
        <f ca="1">_xlfn.XLOOKUP(C52,Data!$A:$A,Data!$G:$G)</f>
        <v>-8.5219707057256899E-3</v>
      </c>
      <c r="E52" s="5">
        <f ca="1">$E$25+$F$25*_xlfn.XLOOKUP(C52,Data!$A:$A,Data!$F:$F)</f>
        <v>-4.0918752271260376E-3</v>
      </c>
      <c r="F52" s="5">
        <f t="shared" ca="1" si="4"/>
        <v>-4.4300954785996523E-3</v>
      </c>
      <c r="G52" s="13">
        <f t="shared" ca="1" si="5"/>
        <v>-0.24269776158413564</v>
      </c>
      <c r="H52" t="str">
        <f t="shared" ca="1" si="6"/>
        <v>No</v>
      </c>
      <c r="I52" s="5">
        <f t="shared" ca="1" si="7"/>
        <v>4.1273171600409331E-2</v>
      </c>
    </row>
    <row r="53" spans="1:9" x14ac:dyDescent="0.2">
      <c r="A53">
        <v>-2</v>
      </c>
      <c r="B53" t="str">
        <f t="shared" ca="1" si="3"/>
        <v>Wed</v>
      </c>
      <c r="C53" s="2">
        <f ca="1">OFFSET(Data!$A$1,$C$25-A53,0,1,1)</f>
        <v>45203</v>
      </c>
      <c r="D53" s="5">
        <f ca="1">_xlfn.XLOOKUP(C53,Data!$A:$A,Data!$G:$G)</f>
        <v>-1.7015706806282727E-2</v>
      </c>
      <c r="E53" s="5">
        <f ca="1">$E$25+$F$25*_xlfn.XLOOKUP(C53,Data!$A:$A,Data!$F:$F)</f>
        <v>-1.5894490008913853E-2</v>
      </c>
      <c r="F53" s="5">
        <f t="shared" ca="1" si="4"/>
        <v>-1.1212167973688736E-3</v>
      </c>
      <c r="G53" s="13">
        <f t="shared" ca="1" si="5"/>
        <v>-6.1424591927299675E-2</v>
      </c>
      <c r="H53" t="str">
        <f t="shared" ca="1" si="6"/>
        <v>No</v>
      </c>
      <c r="I53" s="5">
        <f t="shared" ca="1" si="7"/>
        <v>4.5906637867865197E-2</v>
      </c>
    </row>
    <row r="54" spans="1:9" x14ac:dyDescent="0.2">
      <c r="A54">
        <v>-3</v>
      </c>
      <c r="B54" t="str">
        <f t="shared" ca="1" si="3"/>
        <v>Tue</v>
      </c>
      <c r="C54" s="2">
        <f ca="1">OFFSET(Data!$A$1,$C$25-A54,0,1,1)</f>
        <v>45202</v>
      </c>
      <c r="D54" s="5">
        <f ca="1">_xlfn.XLOOKUP(C54,Data!$A:$A,Data!$G:$G)</f>
        <v>-2.089864158829724E-3</v>
      </c>
      <c r="E54" s="5">
        <f ca="1">$E$25+$F$25*_xlfn.XLOOKUP(C54,Data!$A:$A,Data!$F:$F)</f>
        <v>-1.2088621747801166E-2</v>
      </c>
      <c r="F54" s="5">
        <f t="shared" ca="1" si="4"/>
        <v>9.9987575889714415E-3</v>
      </c>
      <c r="G54" s="13">
        <f t="shared" ca="1" si="5"/>
        <v>0.54777060611633299</v>
      </c>
      <c r="H54" t="str">
        <f t="shared" ca="1" si="6"/>
        <v>No</v>
      </c>
      <c r="I54" s="5">
        <f t="shared" ca="1" si="7"/>
        <v>4.7080642272180562E-2</v>
      </c>
    </row>
    <row r="55" spans="1:9" x14ac:dyDescent="0.2">
      <c r="A55">
        <v>-4</v>
      </c>
      <c r="B55" t="str">
        <f t="shared" ca="1" si="3"/>
        <v>Mon</v>
      </c>
      <c r="C55" s="2">
        <f ca="1">OFFSET(Data!$A$1,$C$25-A55,0,1,1)</f>
        <v>45201</v>
      </c>
      <c r="D55" s="5">
        <f ca="1">_xlfn.XLOOKUP(C55,Data!$A:$A,Data!$G:$G)</f>
        <v>-1.161890007745936E-2</v>
      </c>
      <c r="E55" s="5">
        <f ca="1">$E$25+$F$25*_xlfn.XLOOKUP(C55,Data!$A:$A,Data!$F:$F)</f>
        <v>4.0036029838846285E-3</v>
      </c>
      <c r="F55" s="5">
        <f t="shared" ca="1" si="4"/>
        <v>-1.5622503061343988E-2</v>
      </c>
      <c r="G55" s="13">
        <f t="shared" ca="1" si="5"/>
        <v>-0.85586113022737731</v>
      </c>
      <c r="H55" t="str">
        <f t="shared" ca="1" si="6"/>
        <v>No</v>
      </c>
      <c r="I55" s="5">
        <f t="shared" ca="1" si="7"/>
        <v>3.671478247332649E-2</v>
      </c>
    </row>
    <row r="56" spans="1:9" x14ac:dyDescent="0.2">
      <c r="A56">
        <v>-5</v>
      </c>
      <c r="B56" t="str">
        <f t="shared" ca="1" si="3"/>
        <v>Sun</v>
      </c>
      <c r="C56" s="2">
        <f ca="1">OFFSET(Data!$A$1,$C$25-A56,0,1,1)</f>
        <v>45200</v>
      </c>
      <c r="D56" s="5">
        <f ca="1">_xlfn.XLOOKUP(C56,Data!$A:$A,Data!$G:$G)</f>
        <v>8.5937499999999556E-3</v>
      </c>
      <c r="E56" s="5">
        <f ca="1">$E$25+$F$25*_xlfn.XLOOKUP(C56,Data!$A:$A,Data!$F:$F)</f>
        <v>1.8158607151592232E-2</v>
      </c>
      <c r="F56" s="5">
        <f t="shared" ca="1" si="4"/>
        <v>-9.5648571515922765E-3</v>
      </c>
      <c r="G56" s="13">
        <f t="shared" ca="1" si="5"/>
        <v>-0.52399986225516726</v>
      </c>
      <c r="H56" t="str">
        <f t="shared" ca="1" si="6"/>
        <v>No</v>
      </c>
      <c r="I56" s="5">
        <f t="shared" ca="1" si="7"/>
        <v>5.3167901234471238E-2</v>
      </c>
    </row>
    <row r="57" spans="1:9" x14ac:dyDescent="0.2">
      <c r="A57">
        <v>-6</v>
      </c>
      <c r="B57" t="str">
        <f t="shared" ca="1" si="3"/>
        <v>Thu</v>
      </c>
      <c r="C57" s="2">
        <f ca="1">OFFSET(Data!$A$1,$C$25-A57,0,1,1)</f>
        <v>45197</v>
      </c>
      <c r="D57" s="5">
        <f ca="1">_xlfn.XLOOKUP(C57,Data!$A:$A,Data!$G:$G)</f>
        <v>1.7488076311605649E-2</v>
      </c>
      <c r="E57" s="5">
        <f ca="1">$E$25+$F$25*_xlfn.XLOOKUP(C57,Data!$A:$A,Data!$F:$F)</f>
        <v>3.3766926133575849E-3</v>
      </c>
      <c r="F57" s="5">
        <f t="shared" ca="1" si="4"/>
        <v>1.4111383698248065E-2</v>
      </c>
      <c r="G57" s="13">
        <f t="shared" ca="1" si="5"/>
        <v>0.77307616798865086</v>
      </c>
      <c r="H57" t="str">
        <f t="shared" ca="1" si="6"/>
        <v>No</v>
      </c>
      <c r="I57" s="5">
        <f t="shared" ca="1" si="7"/>
        <v>6.3338582883528671E-2</v>
      </c>
    </row>
    <row r="58" spans="1:9" x14ac:dyDescent="0.2">
      <c r="A58">
        <v>-7</v>
      </c>
      <c r="B58" t="str">
        <f t="shared" ca="1" si="3"/>
        <v>Wed</v>
      </c>
      <c r="C58" s="2">
        <f ca="1">OFFSET(Data!$A$1,$C$25-A58,0,1,1)</f>
        <v>45196</v>
      </c>
      <c r="D58" s="5">
        <f ca="1">_xlfn.XLOOKUP(C58,Data!$A:$A,Data!$G:$G)</f>
        <v>3.3689400164338634E-2</v>
      </c>
      <c r="E58" s="5">
        <f ca="1">$E$25+$F$25*_xlfn.XLOOKUP(C58,Data!$A:$A,Data!$F:$F)</f>
        <v>6.7894920057523719E-3</v>
      </c>
      <c r="F58" s="5">
        <f t="shared" ca="1" si="4"/>
        <v>2.6899908158586262E-2</v>
      </c>
      <c r="G58" s="13">
        <f t="shared" ca="1" si="5"/>
        <v>1.4736809914018782</v>
      </c>
      <c r="H58" t="str">
        <f t="shared" ca="1" si="6"/>
        <v>No</v>
      </c>
      <c r="I58" s="5">
        <f t="shared" ca="1" si="7"/>
        <v>4.8542201553600117E-2</v>
      </c>
    </row>
    <row r="59" spans="1:9" x14ac:dyDescent="0.2">
      <c r="A59">
        <v>-8</v>
      </c>
      <c r="B59" t="str">
        <f t="shared" ca="1" si="3"/>
        <v>Tue</v>
      </c>
      <c r="C59" s="2">
        <f ca="1">OFFSET(Data!$A$1,$C$25-A59,0,1,1)</f>
        <v>45195</v>
      </c>
      <c r="D59" s="5">
        <f ca="1">_xlfn.XLOOKUP(C59,Data!$A:$A,Data!$G:$G)</f>
        <v>-5.1771117166212743E-3</v>
      </c>
      <c r="E59" s="5">
        <f ca="1">$E$25+$F$25*_xlfn.XLOOKUP(C59,Data!$A:$A,Data!$F:$F)</f>
        <v>-1.5295129616059382E-2</v>
      </c>
      <c r="F59" s="5">
        <f t="shared" ca="1" si="4"/>
        <v>1.0118017899438107E-2</v>
      </c>
      <c r="G59" s="13">
        <f t="shared" ca="1" si="5"/>
        <v>0.55430414710566578</v>
      </c>
      <c r="H59" t="str">
        <f t="shared" ca="1" si="6"/>
        <v>No</v>
      </c>
      <c r="I59" s="5">
        <f t="shared" ca="1" si="7"/>
        <v>2.1075367933202305E-2</v>
      </c>
    </row>
    <row r="60" spans="1:9" x14ac:dyDescent="0.2">
      <c r="A60">
        <v>-9</v>
      </c>
      <c r="B60" t="str">
        <f t="shared" ca="1" si="3"/>
        <v>Thu</v>
      </c>
      <c r="C60" s="2">
        <f ca="1">OFFSET(Data!$A$1,$C$25-A60,0,1,1)</f>
        <v>45190</v>
      </c>
      <c r="D60" s="5">
        <f ca="1">_xlfn.XLOOKUP(C60,Data!$A:$A,Data!$G:$G)</f>
        <v>2.732240437158362E-3</v>
      </c>
      <c r="E60" s="5">
        <f ca="1">$E$25+$F$25*_xlfn.XLOOKUP(C60,Data!$A:$A,Data!$F:$F)</f>
        <v>7.0358200405476224E-5</v>
      </c>
      <c r="F60" s="5">
        <f t="shared" ca="1" si="4"/>
        <v>2.6618822367528859E-3</v>
      </c>
      <c r="G60" s="13">
        <f t="shared" ca="1" si="5"/>
        <v>0.1458282024803465</v>
      </c>
      <c r="H60" t="str">
        <f t="shared" ca="1" si="6"/>
        <v>No</v>
      </c>
      <c r="I60" s="5">
        <f t="shared" ca="1" si="7"/>
        <v>1.0847593884673268E-2</v>
      </c>
    </row>
    <row r="61" spans="1:9" x14ac:dyDescent="0.2">
      <c r="A61">
        <v>-10</v>
      </c>
      <c r="B61" t="str">
        <f t="shared" ca="1" si="3"/>
        <v>Wed</v>
      </c>
      <c r="C61" s="2">
        <f ca="1">OFFSET(Data!$A$1,$C$25-A61,0,1,1)</f>
        <v>45189</v>
      </c>
      <c r="D61" s="5">
        <f ca="1">_xlfn.XLOOKUP(C61,Data!$A:$A,Data!$G:$G)</f>
        <v>2.4349286314021779E-2</v>
      </c>
      <c r="E61" s="5">
        <f ca="1">$E$25+$F$25*_xlfn.XLOOKUP(C61,Data!$A:$A,Data!$F:$F)</f>
        <v>1.6185306219695481E-2</v>
      </c>
      <c r="F61" s="5">
        <f t="shared" ca="1" si="4"/>
        <v>8.163980094326298E-3</v>
      </c>
      <c r="G61" s="13">
        <f t="shared" ca="1" si="5"/>
        <v>0.44725439983897247</v>
      </c>
      <c r="H61" t="str">
        <f t="shared" ca="1" si="6"/>
        <v>No</v>
      </c>
      <c r="I61" s="5">
        <f ca="1">F61</f>
        <v>8.163980094326298E-3</v>
      </c>
    </row>
    <row r="63" spans="1:9" x14ac:dyDescent="0.2">
      <c r="A63" s="3" t="s">
        <v>50</v>
      </c>
      <c r="B63" t="str">
        <f>E11</f>
        <v>First hostage truce (105 freed)</v>
      </c>
    </row>
    <row r="64" spans="1:9" x14ac:dyDescent="0.2">
      <c r="A64" s="12" t="s">
        <v>42</v>
      </c>
      <c r="B64" s="12" t="s">
        <v>43</v>
      </c>
      <c r="C64" s="12" t="s">
        <v>0</v>
      </c>
      <c r="D64" s="12" t="s">
        <v>44</v>
      </c>
      <c r="E64" s="12" t="s">
        <v>45</v>
      </c>
      <c r="F64" s="12" t="s">
        <v>46</v>
      </c>
      <c r="G64" s="12" t="s">
        <v>47</v>
      </c>
      <c r="H64" s="12" t="s">
        <v>48</v>
      </c>
      <c r="I64" s="12" t="s">
        <v>49</v>
      </c>
    </row>
    <row r="65" spans="1:9" x14ac:dyDescent="0.2">
      <c r="A65">
        <v>10</v>
      </c>
      <c r="B65" t="str">
        <f t="shared" ref="B65:B85" ca="1" si="8">TEXT(WEEKDAY(C65),"ddd")</f>
        <v>Wed</v>
      </c>
      <c r="C65" s="2">
        <f ca="1">OFFSET(Data!$A$1,$C$26-A65,0,1,1)</f>
        <v>45266</v>
      </c>
      <c r="D65" s="5">
        <f ca="1">_xlfn.XLOOKUP(C65,Data!$A:$A,Data!$G:$G)</f>
        <v>3.8265306122448939E-2</v>
      </c>
      <c r="E65" s="5">
        <f ca="1">$E$26+$F$26*_xlfn.XLOOKUP(C65,Data!$A:$A,Data!$F:$F)</f>
        <v>2.8454183467199719E-3</v>
      </c>
      <c r="F65" s="5">
        <f t="shared" ref="F65:F85" ca="1" si="9">D65-E65</f>
        <v>3.5419887775728964E-2</v>
      </c>
      <c r="G65" s="13">
        <f t="shared" ref="G65:G85" ca="1" si="10">F65/$I$26</f>
        <v>1.9921938484798545</v>
      </c>
      <c r="H65" t="str">
        <f t="shared" ref="H65:H85" ca="1" si="11">IF(ABS(G65)&lt;$B$6,"No","Yes")</f>
        <v>Yes</v>
      </c>
      <c r="I65" s="5">
        <f t="shared" ref="I65:I84" ca="1" si="12">(1+I66)*(1+F65)-1</f>
        <v>1.1936388455278113E-3</v>
      </c>
    </row>
    <row r="66" spans="1:9" x14ac:dyDescent="0.2">
      <c r="A66">
        <v>9</v>
      </c>
      <c r="B66" t="str">
        <f t="shared" ca="1" si="8"/>
        <v>Tue</v>
      </c>
      <c r="C66" s="2">
        <f ca="1">OFFSET(Data!$A$1,$C$26-A66,0,1,1)</f>
        <v>45265</v>
      </c>
      <c r="D66" s="5">
        <f ca="1">_xlfn.XLOOKUP(C66,Data!$A:$A,Data!$G:$G)</f>
        <v>3.6488630354309937E-2</v>
      </c>
      <c r="E66" s="5">
        <f ca="1">$E$26+$F$26*_xlfn.XLOOKUP(C66,Data!$A:$A,Data!$F:$F)</f>
        <v>1.7538864645720711E-2</v>
      </c>
      <c r="F66" s="5">
        <f t="shared" ca="1" si="9"/>
        <v>1.8949765708589226E-2</v>
      </c>
      <c r="G66" s="13">
        <f t="shared" ca="1" si="10"/>
        <v>1.065830781673305</v>
      </c>
      <c r="H66" t="str">
        <f t="shared" ca="1" si="11"/>
        <v>No</v>
      </c>
      <c r="I66" s="5">
        <f t="shared" ca="1" si="12"/>
        <v>-3.3055429332853103E-2</v>
      </c>
    </row>
    <row r="67" spans="1:9" x14ac:dyDescent="0.2">
      <c r="A67">
        <v>8</v>
      </c>
      <c r="B67" t="str">
        <f t="shared" ca="1" si="8"/>
        <v>Mon</v>
      </c>
      <c r="C67" s="2">
        <f ca="1">OFFSET(Data!$A$1,$C$26-A67,0,1,1)</f>
        <v>45264</v>
      </c>
      <c r="D67" s="5">
        <f ca="1">_xlfn.XLOOKUP(C67,Data!$A:$A,Data!$G:$G)</f>
        <v>-5.2603892688058984E-3</v>
      </c>
      <c r="E67" s="5">
        <f ca="1">$E$26+$F$26*_xlfn.XLOOKUP(C67,Data!$A:$A,Data!$F:$F)</f>
        <v>3.0405195355152643E-3</v>
      </c>
      <c r="F67" s="5">
        <f t="shared" ca="1" si="9"/>
        <v>-8.3009088043211627E-3</v>
      </c>
      <c r="G67" s="13">
        <f t="shared" ca="1" si="10"/>
        <v>-0.46688514547165422</v>
      </c>
      <c r="H67" t="str">
        <f t="shared" ca="1" si="11"/>
        <v>No</v>
      </c>
      <c r="I67" s="5">
        <f t="shared" ca="1" si="12"/>
        <v>-5.1038036212979976E-2</v>
      </c>
    </row>
    <row r="68" spans="1:9" x14ac:dyDescent="0.2">
      <c r="A68">
        <v>7</v>
      </c>
      <c r="B68" t="str">
        <f t="shared" ca="1" si="8"/>
        <v>Sun</v>
      </c>
      <c r="C68" s="2">
        <f ca="1">OFFSET(Data!$A$1,$C$26-A68,0,1,1)</f>
        <v>45263</v>
      </c>
      <c r="D68" s="5">
        <f ca="1">_xlfn.XLOOKUP(C68,Data!$A:$A,Data!$G:$G)</f>
        <v>-7.3107049608355235E-3</v>
      </c>
      <c r="E68" s="5">
        <f ca="1">$E$26+$F$26*_xlfn.XLOOKUP(C68,Data!$A:$A,Data!$F:$F)</f>
        <v>1.2994066679204041E-2</v>
      </c>
      <c r="F68" s="5">
        <f t="shared" ca="1" si="9"/>
        <v>-2.0304771640039562E-2</v>
      </c>
      <c r="G68" s="13">
        <f t="shared" ca="1" si="10"/>
        <v>-1.1420431767656134</v>
      </c>
      <c r="H68" t="str">
        <f t="shared" ca="1" si="11"/>
        <v>No</v>
      </c>
      <c r="I68" s="5">
        <f t="shared" ca="1" si="12"/>
        <v>-4.3094853860490279E-2</v>
      </c>
    </row>
    <row r="69" spans="1:9" x14ac:dyDescent="0.2">
      <c r="A69">
        <v>6</v>
      </c>
      <c r="B69" t="str">
        <f t="shared" ca="1" si="8"/>
        <v>Thu</v>
      </c>
      <c r="C69" s="2">
        <f ca="1">OFFSET(Data!$A$1,$C$26-A69,0,1,1)</f>
        <v>45260</v>
      </c>
      <c r="D69" s="5">
        <f ca="1">_xlfn.XLOOKUP(C69,Data!$A:$A,Data!$G:$G)</f>
        <v>-1.7696845344960299E-2</v>
      </c>
      <c r="E69" s="5">
        <f ca="1">$E$26+$F$26*_xlfn.XLOOKUP(C69,Data!$A:$A,Data!$F:$F)</f>
        <v>-2.2851747430347111E-2</v>
      </c>
      <c r="F69" s="5">
        <f t="shared" ca="1" si="9"/>
        <v>5.1549020853868116E-3</v>
      </c>
      <c r="G69" s="13">
        <f t="shared" ca="1" si="10"/>
        <v>0.28993779678377946</v>
      </c>
      <c r="H69" t="str">
        <f t="shared" ca="1" si="11"/>
        <v>No</v>
      </c>
      <c r="I69" s="5">
        <f t="shared" ca="1" si="12"/>
        <v>-2.3262420353523661E-2</v>
      </c>
    </row>
    <row r="70" spans="1:9" x14ac:dyDescent="0.2">
      <c r="A70">
        <v>5</v>
      </c>
      <c r="B70" t="str">
        <f t="shared" ca="1" si="8"/>
        <v>Wed</v>
      </c>
      <c r="C70" s="2">
        <f ca="1">OFFSET(Data!$A$1,$C$26-A70,0,1,1)</f>
        <v>45259</v>
      </c>
      <c r="D70" s="5">
        <f ca="1">_xlfn.XLOOKUP(C70,Data!$A:$A,Data!$G:$G)</f>
        <v>1.5364583333333348E-2</v>
      </c>
      <c r="E70" s="5">
        <f ca="1">$E$26+$F$26*_xlfn.XLOOKUP(C70,Data!$A:$A,Data!$F:$F)</f>
        <v>1.3306947763147042E-2</v>
      </c>
      <c r="F70" s="5">
        <f t="shared" ca="1" si="9"/>
        <v>2.0576355701863065E-3</v>
      </c>
      <c r="G70" s="13">
        <f t="shared" ca="1" si="10"/>
        <v>0.11573184396556528</v>
      </c>
      <c r="H70" t="str">
        <f t="shared" ca="1" si="11"/>
        <v>No</v>
      </c>
      <c r="I70" s="5">
        <f t="shared" ca="1" si="12"/>
        <v>-2.8271585185480563E-2</v>
      </c>
    </row>
    <row r="71" spans="1:9" x14ac:dyDescent="0.2">
      <c r="A71">
        <v>4</v>
      </c>
      <c r="B71" t="str">
        <f t="shared" ca="1" si="8"/>
        <v>Tue</v>
      </c>
      <c r="C71" s="2">
        <f ca="1">OFFSET(Data!$A$1,$C$26-A71,0,1,1)</f>
        <v>45258</v>
      </c>
      <c r="D71" s="5">
        <f ca="1">_xlfn.XLOOKUP(C71,Data!$A:$A,Data!$G:$G)</f>
        <v>1.1324730050039422E-2</v>
      </c>
      <c r="E71" s="5">
        <f ca="1">$E$26+$F$26*_xlfn.XLOOKUP(C71,Data!$A:$A,Data!$F:$F)</f>
        <v>7.5311699708935503E-3</v>
      </c>
      <c r="F71" s="5">
        <f t="shared" ca="1" si="9"/>
        <v>3.7935600791458718E-3</v>
      </c>
      <c r="G71" s="13">
        <f t="shared" ca="1" si="10"/>
        <v>0.21336902876049887</v>
      </c>
      <c r="H71" t="str">
        <f t="shared" ca="1" si="11"/>
        <v>No</v>
      </c>
      <c r="I71" s="5">
        <f t="shared" ca="1" si="12"/>
        <v>-3.0266942418346043E-2</v>
      </c>
    </row>
    <row r="72" spans="1:9" x14ac:dyDescent="0.2">
      <c r="A72">
        <v>3</v>
      </c>
      <c r="B72" t="str">
        <f t="shared" ca="1" si="8"/>
        <v>Mon</v>
      </c>
      <c r="C72" s="2">
        <f ca="1">OFFSET(Data!$A$1,$C$26-A72,0,1,1)</f>
        <v>45257</v>
      </c>
      <c r="D72" s="5">
        <f ca="1">_xlfn.XLOOKUP(C72,Data!$A:$A,Data!$G:$G)</f>
        <v>-2.0634511220015472E-2</v>
      </c>
      <c r="E72" s="5">
        <f ca="1">$E$26+$F$26*_xlfn.XLOOKUP(C72,Data!$A:$A,Data!$F:$F)</f>
        <v>-1.1648738966043119E-2</v>
      </c>
      <c r="F72" s="5">
        <f t="shared" ca="1" si="9"/>
        <v>-8.9857722539723531E-3</v>
      </c>
      <c r="G72" s="13">
        <f t="shared" ca="1" si="10"/>
        <v>-0.50540533390598119</v>
      </c>
      <c r="H72" t="str">
        <f t="shared" ca="1" si="11"/>
        <v>No</v>
      </c>
      <c r="I72" s="5">
        <f t="shared" ca="1" si="12"/>
        <v>-3.3931780250519239E-2</v>
      </c>
    </row>
    <row r="73" spans="1:9" x14ac:dyDescent="0.2">
      <c r="A73">
        <v>2</v>
      </c>
      <c r="B73" t="str">
        <f t="shared" ca="1" si="8"/>
        <v>Sun</v>
      </c>
      <c r="C73" s="2">
        <f ca="1">OFFSET(Data!$A$1,$C$26-A73,0,1,1)</f>
        <v>45256</v>
      </c>
      <c r="D73" s="5">
        <f ca="1">_xlfn.XLOOKUP(C73,Data!$A:$A,Data!$G:$G)</f>
        <v>2.5390108436921466E-2</v>
      </c>
      <c r="E73" s="5">
        <f ca="1">$E$26+$F$26*_xlfn.XLOOKUP(C73,Data!$A:$A,Data!$F:$F)</f>
        <v>5.5740056166489584E-3</v>
      </c>
      <c r="F73" s="5">
        <f t="shared" ca="1" si="9"/>
        <v>1.9816102820272508E-2</v>
      </c>
      <c r="G73" s="13">
        <f t="shared" ca="1" si="10"/>
        <v>1.1145579678104645</v>
      </c>
      <c r="H73" t="str">
        <f t="shared" ca="1" si="11"/>
        <v>No</v>
      </c>
      <c r="I73" s="5">
        <f t="shared" ca="1" si="12"/>
        <v>-2.5172199649730942E-2</v>
      </c>
    </row>
    <row r="74" spans="1:9" x14ac:dyDescent="0.2">
      <c r="A74">
        <v>1</v>
      </c>
      <c r="B74" t="str">
        <f t="shared" ca="1" si="8"/>
        <v>Thu</v>
      </c>
      <c r="C74" s="2">
        <f ca="1">OFFSET(Data!$A$1,$C$26-A74,0,1,1)</f>
        <v>45253</v>
      </c>
      <c r="D74" s="5">
        <f ca="1">_xlfn.XLOOKUP(C74,Data!$A:$A,Data!$G:$G)</f>
        <v>4.2496679946879556E-3</v>
      </c>
      <c r="E74" s="5">
        <f ca="1">$E$26+$F$26*_xlfn.XLOOKUP(C74,Data!$A:$A,Data!$F:$F)</f>
        <v>3.9608678956306476E-3</v>
      </c>
      <c r="F74" s="5">
        <f t="shared" ca="1" si="9"/>
        <v>2.8880009905730801E-4</v>
      </c>
      <c r="G74" s="13">
        <f t="shared" ca="1" si="10"/>
        <v>1.6243580003000184E-2</v>
      </c>
      <c r="H74" t="str">
        <f t="shared" ca="1" si="11"/>
        <v>No</v>
      </c>
      <c r="I74" s="5">
        <f t="shared" ca="1" si="12"/>
        <v>-4.4114132288742725E-2</v>
      </c>
    </row>
    <row r="75" spans="1:9" x14ac:dyDescent="0.2">
      <c r="A75">
        <v>0</v>
      </c>
      <c r="B75" t="str">
        <f t="shared" ca="1" si="8"/>
        <v>Wed</v>
      </c>
      <c r="C75" s="2">
        <f ca="1">OFFSET(Data!$A$1,$C$26-A75,0,1,1)</f>
        <v>45252</v>
      </c>
      <c r="D75" s="5">
        <f ca="1">_xlfn.XLOOKUP(C75,Data!$A:$A,Data!$G:$G)</f>
        <v>5.6089743589744501E-3</v>
      </c>
      <c r="E75" s="5">
        <f ca="1">$E$26+$F$26*_xlfn.XLOOKUP(C75,Data!$A:$A,Data!$F:$F)</f>
        <v>3.2015001872569934E-2</v>
      </c>
      <c r="F75" s="5">
        <f t="shared" ca="1" si="9"/>
        <v>-2.6406027513595484E-2</v>
      </c>
      <c r="G75" s="13">
        <f t="shared" ca="1" si="10"/>
        <v>-1.4852087027622449</v>
      </c>
      <c r="H75" t="str">
        <f t="shared" ca="1" si="11"/>
        <v>No</v>
      </c>
      <c r="I75" s="5">
        <f t="shared" ca="1" si="12"/>
        <v>-4.4390112518907343E-2</v>
      </c>
    </row>
    <row r="76" spans="1:9" x14ac:dyDescent="0.2">
      <c r="A76">
        <v>-1</v>
      </c>
      <c r="B76" t="str">
        <f t="shared" ca="1" si="8"/>
        <v>Tue</v>
      </c>
      <c r="C76" s="2">
        <f ca="1">OFFSET(Data!$A$1,$C$26-A76,0,1,1)</f>
        <v>45251</v>
      </c>
      <c r="D76" s="5">
        <f ca="1">_xlfn.XLOOKUP(C76,Data!$A:$A,Data!$G:$G)</f>
        <v>1.1618481491488808E-2</v>
      </c>
      <c r="E76" s="5">
        <f ca="1">$E$26+$F$26*_xlfn.XLOOKUP(C76,Data!$A:$A,Data!$F:$F)</f>
        <v>9.7544536742491337E-3</v>
      </c>
      <c r="F76" s="5">
        <f t="shared" ca="1" si="9"/>
        <v>1.8640278172396742E-3</v>
      </c>
      <c r="G76" s="13">
        <f t="shared" ca="1" si="10"/>
        <v>0.10484236354483432</v>
      </c>
      <c r="H76" t="str">
        <f t="shared" ca="1" si="11"/>
        <v>No</v>
      </c>
      <c r="I76" s="5">
        <f t="shared" ca="1" si="12"/>
        <v>-1.8471853271013416E-2</v>
      </c>
    </row>
    <row r="77" spans="1:9" x14ac:dyDescent="0.2">
      <c r="A77">
        <v>-2</v>
      </c>
      <c r="B77" t="str">
        <f t="shared" ca="1" si="8"/>
        <v>Mon</v>
      </c>
      <c r="C77" s="2">
        <f ca="1">OFFSET(Data!$A$1,$C$26-A77,0,1,1)</f>
        <v>45250</v>
      </c>
      <c r="D77" s="5">
        <f ca="1">_xlfn.XLOOKUP(C77,Data!$A:$A,Data!$G:$G)</f>
        <v>1.3694878115584785E-2</v>
      </c>
      <c r="E77" s="5">
        <f ca="1">$E$26+$F$26*_xlfn.XLOOKUP(C77,Data!$A:$A,Data!$F:$F)</f>
        <v>1.7287390529271841E-2</v>
      </c>
      <c r="F77" s="5">
        <f t="shared" ca="1" si="9"/>
        <v>-3.5925124136870559E-3</v>
      </c>
      <c r="G77" s="13">
        <f t="shared" ca="1" si="10"/>
        <v>-0.20206108998569722</v>
      </c>
      <c r="H77" t="str">
        <f t="shared" ca="1" si="11"/>
        <v>No</v>
      </c>
      <c r="I77" s="5">
        <f t="shared" ca="1" si="12"/>
        <v>-2.0298044967797524E-2</v>
      </c>
    </row>
    <row r="78" spans="1:9" x14ac:dyDescent="0.2">
      <c r="A78">
        <v>-3</v>
      </c>
      <c r="B78" t="str">
        <f t="shared" ca="1" si="8"/>
        <v>Sun</v>
      </c>
      <c r="C78" s="2">
        <f ca="1">OFFSET(Data!$A$1,$C$26-A78,0,1,1)</f>
        <v>45249</v>
      </c>
      <c r="D78" s="5">
        <f ca="1">_xlfn.XLOOKUP(C78,Data!$A:$A,Data!$G:$G)</f>
        <v>-2.7314941272876814E-3</v>
      </c>
      <c r="E78" s="5">
        <f ca="1">$E$26+$F$26*_xlfn.XLOOKUP(C78,Data!$A:$A,Data!$F:$F)</f>
        <v>-5.0286476900641853E-3</v>
      </c>
      <c r="F78" s="5">
        <f t="shared" ca="1" si="9"/>
        <v>2.2971535627765039E-3</v>
      </c>
      <c r="G78" s="13">
        <f t="shared" ca="1" si="10"/>
        <v>0.12920354874508766</v>
      </c>
      <c r="H78" t="str">
        <f t="shared" ca="1" si="11"/>
        <v>No</v>
      </c>
      <c r="I78" s="5">
        <f t="shared" ca="1" si="12"/>
        <v>-1.6765763768573971E-2</v>
      </c>
    </row>
    <row r="79" spans="1:9" x14ac:dyDescent="0.2">
      <c r="A79">
        <v>-4</v>
      </c>
      <c r="B79" t="str">
        <f t="shared" ca="1" si="8"/>
        <v>Thu</v>
      </c>
      <c r="C79" s="2">
        <f ca="1">OFFSET(Data!$A$1,$C$26-A79,0,1,1)</f>
        <v>45246</v>
      </c>
      <c r="D79" s="5">
        <f ca="1">_xlfn.XLOOKUP(C79,Data!$A:$A,Data!$G:$G)</f>
        <v>-7.8590785907859395E-3</v>
      </c>
      <c r="E79" s="5">
        <f ca="1">$E$26+$F$26*_xlfn.XLOOKUP(C79,Data!$A:$A,Data!$F:$F)</f>
        <v>1.6391698056511542E-2</v>
      </c>
      <c r="F79" s="5">
        <f t="shared" ca="1" si="9"/>
        <v>-2.4250776647297481E-2</v>
      </c>
      <c r="G79" s="13">
        <f t="shared" ca="1" si="10"/>
        <v>-1.3639864802369677</v>
      </c>
      <c r="H79" t="str">
        <f t="shared" ca="1" si="11"/>
        <v>No</v>
      </c>
      <c r="I79" s="5">
        <f t="shared" ca="1" si="12"/>
        <v>-1.9019227245721693E-2</v>
      </c>
    </row>
    <row r="80" spans="1:9" x14ac:dyDescent="0.2">
      <c r="A80">
        <v>-5</v>
      </c>
      <c r="B80" t="str">
        <f t="shared" ca="1" si="8"/>
        <v>Wed</v>
      </c>
      <c r="C80" s="2">
        <f ca="1">OFFSET(Data!$A$1,$C$26-A80,0,1,1)</f>
        <v>45245</v>
      </c>
      <c r="D80" s="5">
        <f ca="1">_xlfn.XLOOKUP(C80,Data!$A:$A,Data!$G:$G)</f>
        <v>-1.3896312132549493E-2</v>
      </c>
      <c r="E80" s="5">
        <f ca="1">$E$26+$F$26*_xlfn.XLOOKUP(C80,Data!$A:$A,Data!$F:$F)</f>
        <v>4.82967262976322E-3</v>
      </c>
      <c r="F80" s="5">
        <f t="shared" ca="1" si="9"/>
        <v>-1.8725984762312714E-2</v>
      </c>
      <c r="G80" s="13">
        <f t="shared" ca="1" si="10"/>
        <v>-1.0532442080680506</v>
      </c>
      <c r="H80" t="str">
        <f t="shared" ca="1" si="11"/>
        <v>No</v>
      </c>
      <c r="I80" s="5">
        <f t="shared" ca="1" si="12"/>
        <v>5.3615716788377732E-3</v>
      </c>
    </row>
    <row r="81" spans="1:9" x14ac:dyDescent="0.2">
      <c r="A81">
        <v>-6</v>
      </c>
      <c r="B81" t="str">
        <f t="shared" ca="1" si="8"/>
        <v>Tue</v>
      </c>
      <c r="C81" s="2">
        <f ca="1">OFFSET(Data!$A$1,$C$26-A81,0,1,1)</f>
        <v>45244</v>
      </c>
      <c r="D81" s="5">
        <f ca="1">_xlfn.XLOOKUP(C81,Data!$A:$A,Data!$G:$G)</f>
        <v>6.3370275646490448E-2</v>
      </c>
      <c r="E81" s="5">
        <f ca="1">$E$26+$F$26*_xlfn.XLOOKUP(C81,Data!$A:$A,Data!$F:$F)</f>
        <v>2.9050175711975844E-2</v>
      </c>
      <c r="F81" s="5">
        <f t="shared" ca="1" si="9"/>
        <v>3.4320099934514604E-2</v>
      </c>
      <c r="G81" s="13">
        <f t="shared" ca="1" si="10"/>
        <v>1.9303362111611519</v>
      </c>
      <c r="H81" t="str">
        <f t="shared" ca="1" si="11"/>
        <v>No</v>
      </c>
      <c r="I81" s="5">
        <f t="shared" ca="1" si="12"/>
        <v>2.4547227448304509E-2</v>
      </c>
    </row>
    <row r="82" spans="1:9" x14ac:dyDescent="0.2">
      <c r="A82">
        <v>-7</v>
      </c>
      <c r="B82" t="str">
        <f t="shared" ca="1" si="8"/>
        <v>Mon</v>
      </c>
      <c r="C82" s="2">
        <f ca="1">OFFSET(Data!$A$1,$C$26-A82,0,1,1)</f>
        <v>45243</v>
      </c>
      <c r="D82" s="5">
        <f ca="1">_xlfn.XLOOKUP(C82,Data!$A:$A,Data!$G:$G)</f>
        <v>-7.3342736248237506E-3</v>
      </c>
      <c r="E82" s="5">
        <f ca="1">$E$26+$F$26*_xlfn.XLOOKUP(C82,Data!$A:$A,Data!$F:$F)</f>
        <v>-6.5801904279137622E-3</v>
      </c>
      <c r="F82" s="5">
        <f t="shared" ca="1" si="9"/>
        <v>-7.5408319690998833E-4</v>
      </c>
      <c r="G82" s="13">
        <f t="shared" ca="1" si="10"/>
        <v>-4.2413457536574127E-2</v>
      </c>
      <c r="H82" t="str">
        <f t="shared" ca="1" si="11"/>
        <v>No</v>
      </c>
      <c r="I82" s="5">
        <f t="shared" ca="1" si="12"/>
        <v>-9.4485957362994144E-3</v>
      </c>
    </row>
    <row r="83" spans="1:9" x14ac:dyDescent="0.2">
      <c r="A83">
        <v>-8</v>
      </c>
      <c r="B83" t="str">
        <f t="shared" ca="1" si="8"/>
        <v>Sun</v>
      </c>
      <c r="C83" s="2">
        <f ca="1">OFFSET(Data!$A$1,$C$26-A83,0,1,1)</f>
        <v>45242</v>
      </c>
      <c r="D83" s="5">
        <f ca="1">_xlfn.XLOOKUP(C83,Data!$A:$A,Data!$G:$G)</f>
        <v>-1.5277777777777724E-2</v>
      </c>
      <c r="E83" s="5">
        <f ca="1">$E$26+$F$26*_xlfn.XLOOKUP(C83,Data!$A:$A,Data!$F:$F)</f>
        <v>-2.1520065474223339E-2</v>
      </c>
      <c r="F83" s="5">
        <f t="shared" ca="1" si="9"/>
        <v>6.2422876964456156E-3</v>
      </c>
      <c r="G83" s="13">
        <f t="shared" ca="1" si="10"/>
        <v>0.35109786987585956</v>
      </c>
      <c r="H83" t="str">
        <f t="shared" ca="1" si="11"/>
        <v>No</v>
      </c>
      <c r="I83" s="5">
        <f t="shared" ca="1" si="12"/>
        <v>-8.7010738729921266E-3</v>
      </c>
    </row>
    <row r="84" spans="1:9" x14ac:dyDescent="0.2">
      <c r="A84">
        <v>-9</v>
      </c>
      <c r="B84" t="str">
        <f t="shared" ca="1" si="8"/>
        <v>Thu</v>
      </c>
      <c r="C84" s="2">
        <f ca="1">OFFSET(Data!$A$1,$C$26-A84,0,1,1)</f>
        <v>45239</v>
      </c>
      <c r="D84" s="5">
        <f ca="1">_xlfn.XLOOKUP(C84,Data!$A:$A,Data!$G:$G)</f>
        <v>-2.7700831024930483E-3</v>
      </c>
      <c r="E84" s="5">
        <f ca="1">$E$26+$F$26*_xlfn.XLOOKUP(C84,Data!$A:$A,Data!$F:$F)</f>
        <v>-7.3464914628829994E-3</v>
      </c>
      <c r="F84" s="5">
        <f t="shared" ca="1" si="9"/>
        <v>4.5764083603899511E-3</v>
      </c>
      <c r="G84" s="13">
        <f t="shared" ca="1" si="10"/>
        <v>0.25740038030126144</v>
      </c>
      <c r="H84" t="str">
        <f t="shared" ca="1" si="11"/>
        <v>No</v>
      </c>
      <c r="I84" s="5">
        <f t="shared" ca="1" si="12"/>
        <v>-1.4850659480478701E-2</v>
      </c>
    </row>
    <row r="85" spans="1:9" x14ac:dyDescent="0.2">
      <c r="A85">
        <v>-10</v>
      </c>
      <c r="B85" t="str">
        <f t="shared" ca="1" si="8"/>
        <v>Wed</v>
      </c>
      <c r="C85" s="2">
        <f ca="1">OFFSET(Data!$A$1,$C$26-A85,0,1,1)</f>
        <v>45238</v>
      </c>
      <c r="D85" s="5">
        <f ca="1">_xlfn.XLOOKUP(C85,Data!$A:$A,Data!$G:$G)</f>
        <v>-2.74784482758621E-2</v>
      </c>
      <c r="E85" s="5">
        <f ca="1">$E$26+$F$26*_xlfn.XLOOKUP(C85,Data!$A:$A,Data!$F:$F)</f>
        <v>-8.1398816131467398E-3</v>
      </c>
      <c r="F85" s="5">
        <f t="shared" ca="1" si="9"/>
        <v>-1.933856666271536E-2</v>
      </c>
      <c r="G85" s="13">
        <f t="shared" ca="1" si="10"/>
        <v>-1.0876989161518096</v>
      </c>
      <c r="H85" t="str">
        <f t="shared" ca="1" si="11"/>
        <v>No</v>
      </c>
      <c r="I85" s="5">
        <f ca="1">F85</f>
        <v>-1.933856666271536E-2</v>
      </c>
    </row>
    <row r="87" spans="1:9" x14ac:dyDescent="0.2">
      <c r="A87" s="3" t="s">
        <v>51</v>
      </c>
      <c r="B87" t="str">
        <f>E12</f>
        <v>Iran first direct attack</v>
      </c>
    </row>
    <row r="88" spans="1:9" x14ac:dyDescent="0.2">
      <c r="A88" s="12" t="s">
        <v>42</v>
      </c>
      <c r="B88" s="12" t="s">
        <v>43</v>
      </c>
      <c r="C88" s="12" t="s">
        <v>0</v>
      </c>
      <c r="D88" s="12" t="s">
        <v>44</v>
      </c>
      <c r="E88" s="12" t="s">
        <v>45</v>
      </c>
      <c r="F88" s="12" t="s">
        <v>46</v>
      </c>
      <c r="G88" s="12" t="s">
        <v>47</v>
      </c>
      <c r="H88" s="12" t="s">
        <v>48</v>
      </c>
      <c r="I88" s="12" t="s">
        <v>49</v>
      </c>
    </row>
    <row r="89" spans="1:9" x14ac:dyDescent="0.2">
      <c r="A89">
        <v>10</v>
      </c>
      <c r="B89" t="str">
        <f t="shared" ref="B89:B109" ca="1" si="13">TEXT(WEEKDAY(C89),"ddd")</f>
        <v>Thu</v>
      </c>
      <c r="C89" s="2">
        <f ca="1">OFFSET(Data!$A$1,$C$27-A89,0,1,1)</f>
        <v>45414</v>
      </c>
      <c r="D89" s="5">
        <f ca="1">_xlfn.XLOOKUP(C89,Data!$A:$A,Data!$G:$G)</f>
        <v>0</v>
      </c>
      <c r="E89" s="5">
        <f ca="1">$E$27+$F$27*_xlfn.XLOOKUP(C89,Data!$A:$A,Data!$F:$F)</f>
        <v>5.0592738823914164E-3</v>
      </c>
      <c r="F89" s="5">
        <f t="shared" ref="F89:F109" ca="1" si="14">D89-E89</f>
        <v>-5.0592738823914164E-3</v>
      </c>
      <c r="G89" s="13">
        <f t="shared" ref="G89:G109" ca="1" si="15">F89/$I$27</f>
        <v>-0.32277748998259381</v>
      </c>
      <c r="H89" t="str">
        <f t="shared" ref="H89:H109" ca="1" si="16">IF(ABS(G89)&lt;$B$6,"No","Yes")</f>
        <v>No</v>
      </c>
      <c r="I89" s="5">
        <f t="shared" ref="I89:I108" ca="1" si="17">(1+I90)*(1+F89)-1</f>
        <v>-1.9984934573433089E-2</v>
      </c>
    </row>
    <row r="90" spans="1:9" x14ac:dyDescent="0.2">
      <c r="A90">
        <v>9</v>
      </c>
      <c r="B90" t="str">
        <f t="shared" ca="1" si="13"/>
        <v>Wed</v>
      </c>
      <c r="C90" s="2">
        <f ca="1">OFFSET(Data!$A$1,$C$27-A90,0,1,1)</f>
        <v>45413</v>
      </c>
      <c r="D90" s="5">
        <f ca="1">_xlfn.XLOOKUP(C90,Data!$A:$A,Data!$G:$G)</f>
        <v>1.9788918205805306E-3</v>
      </c>
      <c r="E90" s="5">
        <f ca="1">$E$27+$F$27*_xlfn.XLOOKUP(C90,Data!$A:$A,Data!$F:$F)</f>
        <v>-7.5387151406042605E-3</v>
      </c>
      <c r="F90" s="5">
        <f t="shared" ca="1" si="14"/>
        <v>9.5176069611847911E-3</v>
      </c>
      <c r="G90" s="13">
        <f t="shared" ca="1" si="15"/>
        <v>0.60721545363738716</v>
      </c>
      <c r="H90" t="str">
        <f t="shared" ca="1" si="16"/>
        <v>No</v>
      </c>
      <c r="I90" s="5">
        <f t="shared" ca="1" si="17"/>
        <v>-1.5001557680007216E-2</v>
      </c>
    </row>
    <row r="91" spans="1:9" x14ac:dyDescent="0.2">
      <c r="A91">
        <v>8</v>
      </c>
      <c r="B91" t="str">
        <f t="shared" ca="1" si="13"/>
        <v>Tue</v>
      </c>
      <c r="C91" s="2">
        <f ca="1">OFFSET(Data!$A$1,$C$27-A91,0,1,1)</f>
        <v>45412</v>
      </c>
      <c r="D91" s="5">
        <f ca="1">_xlfn.XLOOKUP(C91,Data!$A:$A,Data!$G:$G)</f>
        <v>-2.6315789473684292E-3</v>
      </c>
      <c r="E91" s="5">
        <f ca="1">$E$27+$F$27*_xlfn.XLOOKUP(C91,Data!$A:$A,Data!$F:$F)</f>
        <v>1.4066200952111245E-2</v>
      </c>
      <c r="F91" s="5">
        <f t="shared" ca="1" si="14"/>
        <v>-1.6697779899479674E-2</v>
      </c>
      <c r="G91" s="13">
        <f t="shared" ca="1" si="15"/>
        <v>-1.0653045495311808</v>
      </c>
      <c r="H91" t="str">
        <f t="shared" ca="1" si="16"/>
        <v>No</v>
      </c>
      <c r="I91" s="5">
        <f t="shared" ca="1" si="17"/>
        <v>-2.4288000993859638E-2</v>
      </c>
    </row>
    <row r="92" spans="1:9" x14ac:dyDescent="0.2">
      <c r="A92">
        <v>7</v>
      </c>
      <c r="B92" t="str">
        <f t="shared" ca="1" si="13"/>
        <v>Thu</v>
      </c>
      <c r="C92" s="2">
        <f ca="1">OFFSET(Data!$A$1,$C$27-A92,0,1,1)</f>
        <v>45407</v>
      </c>
      <c r="D92" s="5">
        <f ca="1">_xlfn.XLOOKUP(C92,Data!$A:$A,Data!$G:$G)</f>
        <v>-1.5118790496760237E-2</v>
      </c>
      <c r="E92" s="5">
        <f ca="1">$E$27+$F$27*_xlfn.XLOOKUP(C92,Data!$A:$A,Data!$F:$F)</f>
        <v>-6.7418862263174673E-3</v>
      </c>
      <c r="F92" s="5">
        <f t="shared" ca="1" si="14"/>
        <v>-8.3769042704427699E-3</v>
      </c>
      <c r="G92" s="13">
        <f t="shared" ca="1" si="15"/>
        <v>-0.53443956526028602</v>
      </c>
      <c r="H92" t="str">
        <f t="shared" ca="1" si="16"/>
        <v>No</v>
      </c>
      <c r="I92" s="5">
        <f t="shared" ca="1" si="17"/>
        <v>-7.7191131467231333E-3</v>
      </c>
    </row>
    <row r="93" spans="1:9" x14ac:dyDescent="0.2">
      <c r="A93">
        <v>6</v>
      </c>
      <c r="B93" t="str">
        <f t="shared" ca="1" si="13"/>
        <v>Wed</v>
      </c>
      <c r="C93" s="2">
        <f ca="1">OFFSET(Data!$A$1,$C$27-A93,0,1,1)</f>
        <v>45406</v>
      </c>
      <c r="D93" s="5">
        <f ca="1">_xlfn.XLOOKUP(C93,Data!$A:$A,Data!$G:$G)</f>
        <v>2.6607538802660757E-2</v>
      </c>
      <c r="E93" s="5">
        <f ca="1">$E$27+$F$27*_xlfn.XLOOKUP(C93,Data!$A:$A,Data!$F:$F)</f>
        <v>3.9779968786055452E-3</v>
      </c>
      <c r="F93" s="5">
        <f t="shared" ca="1" si="14"/>
        <v>2.262954192405521E-2</v>
      </c>
      <c r="G93" s="13">
        <f t="shared" ca="1" si="15"/>
        <v>1.4437460614901163</v>
      </c>
      <c r="H93" t="str">
        <f t="shared" ca="1" si="16"/>
        <v>No</v>
      </c>
      <c r="I93" s="5">
        <f t="shared" ca="1" si="17"/>
        <v>6.6334792579203494E-4</v>
      </c>
    </row>
    <row r="94" spans="1:9" x14ac:dyDescent="0.2">
      <c r="A94">
        <v>5</v>
      </c>
      <c r="B94" t="str">
        <f t="shared" ca="1" si="13"/>
        <v>Sun</v>
      </c>
      <c r="C94" s="2">
        <f ca="1">OFFSET(Data!$A$1,$C$27-A94,0,1,1)</f>
        <v>45403</v>
      </c>
      <c r="D94" s="5">
        <f ca="1">_xlfn.XLOOKUP(C94,Data!$A:$A,Data!$G:$G)</f>
        <v>4.5191193511008088E-2</v>
      </c>
      <c r="E94" s="5">
        <f ca="1">$E$27+$F$27*_xlfn.XLOOKUP(C94,Data!$A:$A,Data!$F:$F)</f>
        <v>1.474777605341058E-2</v>
      </c>
      <c r="F94" s="5">
        <f t="shared" ca="1" si="14"/>
        <v>3.0443417457597509E-2</v>
      </c>
      <c r="G94" s="13">
        <f t="shared" ca="1" si="15"/>
        <v>1.9422648589269171</v>
      </c>
      <c r="H94" t="str">
        <f t="shared" ca="1" si="16"/>
        <v>No</v>
      </c>
      <c r="I94" s="5">
        <f t="shared" ca="1" si="17"/>
        <v>-2.1480108971753564E-2</v>
      </c>
    </row>
    <row r="95" spans="1:9" x14ac:dyDescent="0.2">
      <c r="A95">
        <v>4</v>
      </c>
      <c r="B95" t="str">
        <f t="shared" ca="1" si="13"/>
        <v>Thu</v>
      </c>
      <c r="C95" s="2">
        <f ca="1">OFFSET(Data!$A$1,$C$27-A95,0,1,1)</f>
        <v>45400</v>
      </c>
      <c r="D95" s="5">
        <f ca="1">_xlfn.XLOOKUP(C95,Data!$A:$A,Data!$G:$G)</f>
        <v>-8.2739600091933374E-3</v>
      </c>
      <c r="E95" s="5">
        <f ca="1">$E$27+$F$27*_xlfn.XLOOKUP(C95,Data!$A:$A,Data!$F:$F)</f>
        <v>1.3690789091911279E-2</v>
      </c>
      <c r="F95" s="5">
        <f t="shared" ca="1" si="14"/>
        <v>-2.1964749101104616E-2</v>
      </c>
      <c r="G95" s="13">
        <f t="shared" ca="1" si="15"/>
        <v>-1.4013328291293869</v>
      </c>
      <c r="H95" t="str">
        <f t="shared" ca="1" si="16"/>
        <v>No</v>
      </c>
      <c r="I95" s="5">
        <f t="shared" ca="1" si="17"/>
        <v>-5.0389497909027914E-2</v>
      </c>
    </row>
    <row r="96" spans="1:9" x14ac:dyDescent="0.2">
      <c r="A96">
        <v>3</v>
      </c>
      <c r="B96" t="str">
        <f t="shared" ca="1" si="13"/>
        <v>Wed</v>
      </c>
      <c r="C96" s="2">
        <f ca="1">OFFSET(Data!$A$1,$C$27-A96,0,1,1)</f>
        <v>45399</v>
      </c>
      <c r="D96" s="5">
        <f ca="1">_xlfn.XLOOKUP(C96,Data!$A:$A,Data!$G:$G)</f>
        <v>-1.5833521827640751E-2</v>
      </c>
      <c r="E96" s="5">
        <f ca="1">$E$27+$F$27*_xlfn.XLOOKUP(C96,Data!$A:$A,Data!$F:$F)</f>
        <v>-1.0202792280734278E-2</v>
      </c>
      <c r="F96" s="5">
        <f t="shared" ca="1" si="14"/>
        <v>-5.6307295469064725E-3</v>
      </c>
      <c r="G96" s="13">
        <f t="shared" ca="1" si="15"/>
        <v>-0.35923588881932916</v>
      </c>
      <c r="H96" t="str">
        <f t="shared" ca="1" si="16"/>
        <v>No</v>
      </c>
      <c r="I96" s="5">
        <f t="shared" ca="1" si="17"/>
        <v>-2.9063112788418E-2</v>
      </c>
    </row>
    <row r="97" spans="1:9" x14ac:dyDescent="0.2">
      <c r="A97">
        <v>2</v>
      </c>
      <c r="B97" t="str">
        <f t="shared" ca="1" si="13"/>
        <v>Tue</v>
      </c>
      <c r="C97" s="2">
        <f ca="1">OFFSET(Data!$A$1,$C$27-A97,0,1,1)</f>
        <v>45398</v>
      </c>
      <c r="D97" s="5">
        <f ca="1">_xlfn.XLOOKUP(C97,Data!$A:$A,Data!$G:$G)</f>
        <v>-1.3169642857142838E-2</v>
      </c>
      <c r="E97" s="5">
        <f ca="1">$E$27+$F$27*_xlfn.XLOOKUP(C97,Data!$A:$A,Data!$F:$F)</f>
        <v>-2.5102430145626841E-3</v>
      </c>
      <c r="F97" s="5">
        <f t="shared" ca="1" si="14"/>
        <v>-1.0659399842580155E-2</v>
      </c>
      <c r="G97" s="13">
        <f t="shared" ca="1" si="15"/>
        <v>-0.6800608952766497</v>
      </c>
      <c r="H97" t="str">
        <f t="shared" ca="1" si="16"/>
        <v>No</v>
      </c>
      <c r="I97" s="5">
        <f t="shared" ca="1" si="17"/>
        <v>-2.3565071787500336E-2</v>
      </c>
    </row>
    <row r="98" spans="1:9" x14ac:dyDescent="0.2">
      <c r="A98">
        <v>1</v>
      </c>
      <c r="B98" t="str">
        <f t="shared" ca="1" si="13"/>
        <v>Mon</v>
      </c>
      <c r="C98" s="2">
        <f ca="1">OFFSET(Data!$A$1,$C$27-A98,0,1,1)</f>
        <v>45397</v>
      </c>
      <c r="D98" s="5">
        <f ca="1">_xlfn.XLOOKUP(C98,Data!$A:$A,Data!$G:$G)</f>
        <v>-9.5069644041565482E-3</v>
      </c>
      <c r="E98" s="5">
        <f ca="1">$E$27+$F$27*_xlfn.XLOOKUP(C98,Data!$A:$A,Data!$F:$F)</f>
        <v>-1.0476654612434789E-2</v>
      </c>
      <c r="F98" s="5">
        <f t="shared" ca="1" si="14"/>
        <v>9.6969020827824062E-4</v>
      </c>
      <c r="G98" s="13">
        <f t="shared" ca="1" si="15"/>
        <v>6.1865433412907678E-2</v>
      </c>
      <c r="H98" t="str">
        <f t="shared" ca="1" si="16"/>
        <v>No</v>
      </c>
      <c r="I98" s="5">
        <f t="shared" ca="1" si="17"/>
        <v>-1.3044720840190593E-2</v>
      </c>
    </row>
    <row r="99" spans="1:9" x14ac:dyDescent="0.2">
      <c r="A99">
        <v>0</v>
      </c>
      <c r="B99" t="str">
        <f ca="1">TEXT(WEEKDAY(C99),"ddd")</f>
        <v>Sun</v>
      </c>
      <c r="C99" s="2">
        <f ca="1">OFFSET(Data!$A$1,$C$27-A99,0,1,1)</f>
        <v>45396</v>
      </c>
      <c r="D99" s="5">
        <f ca="1">_xlfn.XLOOKUP(C99,Data!$A:$A,Data!$G:$G)</f>
        <v>2.211410880141873E-4</v>
      </c>
      <c r="E99" s="5">
        <f ca="1">$E$27+$F$27*_xlfn.XLOOKUP(C99,Data!$A:$A,Data!$F:$F)</f>
        <v>4.6792798080798909E-3</v>
      </c>
      <c r="F99" s="5">
        <f t="shared" ca="1" si="14"/>
        <v>-4.4581387200657036E-3</v>
      </c>
      <c r="G99" s="13">
        <f t="shared" ca="1" si="15"/>
        <v>-0.28442556372869088</v>
      </c>
      <c r="H99" t="str">
        <f t="shared" ca="1" si="16"/>
        <v>No</v>
      </c>
      <c r="I99" s="5">
        <f t="shared" ca="1" si="17"/>
        <v>-1.4000834576272547E-2</v>
      </c>
    </row>
    <row r="100" spans="1:9" x14ac:dyDescent="0.2">
      <c r="A100">
        <v>-1</v>
      </c>
      <c r="B100" t="str">
        <f t="shared" ca="1" si="13"/>
        <v>Thu</v>
      </c>
      <c r="C100" s="2">
        <f ca="1">OFFSET(Data!$A$1,$C$27-A100,0,1,1)</f>
        <v>45393</v>
      </c>
      <c r="D100" s="5">
        <f ca="1">_xlfn.XLOOKUP(C100,Data!$A:$A,Data!$G:$G)</f>
        <v>-7.6804915514593342E-3</v>
      </c>
      <c r="E100" s="5">
        <f ca="1">$E$27+$F$27*_xlfn.XLOOKUP(C100,Data!$A:$A,Data!$F:$F)</f>
        <v>-1.7235710421974255E-2</v>
      </c>
      <c r="F100" s="5">
        <f t="shared" ca="1" si="14"/>
        <v>9.5552188705149213E-3</v>
      </c>
      <c r="G100" s="13">
        <f t="shared" ca="1" si="15"/>
        <v>0.60961506234987173</v>
      </c>
      <c r="H100" t="str">
        <f t="shared" ca="1" si="16"/>
        <v>No</v>
      </c>
      <c r="I100" s="5">
        <f t="shared" ca="1" si="17"/>
        <v>-9.5854290285072308E-3</v>
      </c>
    </row>
    <row r="101" spans="1:9" x14ac:dyDescent="0.2">
      <c r="A101">
        <v>-2</v>
      </c>
      <c r="B101" t="str">
        <f t="shared" ca="1" si="13"/>
        <v>Wed</v>
      </c>
      <c r="C101" s="2">
        <f ca="1">OFFSET(Data!$A$1,$C$27-A101,0,1,1)</f>
        <v>45392</v>
      </c>
      <c r="D101" s="5">
        <f ca="1">_xlfn.XLOOKUP(C101,Data!$A:$A,Data!$G:$G)</f>
        <v>-1.1711125569290881E-2</v>
      </c>
      <c r="E101" s="5">
        <f ca="1">$E$27+$F$27*_xlfn.XLOOKUP(C101,Data!$A:$A,Data!$F:$F)</f>
        <v>-9.522693900736165E-3</v>
      </c>
      <c r="F101" s="5">
        <f t="shared" ca="1" si="14"/>
        <v>-2.1884316685547162E-3</v>
      </c>
      <c r="G101" s="13">
        <f t="shared" ca="1" si="15"/>
        <v>-0.13962013075295718</v>
      </c>
      <c r="H101" t="str">
        <f t="shared" ca="1" si="16"/>
        <v>No</v>
      </c>
      <c r="I101" s="5">
        <f t="shared" ca="1" si="17"/>
        <v>-1.8959485861938963E-2</v>
      </c>
    </row>
    <row r="102" spans="1:9" x14ac:dyDescent="0.2">
      <c r="A102">
        <v>-3</v>
      </c>
      <c r="B102" t="str">
        <f t="shared" ca="1" si="13"/>
        <v>Tue</v>
      </c>
      <c r="C102" s="2">
        <f ca="1">OFFSET(Data!$A$1,$C$27-A102,0,1,1)</f>
        <v>45391</v>
      </c>
      <c r="D102" s="5">
        <f ca="1">_xlfn.XLOOKUP(C102,Data!$A:$A,Data!$G:$G)</f>
        <v>-6.6781559672555169E-3</v>
      </c>
      <c r="E102" s="5">
        <f ca="1">$E$27+$F$27*_xlfn.XLOOKUP(C102,Data!$A:$A,Data!$F:$F)</f>
        <v>-1.045260041971092E-2</v>
      </c>
      <c r="F102" s="5">
        <f t="shared" ca="1" si="14"/>
        <v>3.7744444524554031E-3</v>
      </c>
      <c r="G102" s="13">
        <f t="shared" ca="1" si="15"/>
        <v>0.24080643482902572</v>
      </c>
      <c r="H102" t="str">
        <f t="shared" ca="1" si="16"/>
        <v>No</v>
      </c>
      <c r="I102" s="5">
        <f t="shared" ca="1" si="17"/>
        <v>-1.6807836996146519E-2</v>
      </c>
    </row>
    <row r="103" spans="1:9" x14ac:dyDescent="0.2">
      <c r="A103">
        <v>-4</v>
      </c>
      <c r="B103" t="str">
        <f t="shared" ca="1" si="13"/>
        <v>Mon</v>
      </c>
      <c r="C103" s="2">
        <f ca="1">OFFSET(Data!$A$1,$C$27-A103,0,1,1)</f>
        <v>45390</v>
      </c>
      <c r="D103" s="5">
        <f ca="1">_xlfn.XLOOKUP(C103,Data!$A:$A,Data!$G:$G)</f>
        <v>1.7313171159325069E-2</v>
      </c>
      <c r="E103" s="5">
        <f ca="1">$E$27+$F$27*_xlfn.XLOOKUP(C103,Data!$A:$A,Data!$F:$F)</f>
        <v>1.5834086322746833E-2</v>
      </c>
      <c r="F103" s="5">
        <f t="shared" ca="1" si="14"/>
        <v>1.4790848365782358E-3</v>
      </c>
      <c r="G103" s="13">
        <f t="shared" ca="1" si="15"/>
        <v>9.4364389459851372E-2</v>
      </c>
      <c r="H103" t="str">
        <f t="shared" ca="1" si="16"/>
        <v>No</v>
      </c>
      <c r="I103" s="5">
        <f t="shared" ca="1" si="17"/>
        <v>-2.0504886892024121E-2</v>
      </c>
    </row>
    <row r="104" spans="1:9" x14ac:dyDescent="0.2">
      <c r="A104">
        <v>-5</v>
      </c>
      <c r="B104" t="str">
        <f t="shared" ca="1" si="13"/>
        <v>Sun</v>
      </c>
      <c r="C104" s="2">
        <f ca="1">OFFSET(Data!$A$1,$C$27-A104,0,1,1)</f>
        <v>45389</v>
      </c>
      <c r="D104" s="5">
        <f ca="1">_xlfn.XLOOKUP(C104,Data!$A:$A,Data!$G:$G)</f>
        <v>2.8571428571428914E-3</v>
      </c>
      <c r="E104" s="5">
        <f ca="1">$E$27+$F$27*_xlfn.XLOOKUP(C104,Data!$A:$A,Data!$F:$F)</f>
        <v>1.4813986696385983E-2</v>
      </c>
      <c r="F104" s="5">
        <f t="shared" ca="1" si="14"/>
        <v>-1.1956843839243092E-2</v>
      </c>
      <c r="G104" s="13">
        <f t="shared" ca="1" si="15"/>
        <v>-0.7628367493559105</v>
      </c>
      <c r="H104" t="str">
        <f t="shared" ca="1" si="16"/>
        <v>No</v>
      </c>
      <c r="I104" s="5">
        <f t="shared" ca="1" si="17"/>
        <v>-2.1951503592498534E-2</v>
      </c>
    </row>
    <row r="105" spans="1:9" x14ac:dyDescent="0.2">
      <c r="A105">
        <v>-6</v>
      </c>
      <c r="B105" t="str">
        <f t="shared" ca="1" si="13"/>
        <v>Thu</v>
      </c>
      <c r="C105" s="2">
        <f ca="1">OFFSET(Data!$A$1,$C$27-A105,0,1,1)</f>
        <v>45386</v>
      </c>
      <c r="D105" s="5">
        <f ca="1">_xlfn.XLOOKUP(C105,Data!$A:$A,Data!$G:$G)</f>
        <v>-1.6216216216216162E-2</v>
      </c>
      <c r="E105" s="5">
        <f ca="1">$E$27+$F$27*_xlfn.XLOOKUP(C105,Data!$A:$A,Data!$F:$F)</f>
        <v>-1.659356137050259E-2</v>
      </c>
      <c r="F105" s="5">
        <f t="shared" ca="1" si="14"/>
        <v>3.7734515428642854E-4</v>
      </c>
      <c r="G105" s="13">
        <f t="shared" ca="1" si="15"/>
        <v>2.4074308801818867E-2</v>
      </c>
      <c r="H105" t="str">
        <f t="shared" ca="1" si="16"/>
        <v>No</v>
      </c>
      <c r="I105" s="5">
        <f t="shared" ca="1" si="17"/>
        <v>-1.0115610528685481E-2</v>
      </c>
    </row>
    <row r="106" spans="1:9" x14ac:dyDescent="0.2">
      <c r="A106">
        <v>-7</v>
      </c>
      <c r="B106" t="str">
        <f t="shared" ca="1" si="13"/>
        <v>Wed</v>
      </c>
      <c r="C106" s="2">
        <f ca="1">OFFSET(Data!$A$1,$C$27-A106,0,1,1)</f>
        <v>45385</v>
      </c>
      <c r="D106" s="5">
        <f ca="1">_xlfn.XLOOKUP(C106,Data!$A:$A,Data!$G:$G)</f>
        <v>-2.0127118644067798E-2</v>
      </c>
      <c r="E106" s="5">
        <f ca="1">$E$27+$F$27*_xlfn.XLOOKUP(C106,Data!$A:$A,Data!$F:$F)</f>
        <v>1.3491454363375405E-3</v>
      </c>
      <c r="F106" s="5">
        <f t="shared" ca="1" si="14"/>
        <v>-2.147626408040534E-2</v>
      </c>
      <c r="G106" s="13">
        <f t="shared" ca="1" si="15"/>
        <v>-1.3701678887563864</v>
      </c>
      <c r="H106" t="str">
        <f t="shared" ca="1" si="16"/>
        <v>No</v>
      </c>
      <c r="I106" s="5">
        <f t="shared" ca="1" si="17"/>
        <v>-1.0488997710512482E-2</v>
      </c>
    </row>
    <row r="107" spans="1:9" x14ac:dyDescent="0.2">
      <c r="A107">
        <v>-8</v>
      </c>
      <c r="B107" t="str">
        <f t="shared" ca="1" si="13"/>
        <v>Tue</v>
      </c>
      <c r="C107" s="2">
        <f ca="1">OFFSET(Data!$A$1,$C$27-A107,0,1,1)</f>
        <v>45384</v>
      </c>
      <c r="D107" s="5">
        <f ca="1">_xlfn.XLOOKUP(C107,Data!$A:$A,Data!$G:$G)</f>
        <v>-2.0746887966805017E-2</v>
      </c>
      <c r="E107" s="5">
        <f ca="1">$E$27+$F$27*_xlfn.XLOOKUP(C107,Data!$A:$A,Data!$F:$F)</f>
        <v>-1.5988155740113814E-2</v>
      </c>
      <c r="F107" s="5">
        <f t="shared" ca="1" si="14"/>
        <v>-4.7587322266912022E-3</v>
      </c>
      <c r="G107" s="13">
        <f t="shared" ca="1" si="15"/>
        <v>-0.30360318087872012</v>
      </c>
      <c r="H107" t="str">
        <f t="shared" ca="1" si="16"/>
        <v>No</v>
      </c>
      <c r="I107" s="5">
        <f t="shared" ca="1" si="17"/>
        <v>1.1228410682922574E-2</v>
      </c>
    </row>
    <row r="108" spans="1:9" x14ac:dyDescent="0.2">
      <c r="A108">
        <v>-9</v>
      </c>
      <c r="B108" t="str">
        <f t="shared" ca="1" si="13"/>
        <v>Mon</v>
      </c>
      <c r="C108" s="2">
        <f ca="1">OFFSET(Data!$A$1,$C$27-A108,0,1,1)</f>
        <v>45383</v>
      </c>
      <c r="D108" s="5">
        <f ca="1">_xlfn.XLOOKUP(C108,Data!$A:$A,Data!$G:$G)</f>
        <v>0</v>
      </c>
      <c r="E108" s="5">
        <f ca="1">$E$27+$F$27*_xlfn.XLOOKUP(C108,Data!$A:$A,Data!$F:$F)</f>
        <v>-1.6617907288448285E-3</v>
      </c>
      <c r="F108" s="5">
        <f t="shared" ca="1" si="14"/>
        <v>1.6617907288448285E-3</v>
      </c>
      <c r="G108" s="13">
        <f t="shared" ca="1" si="15"/>
        <v>0.10602087429972042</v>
      </c>
      <c r="H108" t="str">
        <f t="shared" ca="1" si="16"/>
        <v>No</v>
      </c>
      <c r="I108" s="5">
        <f t="shared" ca="1" si="17"/>
        <v>1.6063585210229991E-2</v>
      </c>
    </row>
    <row r="109" spans="1:9" x14ac:dyDescent="0.2">
      <c r="A109">
        <v>-10</v>
      </c>
      <c r="B109" t="str">
        <f t="shared" ca="1" si="13"/>
        <v>Sun</v>
      </c>
      <c r="C109" s="2">
        <f ca="1">OFFSET(Data!$A$1,$C$27-A109,0,1,1)</f>
        <v>45382</v>
      </c>
      <c r="D109" s="5">
        <f ca="1">_xlfn.XLOOKUP(C109,Data!$A:$A,Data!$G:$G)</f>
        <v>2.1186440677966045E-2</v>
      </c>
      <c r="E109" s="5">
        <f ca="1">$E$27+$F$27*_xlfn.XLOOKUP(C109,Data!$A:$A,Data!$F:$F)</f>
        <v>6.808539259857643E-3</v>
      </c>
      <c r="F109" s="5">
        <f t="shared" ca="1" si="14"/>
        <v>1.4377901418108402E-2</v>
      </c>
      <c r="G109" s="13">
        <f t="shared" ca="1" si="15"/>
        <v>0.91729822081910373</v>
      </c>
      <c r="H109" t="str">
        <f t="shared" ca="1" si="16"/>
        <v>No</v>
      </c>
      <c r="I109" s="5">
        <f ca="1">F109</f>
        <v>1.4377901418108402E-2</v>
      </c>
    </row>
    <row r="111" spans="1:9" x14ac:dyDescent="0.2">
      <c r="A111" s="3" t="s">
        <v>52</v>
      </c>
      <c r="B111" t="str">
        <f>E13</f>
        <v>Haniyeh assassinated in Tehran</v>
      </c>
    </row>
    <row r="112" spans="1:9" x14ac:dyDescent="0.2">
      <c r="A112" s="12" t="s">
        <v>42</v>
      </c>
      <c r="B112" s="12" t="s">
        <v>43</v>
      </c>
      <c r="C112" s="12" t="s">
        <v>0</v>
      </c>
      <c r="D112" s="12" t="s">
        <v>44</v>
      </c>
      <c r="E112" s="12" t="s">
        <v>45</v>
      </c>
      <c r="F112" s="12" t="s">
        <v>46</v>
      </c>
      <c r="G112" s="12" t="s">
        <v>47</v>
      </c>
      <c r="H112" s="12" t="s">
        <v>48</v>
      </c>
      <c r="I112" s="12" t="s">
        <v>49</v>
      </c>
    </row>
    <row r="113" spans="1:9" x14ac:dyDescent="0.2">
      <c r="A113">
        <v>10</v>
      </c>
      <c r="B113" t="str">
        <f t="shared" ref="B113:B133" ca="1" si="18">TEXT(WEEKDAY(C113),"ddd")</f>
        <v>Thu</v>
      </c>
      <c r="C113" s="2">
        <f ca="1">OFFSET(Data!$A$1,$C$28-A113,0,1,1)</f>
        <v>45519</v>
      </c>
      <c r="D113" s="5">
        <f ca="1">_xlfn.XLOOKUP(C113,Data!$A:$A,Data!$G:$G)</f>
        <v>3.2592592592592506E-2</v>
      </c>
      <c r="E113" s="5">
        <f ca="1">$E$28+$F$28*_xlfn.XLOOKUP(C113,Data!$A:$A,Data!$F:$F)</f>
        <v>1.8491173752700932E-2</v>
      </c>
      <c r="F113" s="5">
        <f t="shared" ref="F113:F133" ca="1" si="19">D113-E113</f>
        <v>1.4101418839891574E-2</v>
      </c>
      <c r="G113" s="13">
        <f t="shared" ref="G113:G133" ca="1" si="20">F113/$I$28</f>
        <v>0.97684133966850295</v>
      </c>
      <c r="H113" t="str">
        <f t="shared" ref="H113:H133" ca="1" si="21">IF(ABS(G113)&lt;$B$6,"No","Yes")</f>
        <v>No</v>
      </c>
      <c r="I113" s="5">
        <f t="shared" ref="I113:I132" ca="1" si="22">(1+I114)*(1+F113)-1</f>
        <v>4.8051618379838512E-3</v>
      </c>
    </row>
    <row r="114" spans="1:9" x14ac:dyDescent="0.2">
      <c r="A114">
        <v>9</v>
      </c>
      <c r="B114" t="str">
        <f t="shared" ca="1" si="18"/>
        <v>Wed</v>
      </c>
      <c r="C114" s="2">
        <f ca="1">OFFSET(Data!$A$1,$C$28-A114,0,1,1)</f>
        <v>45518</v>
      </c>
      <c r="D114" s="5">
        <f ca="1">_xlfn.XLOOKUP(C114,Data!$A:$A,Data!$G:$G)</f>
        <v>4.9627791563275903E-3</v>
      </c>
      <c r="E114" s="5">
        <f ca="1">$E$28+$F$28*_xlfn.XLOOKUP(C114,Data!$A:$A,Data!$F:$F)</f>
        <v>2.1127115387720798E-2</v>
      </c>
      <c r="F114" s="5">
        <f t="shared" ca="1" si="19"/>
        <v>-1.6164336231393208E-2</v>
      </c>
      <c r="G114" s="13">
        <f t="shared" ca="1" si="20"/>
        <v>-1.1197449021553685</v>
      </c>
      <c r="H114" t="str">
        <f t="shared" ca="1" si="21"/>
        <v>No</v>
      </c>
      <c r="I114" s="5">
        <f t="shared" ca="1" si="22"/>
        <v>-9.1669894442535371E-3</v>
      </c>
    </row>
    <row r="115" spans="1:9" x14ac:dyDescent="0.2">
      <c r="A115">
        <v>8</v>
      </c>
      <c r="B115" t="str">
        <f t="shared" ca="1" si="18"/>
        <v>Mon</v>
      </c>
      <c r="C115" s="2">
        <f ca="1">OFFSET(Data!$A$1,$C$28-A115,0,1,1)</f>
        <v>45516</v>
      </c>
      <c r="D115" s="5">
        <f ca="1">_xlfn.XLOOKUP(C115,Data!$A:$A,Data!$G:$G)</f>
        <v>-2.1131892154481413E-2</v>
      </c>
      <c r="E115" s="5">
        <f ca="1">$E$28+$F$28*_xlfn.XLOOKUP(C115,Data!$A:$A,Data!$F:$F)</f>
        <v>-1.7178800404380534E-2</v>
      </c>
      <c r="F115" s="5">
        <f t="shared" ca="1" si="19"/>
        <v>-3.9530917501008796E-3</v>
      </c>
      <c r="G115" s="13">
        <f t="shared" ca="1" si="20"/>
        <v>-0.27384077338920754</v>
      </c>
      <c r="H115" t="str">
        <f t="shared" ca="1" si="21"/>
        <v>No</v>
      </c>
      <c r="I115" s="5">
        <f t="shared" ca="1" si="22"/>
        <v>7.1123125993788339E-3</v>
      </c>
    </row>
    <row r="116" spans="1:9" x14ac:dyDescent="0.2">
      <c r="A116">
        <v>7</v>
      </c>
      <c r="B116" t="str">
        <f t="shared" ca="1" si="18"/>
        <v>Sun</v>
      </c>
      <c r="C116" s="2">
        <f ca="1">OFFSET(Data!$A$1,$C$28-A116,0,1,1)</f>
        <v>45515</v>
      </c>
      <c r="D116" s="5">
        <f ca="1">_xlfn.XLOOKUP(C116,Data!$A:$A,Data!$G:$G)</f>
        <v>-1.0098581389757166E-2</v>
      </c>
      <c r="E116" s="5">
        <f ca="1">$E$28+$F$28*_xlfn.XLOOKUP(C116,Data!$A:$A,Data!$F:$F)</f>
        <v>3.438118687783244E-3</v>
      </c>
      <c r="F116" s="5">
        <f t="shared" ca="1" si="19"/>
        <v>-1.353670007754041E-2</v>
      </c>
      <c r="G116" s="13">
        <f t="shared" ca="1" si="20"/>
        <v>-0.9377218270425457</v>
      </c>
      <c r="H116" t="str">
        <f t="shared" ca="1" si="21"/>
        <v>No</v>
      </c>
      <c r="I116" s="5">
        <f t="shared" ca="1" si="22"/>
        <v>1.1109320512747933E-2</v>
      </c>
    </row>
    <row r="117" spans="1:9" x14ac:dyDescent="0.2">
      <c r="A117">
        <v>6</v>
      </c>
      <c r="B117" t="str">
        <f t="shared" ca="1" si="18"/>
        <v>Thu</v>
      </c>
      <c r="C117" s="2">
        <f ca="1">OFFSET(Data!$A$1,$C$28-A117,0,1,1)</f>
        <v>45512</v>
      </c>
      <c r="D117" s="5">
        <f ca="1">_xlfn.XLOOKUP(C117,Data!$A:$A,Data!$G:$G)</f>
        <v>2.9710324337707261E-2</v>
      </c>
      <c r="E117" s="5">
        <f ca="1">$E$28+$F$28*_xlfn.XLOOKUP(C117,Data!$A:$A,Data!$F:$F)</f>
        <v>1.5499998027389146E-2</v>
      </c>
      <c r="F117" s="5">
        <f t="shared" ca="1" si="19"/>
        <v>1.4210326310318116E-2</v>
      </c>
      <c r="G117" s="13">
        <f t="shared" ca="1" si="20"/>
        <v>0.98438563861595474</v>
      </c>
      <c r="H117" t="str">
        <f t="shared" ca="1" si="21"/>
        <v>No</v>
      </c>
      <c r="I117" s="5">
        <f t="shared" ca="1" si="22"/>
        <v>2.4984224544618794E-2</v>
      </c>
    </row>
    <row r="118" spans="1:9" x14ac:dyDescent="0.2">
      <c r="A118">
        <v>5</v>
      </c>
      <c r="B118" t="str">
        <f t="shared" ca="1" si="18"/>
        <v>Wed</v>
      </c>
      <c r="C118" s="2">
        <f ca="1">OFFSET(Data!$A$1,$C$28-A118,0,1,1)</f>
        <v>45511</v>
      </c>
      <c r="D118" s="5">
        <f ca="1">_xlfn.XLOOKUP(C118,Data!$A:$A,Data!$G:$G)</f>
        <v>1.4824120603015079E-2</v>
      </c>
      <c r="E118" s="5">
        <f ca="1">$E$28+$F$28*_xlfn.XLOOKUP(C118,Data!$A:$A,Data!$F:$F)</f>
        <v>2.1107643472678288E-2</v>
      </c>
      <c r="F118" s="5">
        <f t="shared" ca="1" si="19"/>
        <v>-6.2835228696632092E-3</v>
      </c>
      <c r="G118" s="13">
        <f t="shared" ca="1" si="20"/>
        <v>-0.43527569583818421</v>
      </c>
      <c r="H118" t="str">
        <f t="shared" ca="1" si="21"/>
        <v>No</v>
      </c>
      <c r="I118" s="5">
        <f t="shared" ca="1" si="22"/>
        <v>1.0622942751427056E-2</v>
      </c>
    </row>
    <row r="119" spans="1:9" x14ac:dyDescent="0.2">
      <c r="A119">
        <v>4</v>
      </c>
      <c r="B119" t="str">
        <f t="shared" ca="1" si="18"/>
        <v>Tue</v>
      </c>
      <c r="C119" s="2">
        <f ca="1">OFFSET(Data!$A$1,$C$28-A119,0,1,1)</f>
        <v>45510</v>
      </c>
      <c r="D119" s="5">
        <f ca="1">_xlfn.XLOOKUP(C119,Data!$A:$A,Data!$G:$G)</f>
        <v>1.7618927762397263E-3</v>
      </c>
      <c r="E119" s="5">
        <f ca="1">$E$28+$F$28*_xlfn.XLOOKUP(C119,Data!$A:$A,Data!$F:$F)</f>
        <v>1.8369710090032902E-2</v>
      </c>
      <c r="F119" s="5">
        <f t="shared" ca="1" si="19"/>
        <v>-1.6607817313793176E-2</v>
      </c>
      <c r="G119" s="13">
        <f t="shared" ca="1" si="20"/>
        <v>-1.1504659706923666</v>
      </c>
      <c r="H119" t="str">
        <f t="shared" ca="1" si="21"/>
        <v>No</v>
      </c>
      <c r="I119" s="5">
        <f t="shared" ca="1" si="22"/>
        <v>1.7013369517543842E-2</v>
      </c>
    </row>
    <row r="120" spans="1:9" x14ac:dyDescent="0.2">
      <c r="A120">
        <v>3</v>
      </c>
      <c r="B120" t="str">
        <f t="shared" ca="1" si="18"/>
        <v>Mon</v>
      </c>
      <c r="C120" s="2">
        <f ca="1">OFFSET(Data!$A$1,$C$28-A120,0,1,1)</f>
        <v>45509</v>
      </c>
      <c r="D120" s="5">
        <f ca="1">_xlfn.XLOOKUP(C120,Data!$A:$A,Data!$G:$G)</f>
        <v>0</v>
      </c>
      <c r="E120" s="5">
        <f ca="1">$E$28+$F$28*_xlfn.XLOOKUP(C120,Data!$A:$A,Data!$F:$F)</f>
        <v>-1.0065005941061146E-2</v>
      </c>
      <c r="F120" s="5">
        <f t="shared" ca="1" si="19"/>
        <v>1.0065005941061146E-2</v>
      </c>
      <c r="G120" s="13">
        <f t="shared" ca="1" si="20"/>
        <v>0.69722869725875103</v>
      </c>
      <c r="H120" t="str">
        <f t="shared" ca="1" si="21"/>
        <v>No</v>
      </c>
      <c r="I120" s="5">
        <f t="shared" ca="1" si="22"/>
        <v>3.418899135388509E-2</v>
      </c>
    </row>
    <row r="121" spans="1:9" x14ac:dyDescent="0.2">
      <c r="A121">
        <v>2</v>
      </c>
      <c r="B121" t="str">
        <f t="shared" ca="1" si="18"/>
        <v>Sun</v>
      </c>
      <c r="C121" s="2">
        <f ca="1">OFFSET(Data!$A$1,$C$28-A121,0,1,1)</f>
        <v>45508</v>
      </c>
      <c r="D121" s="5">
        <f ca="1">_xlfn.XLOOKUP(C121,Data!$A:$A,Data!$G:$G)</f>
        <v>1.871794871794874E-2</v>
      </c>
      <c r="E121" s="5">
        <f ca="1">$E$28+$F$28*_xlfn.XLOOKUP(C121,Data!$A:$A,Data!$F:$F)</f>
        <v>-2.6883382861901207E-2</v>
      </c>
      <c r="F121" s="5">
        <f t="shared" ca="1" si="19"/>
        <v>4.5601331579849948E-2</v>
      </c>
      <c r="G121" s="13">
        <f t="shared" ca="1" si="20"/>
        <v>3.1589208388813974</v>
      </c>
      <c r="H121" t="str">
        <f t="shared" ca="1" si="21"/>
        <v>Yes</v>
      </c>
      <c r="I121" s="5">
        <f t="shared" ca="1" si="22"/>
        <v>2.3883596868448986E-2</v>
      </c>
    </row>
    <row r="122" spans="1:9" x14ac:dyDescent="0.2">
      <c r="A122">
        <v>1</v>
      </c>
      <c r="B122" t="str">
        <f t="shared" ca="1" si="18"/>
        <v>Thu</v>
      </c>
      <c r="C122" s="2">
        <f ca="1">OFFSET(Data!$A$1,$C$28-A122,0,1,1)</f>
        <v>45505</v>
      </c>
      <c r="D122" s="5">
        <f ca="1">_xlfn.XLOOKUP(C122,Data!$A:$A,Data!$G:$G)</f>
        <v>-2.5487256371814038E-2</v>
      </c>
      <c r="E122" s="5">
        <f ca="1">$E$28+$F$28*_xlfn.XLOOKUP(C122,Data!$A:$A,Data!$F:$F)</f>
        <v>-1.8225353711838251E-2</v>
      </c>
      <c r="F122" s="5">
        <f t="shared" ca="1" si="19"/>
        <v>-7.2619026599757865E-3</v>
      </c>
      <c r="G122" s="13">
        <f t="shared" ca="1" si="20"/>
        <v>-0.50305056558177919</v>
      </c>
      <c r="H122" t="str">
        <f t="shared" ca="1" si="21"/>
        <v>No</v>
      </c>
      <c r="I122" s="5">
        <f t="shared" ca="1" si="22"/>
        <v>-2.0770569102648961E-2</v>
      </c>
    </row>
    <row r="123" spans="1:9" x14ac:dyDescent="0.2">
      <c r="A123">
        <v>0</v>
      </c>
      <c r="B123" t="str">
        <f t="shared" ca="1" si="18"/>
        <v>Wed</v>
      </c>
      <c r="C123" s="2">
        <f ca="1">OFFSET(Data!$A$1,$C$28-A123,0,1,1)</f>
        <v>45504</v>
      </c>
      <c r="D123" s="5">
        <f ca="1">_xlfn.XLOOKUP(C123,Data!$A:$A,Data!$G:$G)</f>
        <v>0</v>
      </c>
      <c r="E123" s="5">
        <f ca="1">$E$28+$F$28*_xlfn.XLOOKUP(C123,Data!$A:$A,Data!$F:$F)</f>
        <v>2.1991200973243601E-3</v>
      </c>
      <c r="F123" s="5">
        <f t="shared" ca="1" si="19"/>
        <v>-2.1991200973243601E-3</v>
      </c>
      <c r="G123" s="13">
        <f t="shared" ca="1" si="20"/>
        <v>-0.15233867218277547</v>
      </c>
      <c r="H123" t="str">
        <f t="shared" ca="1" si="21"/>
        <v>No</v>
      </c>
      <c r="I123" s="5">
        <f t="shared" ca="1" si="22"/>
        <v>-1.3607482657176817E-2</v>
      </c>
    </row>
    <row r="124" spans="1:9" x14ac:dyDescent="0.2">
      <c r="A124">
        <v>-1</v>
      </c>
      <c r="B124" t="str">
        <f t="shared" ca="1" si="18"/>
        <v>Tue</v>
      </c>
      <c r="C124" s="2">
        <f ca="1">OFFSET(Data!$A$1,$C$28-A124,0,1,1)</f>
        <v>45503</v>
      </c>
      <c r="D124" s="5">
        <f ca="1">_xlfn.XLOOKUP(C124,Data!$A:$A,Data!$G:$G)</f>
        <v>-2.989536621823663E-3</v>
      </c>
      <c r="E124" s="5">
        <f ca="1">$E$28+$F$28*_xlfn.XLOOKUP(C124,Data!$A:$A,Data!$F:$F)</f>
        <v>-1.0003451128732386E-2</v>
      </c>
      <c r="F124" s="5">
        <f t="shared" ca="1" si="19"/>
        <v>7.0139145069087229E-3</v>
      </c>
      <c r="G124" s="13">
        <f t="shared" ca="1" si="20"/>
        <v>0.48587179212540471</v>
      </c>
      <c r="H124" t="str">
        <f t="shared" ca="1" si="21"/>
        <v>No</v>
      </c>
      <c r="I124" s="5">
        <f t="shared" ca="1" si="22"/>
        <v>-1.1433506213148648E-2</v>
      </c>
    </row>
    <row r="125" spans="1:9" x14ac:dyDescent="0.2">
      <c r="A125">
        <v>-2</v>
      </c>
      <c r="B125" t="str">
        <f t="shared" ca="1" si="18"/>
        <v>Mon</v>
      </c>
      <c r="C125" s="2">
        <f ca="1">OFFSET(Data!$A$1,$C$28-A125,0,1,1)</f>
        <v>45502</v>
      </c>
      <c r="D125" s="5">
        <f ca="1">_xlfn.XLOOKUP(C125,Data!$A:$A,Data!$G:$G)</f>
        <v>-1.1573504063038698E-2</v>
      </c>
      <c r="E125" s="5">
        <f ca="1">$E$28+$F$28*_xlfn.XLOOKUP(C125,Data!$A:$A,Data!$F:$F)</f>
        <v>4.0443114944299042E-3</v>
      </c>
      <c r="F125" s="5">
        <f t="shared" ca="1" si="19"/>
        <v>-1.5617815557468603E-2</v>
      </c>
      <c r="G125" s="13">
        <f t="shared" ca="1" si="20"/>
        <v>-1.0818860176463294</v>
      </c>
      <c r="H125" t="str">
        <f t="shared" ca="1" si="21"/>
        <v>No</v>
      </c>
      <c r="I125" s="5">
        <f t="shared" ca="1" si="22"/>
        <v>-1.8318933288116845E-2</v>
      </c>
    </row>
    <row r="126" spans="1:9" x14ac:dyDescent="0.2">
      <c r="A126">
        <v>-3</v>
      </c>
      <c r="B126" t="str">
        <f t="shared" ca="1" si="18"/>
        <v>Sun</v>
      </c>
      <c r="C126" s="2">
        <f ca="1">OFFSET(Data!$A$1,$C$28-A126,0,1,1)</f>
        <v>45501</v>
      </c>
      <c r="D126" s="5">
        <f ca="1">_xlfn.XLOOKUP(C126,Data!$A:$A,Data!$G:$G)</f>
        <v>-3.2404098165356165E-2</v>
      </c>
      <c r="E126" s="5">
        <f ca="1">$E$28+$F$28*_xlfn.XLOOKUP(C126,Data!$A:$A,Data!$F:$F)</f>
        <v>-2.8399162650809683E-2</v>
      </c>
      <c r="F126" s="5">
        <f t="shared" ca="1" si="19"/>
        <v>-4.0049355145464829E-3</v>
      </c>
      <c r="G126" s="13">
        <f t="shared" ca="1" si="20"/>
        <v>-0.27743212351429114</v>
      </c>
      <c r="H126" t="str">
        <f t="shared" ca="1" si="21"/>
        <v>No</v>
      </c>
      <c r="I126" s="5">
        <f t="shared" ca="1" si="22"/>
        <v>-2.7439725884291777E-3</v>
      </c>
    </row>
    <row r="127" spans="1:9" x14ac:dyDescent="0.2">
      <c r="A127">
        <v>-4</v>
      </c>
      <c r="B127" t="str">
        <f t="shared" ca="1" si="18"/>
        <v>Thu</v>
      </c>
      <c r="C127" s="2">
        <f ca="1">OFFSET(Data!$A$1,$C$28-A127,0,1,1)</f>
        <v>45498</v>
      </c>
      <c r="D127" s="5">
        <f ca="1">_xlfn.XLOOKUP(C127,Data!$A:$A,Data!$G:$G)</f>
        <v>-8.9728453364816829E-3</v>
      </c>
      <c r="E127" s="5">
        <f ca="1">$E$28+$F$28*_xlfn.XLOOKUP(C127,Data!$A:$A,Data!$F:$F)</f>
        <v>-5.9866768495567347E-3</v>
      </c>
      <c r="F127" s="5">
        <f t="shared" ca="1" si="19"/>
        <v>-2.9861684869249483E-3</v>
      </c>
      <c r="G127" s="13">
        <f t="shared" ca="1" si="20"/>
        <v>-0.20685952657414025</v>
      </c>
      <c r="H127" t="str">
        <f t="shared" ca="1" si="21"/>
        <v>No</v>
      </c>
      <c r="I127" s="5">
        <f t="shared" ca="1" si="22"/>
        <v>1.2660333078746699E-3</v>
      </c>
    </row>
    <row r="128" spans="1:9" x14ac:dyDescent="0.2">
      <c r="A128">
        <v>-5</v>
      </c>
      <c r="B128" t="str">
        <f t="shared" ca="1" si="18"/>
        <v>Wed</v>
      </c>
      <c r="C128" s="2">
        <f ca="1">OFFSET(Data!$A$1,$C$28-A128,0,1,1)</f>
        <v>45497</v>
      </c>
      <c r="D128" s="5">
        <f ca="1">_xlfn.XLOOKUP(C128,Data!$A:$A,Data!$G:$G)</f>
        <v>0</v>
      </c>
      <c r="E128" s="5">
        <f ca="1">$E$28+$F$28*_xlfn.XLOOKUP(C128,Data!$A:$A,Data!$F:$F)</f>
        <v>-2.9938028245815275E-3</v>
      </c>
      <c r="F128" s="5">
        <f t="shared" ca="1" si="19"/>
        <v>2.9938028245815275E-3</v>
      </c>
      <c r="G128" s="13">
        <f t="shared" ca="1" si="20"/>
        <v>0.20738837666423457</v>
      </c>
      <c r="H128" t="str">
        <f t="shared" ca="1" si="21"/>
        <v>No</v>
      </c>
      <c r="I128" s="5">
        <f t="shared" ca="1" si="22"/>
        <v>4.2649376171104425E-3</v>
      </c>
    </row>
    <row r="129" spans="1:9" x14ac:dyDescent="0.2">
      <c r="A129">
        <v>-6</v>
      </c>
      <c r="B129" t="str">
        <f t="shared" ca="1" si="18"/>
        <v>Tue</v>
      </c>
      <c r="C129" s="2">
        <f ca="1">OFFSET(Data!$A$1,$C$28-A129,0,1,1)</f>
        <v>45496</v>
      </c>
      <c r="D129" s="5">
        <f ca="1">_xlfn.XLOOKUP(C129,Data!$A:$A,Data!$G:$G)</f>
        <v>5.9382422802849444E-3</v>
      </c>
      <c r="E129" s="5">
        <f ca="1">$E$28+$F$28*_xlfn.XLOOKUP(C129,Data!$A:$A,Data!$F:$F)</f>
        <v>1.7225845860799553E-2</v>
      </c>
      <c r="F129" s="5">
        <f t="shared" ca="1" si="19"/>
        <v>-1.1287603580514609E-2</v>
      </c>
      <c r="G129" s="13">
        <f t="shared" ca="1" si="20"/>
        <v>-0.78192116186527383</v>
      </c>
      <c r="H129" t="str">
        <f t="shared" ca="1" si="21"/>
        <v>No</v>
      </c>
      <c r="I129" s="5">
        <f t="shared" ca="1" si="22"/>
        <v>1.267340624587332E-3</v>
      </c>
    </row>
    <row r="130" spans="1:9" x14ac:dyDescent="0.2">
      <c r="A130">
        <v>-7</v>
      </c>
      <c r="B130" t="str">
        <f t="shared" ca="1" si="18"/>
        <v>Mon</v>
      </c>
      <c r="C130" s="2">
        <f ca="1">OFFSET(Data!$A$1,$C$28-A130,0,1,1)</f>
        <v>45495</v>
      </c>
      <c r="D130" s="5">
        <f ca="1">_xlfn.XLOOKUP(C130,Data!$A:$A,Data!$G:$G)</f>
        <v>-9.8777046095954724E-3</v>
      </c>
      <c r="E130" s="5">
        <f ca="1">$E$28+$F$28*_xlfn.XLOOKUP(C130,Data!$A:$A,Data!$F:$F)</f>
        <v>7.4131624055362678E-3</v>
      </c>
      <c r="F130" s="5">
        <f t="shared" ca="1" si="19"/>
        <v>-1.7290867015131741E-2</v>
      </c>
      <c r="G130" s="13">
        <f t="shared" ca="1" si="20"/>
        <v>-1.1977825700283284</v>
      </c>
      <c r="H130" t="str">
        <f t="shared" ca="1" si="21"/>
        <v>No</v>
      </c>
      <c r="I130" s="5">
        <f t="shared" ca="1" si="22"/>
        <v>1.269827732571005E-2</v>
      </c>
    </row>
    <row r="131" spans="1:9" x14ac:dyDescent="0.2">
      <c r="A131">
        <v>-8</v>
      </c>
      <c r="B131" t="str">
        <f t="shared" ca="1" si="18"/>
        <v>Sun</v>
      </c>
      <c r="C131" s="2">
        <f ca="1">OFFSET(Data!$A$1,$C$28-A131,0,1,1)</f>
        <v>45494</v>
      </c>
      <c r="D131" s="5">
        <f ca="1">_xlfn.XLOOKUP(C131,Data!$A:$A,Data!$G:$G)</f>
        <v>-6.077606358111276E-3</v>
      </c>
      <c r="E131" s="5">
        <f ca="1">$E$28+$F$28*_xlfn.XLOOKUP(C131,Data!$A:$A,Data!$F:$F)</f>
        <v>-1.0509085456984738E-2</v>
      </c>
      <c r="F131" s="5">
        <f t="shared" ca="1" si="19"/>
        <v>4.4314790988734618E-3</v>
      </c>
      <c r="G131" s="13">
        <f t="shared" ca="1" si="20"/>
        <v>0.30697988825142986</v>
      </c>
      <c r="H131" t="str">
        <f t="shared" ca="1" si="21"/>
        <v>No</v>
      </c>
      <c r="I131" s="5">
        <f t="shared" ca="1" si="22"/>
        <v>3.0516806381714501E-2</v>
      </c>
    </row>
    <row r="132" spans="1:9" x14ac:dyDescent="0.2">
      <c r="A132">
        <v>-9</v>
      </c>
      <c r="B132" t="str">
        <f t="shared" ca="1" si="18"/>
        <v>Thu</v>
      </c>
      <c r="C132" s="2">
        <f ca="1">OFFSET(Data!$A$1,$C$28-A132,0,1,1)</f>
        <v>45491</v>
      </c>
      <c r="D132" s="5">
        <f ca="1">_xlfn.XLOOKUP(C132,Data!$A:$A,Data!$G:$G)</f>
        <v>-7.6548364648573175E-3</v>
      </c>
      <c r="E132" s="5">
        <f ca="1">$E$28+$F$28*_xlfn.XLOOKUP(C132,Data!$A:$A,Data!$F:$F)</f>
        <v>-4.7769478660246089E-3</v>
      </c>
      <c r="F132" s="5">
        <f t="shared" ca="1" si="19"/>
        <v>-2.8778885988327086E-3</v>
      </c>
      <c r="G132" s="13">
        <f t="shared" ca="1" si="20"/>
        <v>-0.19935870185968249</v>
      </c>
      <c r="H132" t="str">
        <f t="shared" ca="1" si="21"/>
        <v>No</v>
      </c>
      <c r="I132" s="5">
        <f t="shared" ca="1" si="22"/>
        <v>2.5970240703968583E-2</v>
      </c>
    </row>
    <row r="133" spans="1:9" x14ac:dyDescent="0.2">
      <c r="A133">
        <v>-10</v>
      </c>
      <c r="B133" t="str">
        <f t="shared" ca="1" si="18"/>
        <v>Wed</v>
      </c>
      <c r="C133" s="2">
        <f ca="1">OFFSET(Data!$A$1,$C$28-A133,0,1,1)</f>
        <v>45490</v>
      </c>
      <c r="D133" s="5">
        <f ca="1">_xlfn.XLOOKUP(C133,Data!$A:$A,Data!$G:$G)</f>
        <v>2.2533206831119479E-2</v>
      </c>
      <c r="E133" s="5">
        <f ca="1">$E$28+$F$28*_xlfn.XLOOKUP(C133,Data!$A:$A,Data!$F:$F)</f>
        <v>-6.3981837909013739E-3</v>
      </c>
      <c r="F133" s="5">
        <f t="shared" ca="1" si="19"/>
        <v>2.8931390622020853E-2</v>
      </c>
      <c r="G133" s="13">
        <f t="shared" ca="1" si="20"/>
        <v>2.0041514045195834</v>
      </c>
      <c r="H133" t="str">
        <f t="shared" ca="1" si="21"/>
        <v>Yes</v>
      </c>
      <c r="I133" s="5">
        <f ca="1">F133</f>
        <v>2.8931390622020853E-2</v>
      </c>
    </row>
    <row r="135" spans="1:9" x14ac:dyDescent="0.2">
      <c r="A135" s="3" t="s">
        <v>53</v>
      </c>
      <c r="B135" t="str">
        <f>E14</f>
        <v>Iran second attack (~180 missiles)</v>
      </c>
    </row>
    <row r="136" spans="1:9" x14ac:dyDescent="0.2">
      <c r="A136" s="12" t="s">
        <v>42</v>
      </c>
      <c r="B136" s="12" t="s">
        <v>43</v>
      </c>
      <c r="C136" s="12" t="s">
        <v>0</v>
      </c>
      <c r="D136" s="12" t="s">
        <v>44</v>
      </c>
      <c r="E136" s="12" t="s">
        <v>45</v>
      </c>
      <c r="F136" s="12" t="s">
        <v>46</v>
      </c>
      <c r="G136" s="12" t="s">
        <v>47</v>
      </c>
      <c r="H136" s="12" t="s">
        <v>48</v>
      </c>
      <c r="I136" s="12" t="s">
        <v>49</v>
      </c>
    </row>
    <row r="137" spans="1:9" x14ac:dyDescent="0.2">
      <c r="A137">
        <v>10</v>
      </c>
      <c r="B137" t="str">
        <f t="shared" ref="B137:B157" ca="1" si="23">TEXT(WEEKDAY(C137),"ddd")</f>
        <v>Tue</v>
      </c>
      <c r="C137" s="2">
        <f ca="1">OFFSET(Data!$A$1,$C$29-A137,0,1,1)</f>
        <v>45587</v>
      </c>
      <c r="D137" s="5">
        <f ca="1">_xlfn.XLOOKUP(C137,Data!$A:$A,Data!$G:$G)</f>
        <v>-3.0232558139534849E-2</v>
      </c>
      <c r="E137" s="5">
        <f ca="1">$E$29+$F$29*_xlfn.XLOOKUP(C137,Data!$A:$A,Data!$F:$F)</f>
        <v>-1.0630151707141143E-2</v>
      </c>
      <c r="F137" s="5">
        <f t="shared" ref="F137:F157" ca="1" si="24">D137-E137</f>
        <v>-1.9602406432393707E-2</v>
      </c>
      <c r="G137" s="13">
        <f t="shared" ref="G137:G157" ca="1" si="25">F137/$I$29</f>
        <v>-1.3348956209126634</v>
      </c>
      <c r="H137" t="str">
        <f t="shared" ref="H137:H157" ca="1" si="26">IF(ABS(G137)&lt;$B$6,"No","Yes")</f>
        <v>No</v>
      </c>
      <c r="I137" s="5">
        <f t="shared" ref="I137:I156" ca="1" si="27">(1+I138)*(1+F137)-1</f>
        <v>-1.9452504483627009E-2</v>
      </c>
    </row>
    <row r="138" spans="1:9" x14ac:dyDescent="0.2">
      <c r="A138">
        <v>9</v>
      </c>
      <c r="B138" t="str">
        <f t="shared" ca="1" si="23"/>
        <v>Mon</v>
      </c>
      <c r="C138" s="2">
        <f ca="1">OFFSET(Data!$A$1,$C$29-A138,0,1,1)</f>
        <v>45586</v>
      </c>
      <c r="D138" s="5">
        <f ca="1">_xlfn.XLOOKUP(C138,Data!$A:$A,Data!$G:$G)</f>
        <v>-1.6018306636155555E-2</v>
      </c>
      <c r="E138" s="5">
        <f ca="1">$E$29+$F$29*_xlfn.XLOOKUP(C138,Data!$A:$A,Data!$F:$F)</f>
        <v>-2.6115608145985997E-3</v>
      </c>
      <c r="F138" s="5">
        <f t="shared" ca="1" si="24"/>
        <v>-1.3406745821556956E-2</v>
      </c>
      <c r="G138" s="13">
        <f t="shared" ca="1" si="25"/>
        <v>-0.91298006444304314</v>
      </c>
      <c r="H138" t="str">
        <f t="shared" ca="1" si="26"/>
        <v>No</v>
      </c>
      <c r="I138" s="5">
        <f t="shared" ca="1" si="27"/>
        <v>1.5289913984917192E-4</v>
      </c>
    </row>
    <row r="139" spans="1:9" x14ac:dyDescent="0.2">
      <c r="A139">
        <v>8</v>
      </c>
      <c r="B139" t="str">
        <f t="shared" ca="1" si="23"/>
        <v>Sun</v>
      </c>
      <c r="C139" s="2">
        <f ca="1">OFFSET(Data!$A$1,$C$29-A139,0,1,1)</f>
        <v>45585</v>
      </c>
      <c r="D139" s="5">
        <f ca="1">_xlfn.XLOOKUP(C139,Data!$A:$A,Data!$G:$G)</f>
        <v>6.5074335851815768E-2</v>
      </c>
      <c r="E139" s="5">
        <f ca="1">$E$29+$F$29*_xlfn.XLOOKUP(C139,Data!$A:$A,Data!$F:$F)</f>
        <v>2.576012736650268E-2</v>
      </c>
      <c r="F139" s="5">
        <f t="shared" ca="1" si="24"/>
        <v>3.9314208485313085E-2</v>
      </c>
      <c r="G139" s="13">
        <f t="shared" ca="1" si="25"/>
        <v>2.6772409258878622</v>
      </c>
      <c r="H139" t="str">
        <f t="shared" ca="1" si="26"/>
        <v>Yes</v>
      </c>
      <c r="I139" s="5">
        <f t="shared" ca="1" si="27"/>
        <v>1.374390601595743E-2</v>
      </c>
    </row>
    <row r="140" spans="1:9" x14ac:dyDescent="0.2">
      <c r="A140">
        <v>7</v>
      </c>
      <c r="B140" t="str">
        <f t="shared" ca="1" si="23"/>
        <v>Tue</v>
      </c>
      <c r="C140" s="2">
        <f ca="1">OFFSET(Data!$A$1,$C$29-A140,0,1,1)</f>
        <v>45580</v>
      </c>
      <c r="D140" s="5">
        <f ca="1">_xlfn.XLOOKUP(C140,Data!$A:$A,Data!$G:$G)</f>
        <v>1.6852540272614513E-2</v>
      </c>
      <c r="E140" s="5">
        <f ca="1">$E$29+$F$29*_xlfn.XLOOKUP(C140,Data!$A:$A,Data!$F:$F)</f>
        <v>8.0638359561684032E-3</v>
      </c>
      <c r="F140" s="5">
        <f t="shared" ca="1" si="24"/>
        <v>8.7887043164461102E-3</v>
      </c>
      <c r="G140" s="13">
        <f t="shared" ca="1" si="25"/>
        <v>0.59849809491413075</v>
      </c>
      <c r="H140" t="str">
        <f t="shared" ca="1" si="26"/>
        <v>No</v>
      </c>
      <c r="I140" s="5">
        <f t="shared" ca="1" si="27"/>
        <v>-2.4603052917578694E-2</v>
      </c>
    </row>
    <row r="141" spans="1:9" x14ac:dyDescent="0.2">
      <c r="A141">
        <v>6</v>
      </c>
      <c r="B141" t="str">
        <f t="shared" ca="1" si="23"/>
        <v>Mon</v>
      </c>
      <c r="C141" s="2">
        <f ca="1">OFFSET(Data!$A$1,$C$29-A141,0,1,1)</f>
        <v>45579</v>
      </c>
      <c r="D141" s="5">
        <f ca="1">_xlfn.XLOOKUP(C141,Data!$A:$A,Data!$G:$G)</f>
        <v>4.9590875278937574E-4</v>
      </c>
      <c r="E141" s="5">
        <f ca="1">$E$29+$F$29*_xlfn.XLOOKUP(C141,Data!$A:$A,Data!$F:$F)</f>
        <v>7.7445816820387184E-3</v>
      </c>
      <c r="F141" s="5">
        <f t="shared" ca="1" si="24"/>
        <v>-7.2486729292493427E-3</v>
      </c>
      <c r="G141" s="13">
        <f t="shared" ca="1" si="25"/>
        <v>-0.49362417742205367</v>
      </c>
      <c r="H141" t="str">
        <f t="shared" ca="1" si="26"/>
        <v>No</v>
      </c>
      <c r="I141" s="5">
        <f t="shared" ca="1" si="27"/>
        <v>-3.3100843706067251E-2</v>
      </c>
    </row>
    <row r="142" spans="1:9" x14ac:dyDescent="0.2">
      <c r="A142">
        <v>5</v>
      </c>
      <c r="B142" t="str">
        <f t="shared" ca="1" si="23"/>
        <v>Sun</v>
      </c>
      <c r="C142" s="2">
        <f ca="1">OFFSET(Data!$A$1,$C$29-A142,0,1,1)</f>
        <v>45578</v>
      </c>
      <c r="D142" s="5">
        <f ca="1">_xlfn.XLOOKUP(C142,Data!$A:$A,Data!$G:$G)</f>
        <v>-1.9797079930710115E-3</v>
      </c>
      <c r="E142" s="5">
        <f ca="1">$E$29+$F$29*_xlfn.XLOOKUP(C142,Data!$A:$A,Data!$F:$F)</f>
        <v>1.083356565492017E-2</v>
      </c>
      <c r="F142" s="5">
        <f t="shared" ca="1" si="24"/>
        <v>-1.2813273647991182E-2</v>
      </c>
      <c r="G142" s="13">
        <f t="shared" ca="1" si="25"/>
        <v>-0.87256546492135922</v>
      </c>
      <c r="H142" t="str">
        <f t="shared" ca="1" si="26"/>
        <v>No</v>
      </c>
      <c r="I142" s="5">
        <f t="shared" ca="1" si="27"/>
        <v>-2.6040932982782539E-2</v>
      </c>
    </row>
    <row r="143" spans="1:9" x14ac:dyDescent="0.2">
      <c r="A143">
        <v>4</v>
      </c>
      <c r="B143" t="str">
        <f t="shared" ca="1" si="23"/>
        <v>Thu</v>
      </c>
      <c r="C143" s="2">
        <f ca="1">OFFSET(Data!$A$1,$C$29-A143,0,1,1)</f>
        <v>45575</v>
      </c>
      <c r="D143" s="5">
        <f ca="1">_xlfn.XLOOKUP(C143,Data!$A:$A,Data!$G:$G)</f>
        <v>-9.073075036782785E-3</v>
      </c>
      <c r="E143" s="5">
        <f ca="1">$E$29+$F$29*_xlfn.XLOOKUP(C143,Data!$A:$A,Data!$F:$F)</f>
        <v>-1.1504640277365464E-2</v>
      </c>
      <c r="F143" s="5">
        <f t="shared" ca="1" si="24"/>
        <v>2.4315652405826789E-3</v>
      </c>
      <c r="G143" s="13">
        <f t="shared" ca="1" si="25"/>
        <v>0.16558608774957947</v>
      </c>
      <c r="H143" t="str">
        <f t="shared" ca="1" si="26"/>
        <v>No</v>
      </c>
      <c r="I143" s="5">
        <f t="shared" ca="1" si="27"/>
        <v>-1.3399348858419091E-2</v>
      </c>
    </row>
    <row r="144" spans="1:9" x14ac:dyDescent="0.2">
      <c r="A144">
        <v>3</v>
      </c>
      <c r="B144" t="str">
        <f t="shared" ca="1" si="23"/>
        <v>Wed</v>
      </c>
      <c r="C144" s="2">
        <f ca="1">OFFSET(Data!$A$1,$C$29-A144,0,1,1)</f>
        <v>45574</v>
      </c>
      <c r="D144" s="5">
        <f ca="1">_xlfn.XLOOKUP(C144,Data!$A:$A,Data!$G:$G)</f>
        <v>1.4175578214374429E-2</v>
      </c>
      <c r="E144" s="5">
        <f ca="1">$E$29+$F$29*_xlfn.XLOOKUP(C144,Data!$A:$A,Data!$F:$F)</f>
        <v>8.7187538060079003E-3</v>
      </c>
      <c r="F144" s="5">
        <f t="shared" ca="1" si="24"/>
        <v>5.4568244083665288E-3</v>
      </c>
      <c r="G144" s="13">
        <f t="shared" ca="1" si="25"/>
        <v>0.37160187612375251</v>
      </c>
      <c r="H144" t="str">
        <f t="shared" ca="1" si="26"/>
        <v>No</v>
      </c>
      <c r="I144" s="5">
        <f t="shared" ca="1" si="27"/>
        <v>-1.5792513571938782E-2</v>
      </c>
    </row>
    <row r="145" spans="1:9" x14ac:dyDescent="0.2">
      <c r="A145">
        <v>2</v>
      </c>
      <c r="B145" t="str">
        <f t="shared" ca="1" si="23"/>
        <v>Tue</v>
      </c>
      <c r="C145" s="2">
        <f ca="1">OFFSET(Data!$A$1,$C$29-A145,0,1,1)</f>
        <v>45573</v>
      </c>
      <c r="D145" s="5">
        <f ca="1">_xlfn.XLOOKUP(C145,Data!$A:$A,Data!$G:$G)</f>
        <v>-1.2281994595922385E-2</v>
      </c>
      <c r="E145" s="5">
        <f ca="1">$E$29+$F$29*_xlfn.XLOOKUP(C145,Data!$A:$A,Data!$F:$F)</f>
        <v>1.3697954811155784E-3</v>
      </c>
      <c r="F145" s="5">
        <f t="shared" ca="1" si="24"/>
        <v>-1.3651790077037963E-2</v>
      </c>
      <c r="G145" s="13">
        <f t="shared" ca="1" si="25"/>
        <v>-0.92966722500669929</v>
      </c>
      <c r="H145" t="str">
        <f t="shared" ca="1" si="26"/>
        <v>No</v>
      </c>
      <c r="I145" s="5">
        <f t="shared" ca="1" si="27"/>
        <v>-2.1134013380245342E-2</v>
      </c>
    </row>
    <row r="146" spans="1:9" x14ac:dyDescent="0.2">
      <c r="A146">
        <v>1</v>
      </c>
      <c r="B146" t="str">
        <f t="shared" ca="1" si="23"/>
        <v>Mon</v>
      </c>
      <c r="C146" s="2">
        <f ca="1">OFFSET(Data!$A$1,$C$29-A146,0,1,1)</f>
        <v>45572</v>
      </c>
      <c r="D146" s="5">
        <f ca="1">_xlfn.XLOOKUP(C146,Data!$A:$A,Data!$G:$G)</f>
        <v>-2.2058823529411686E-3</v>
      </c>
      <c r="E146" s="5">
        <f ca="1">$E$29+$F$29*_xlfn.XLOOKUP(C146,Data!$A:$A,Data!$F:$F)</f>
        <v>3.1877166280233414E-3</v>
      </c>
      <c r="F146" s="5">
        <f t="shared" ca="1" si="24"/>
        <v>-5.3935989809645105E-3</v>
      </c>
      <c r="G146" s="13">
        <f t="shared" ca="1" si="25"/>
        <v>-0.36729631565798171</v>
      </c>
      <c r="H146" t="str">
        <f t="shared" ca="1" si="26"/>
        <v>No</v>
      </c>
      <c r="I146" s="5">
        <f t="shared" ca="1" si="27"/>
        <v>-7.585782817806086E-3</v>
      </c>
    </row>
    <row r="147" spans="1:9" x14ac:dyDescent="0.2">
      <c r="A147">
        <v>0</v>
      </c>
      <c r="B147" t="str">
        <f t="shared" ca="1" si="23"/>
        <v>Sun</v>
      </c>
      <c r="C147" s="2">
        <f ca="1">OFFSET(Data!$A$1,$C$29-A147,0,1,1)</f>
        <v>45571</v>
      </c>
      <c r="D147" s="5">
        <f ca="1">_xlfn.XLOOKUP(C147,Data!$A:$A,Data!$G:$G)</f>
        <v>-1.7577654707440438E-2</v>
      </c>
      <c r="E147" s="5">
        <f ca="1">$E$29+$F$29*_xlfn.XLOOKUP(C147,Data!$A:$A,Data!$F:$F)</f>
        <v>-4.0975884418484642E-3</v>
      </c>
      <c r="F147" s="5">
        <f t="shared" ca="1" si="24"/>
        <v>-1.3480066265591974E-2</v>
      </c>
      <c r="G147" s="13">
        <f t="shared" ca="1" si="25"/>
        <v>-0.91797308098941854</v>
      </c>
      <c r="H147" t="str">
        <f t="shared" ca="1" si="26"/>
        <v>No</v>
      </c>
      <c r="I147" s="5">
        <f t="shared" ca="1" si="27"/>
        <v>-2.2040717158019474E-3</v>
      </c>
    </row>
    <row r="148" spans="1:9" x14ac:dyDescent="0.2">
      <c r="A148">
        <v>-1</v>
      </c>
      <c r="B148" t="str">
        <f t="shared" ca="1" si="23"/>
        <v>Tue</v>
      </c>
      <c r="C148" s="2">
        <f ca="1">OFFSET(Data!$A$1,$C$29-A148,0,1,1)</f>
        <v>45566</v>
      </c>
      <c r="D148" s="5">
        <f ca="1">_xlfn.XLOOKUP(C148,Data!$A:$A,Data!$G:$G)</f>
        <v>-2.5803424818203191E-2</v>
      </c>
      <c r="E148" s="5">
        <f ca="1">$E$29+$F$29*_xlfn.XLOOKUP(C148,Data!$A:$A,Data!$F:$F)</f>
        <v>-1.4740295963256827E-2</v>
      </c>
      <c r="F148" s="5">
        <f t="shared" ca="1" si="24"/>
        <v>-1.1063128854946364E-2</v>
      </c>
      <c r="G148" s="13">
        <f t="shared" ca="1" si="25"/>
        <v>-0.75338312737233926</v>
      </c>
      <c r="H148" t="str">
        <f t="shared" ca="1" si="26"/>
        <v>No</v>
      </c>
      <c r="I148" s="5">
        <f t="shared" ca="1" si="27"/>
        <v>1.1430072687031778E-2</v>
      </c>
    </row>
    <row r="149" spans="1:9" x14ac:dyDescent="0.2">
      <c r="A149">
        <v>-2</v>
      </c>
      <c r="B149" t="str">
        <f t="shared" ca="1" si="23"/>
        <v>Mon</v>
      </c>
      <c r="C149" s="2">
        <f ca="1">OFFSET(Data!$A$1,$C$29-A149,0,1,1)</f>
        <v>45565</v>
      </c>
      <c r="D149" s="5">
        <f ca="1">_xlfn.XLOOKUP(C149,Data!$A:$A,Data!$G:$G)</f>
        <v>1.0429011614126571E-2</v>
      </c>
      <c r="E149" s="5">
        <f ca="1">$E$29+$F$29*_xlfn.XLOOKUP(C149,Data!$A:$A,Data!$F:$F)</f>
        <v>3.2912037766693555E-3</v>
      </c>
      <c r="F149" s="5">
        <f t="shared" ca="1" si="24"/>
        <v>7.1378078374572159E-3</v>
      </c>
      <c r="G149" s="13">
        <f t="shared" ca="1" si="25"/>
        <v>0.48607442448453542</v>
      </c>
      <c r="H149" t="str">
        <f t="shared" ca="1" si="26"/>
        <v>No</v>
      </c>
      <c r="I149" s="5">
        <f t="shared" ca="1" si="27"/>
        <v>2.2744830532948068E-2</v>
      </c>
    </row>
    <row r="150" spans="1:9" x14ac:dyDescent="0.2">
      <c r="A150">
        <v>-3</v>
      </c>
      <c r="B150" t="str">
        <f t="shared" ca="1" si="23"/>
        <v>Sun</v>
      </c>
      <c r="C150" s="2">
        <f ca="1">OFFSET(Data!$A$1,$C$29-A150,0,1,1)</f>
        <v>45564</v>
      </c>
      <c r="D150" s="5">
        <f ca="1">_xlfn.XLOOKUP(C150,Data!$A:$A,Data!$G:$G)</f>
        <v>3.4068627450980493E-2</v>
      </c>
      <c r="E150" s="5">
        <f ca="1">$E$29+$F$29*_xlfn.XLOOKUP(C150,Data!$A:$A,Data!$F:$F)</f>
        <v>1.2754178008978998E-2</v>
      </c>
      <c r="F150" s="5">
        <f t="shared" ca="1" si="24"/>
        <v>2.1314449442001497E-2</v>
      </c>
      <c r="G150" s="13">
        <f t="shared" ca="1" si="25"/>
        <v>1.4514832819338568</v>
      </c>
      <c r="H150" t="str">
        <f t="shared" ca="1" si="26"/>
        <v>No</v>
      </c>
      <c r="I150" s="5">
        <f t="shared" ca="1" si="27"/>
        <v>1.5496412282448579E-2</v>
      </c>
    </row>
    <row r="151" spans="1:9" x14ac:dyDescent="0.2">
      <c r="A151">
        <v>-4</v>
      </c>
      <c r="B151" t="str">
        <f t="shared" ca="1" si="23"/>
        <v>Thu</v>
      </c>
      <c r="C151" s="2">
        <f ca="1">OFFSET(Data!$A$1,$C$29-A151,0,1,1)</f>
        <v>45561</v>
      </c>
      <c r="D151" s="5">
        <f ca="1">_xlfn.XLOOKUP(C151,Data!$A:$A,Data!$G:$G)</f>
        <v>1.1403073872087166E-2</v>
      </c>
      <c r="E151" s="5">
        <f ca="1">$E$29+$F$29*_xlfn.XLOOKUP(C151,Data!$A:$A,Data!$F:$F)</f>
        <v>1.8365061586366284E-2</v>
      </c>
      <c r="F151" s="5">
        <f t="shared" ca="1" si="24"/>
        <v>-6.9619877142791178E-3</v>
      </c>
      <c r="G151" s="13">
        <f t="shared" ca="1" si="25"/>
        <v>-0.47410132754318668</v>
      </c>
      <c r="H151" t="str">
        <f t="shared" ca="1" si="26"/>
        <v>No</v>
      </c>
      <c r="I151" s="5">
        <f t="shared" ca="1" si="27"/>
        <v>-5.6966169065086891E-3</v>
      </c>
    </row>
    <row r="152" spans="1:9" x14ac:dyDescent="0.2">
      <c r="A152">
        <v>-5</v>
      </c>
      <c r="B152" t="str">
        <f t="shared" ca="1" si="23"/>
        <v>Wed</v>
      </c>
      <c r="C152" s="2">
        <f ca="1">OFFSET(Data!$A$1,$C$29-A152,0,1,1)</f>
        <v>45560</v>
      </c>
      <c r="D152" s="5">
        <f ca="1">_xlfn.XLOOKUP(C152,Data!$A:$A,Data!$G:$G)</f>
        <v>3.732271709380397E-3</v>
      </c>
      <c r="E152" s="5">
        <f ca="1">$E$29+$F$29*_xlfn.XLOOKUP(C152,Data!$A:$A,Data!$F:$F)</f>
        <v>1.0876729828492407E-2</v>
      </c>
      <c r="F152" s="5">
        <f t="shared" ca="1" si="24"/>
        <v>-7.1444581191120096E-3</v>
      </c>
      <c r="G152" s="13">
        <f t="shared" ca="1" si="25"/>
        <v>-0.48652729907875614</v>
      </c>
      <c r="H152" t="str">
        <f t="shared" ca="1" si="26"/>
        <v>No</v>
      </c>
      <c r="I152" s="5">
        <f t="shared" ca="1" si="27"/>
        <v>1.2742420653746311E-3</v>
      </c>
    </row>
    <row r="153" spans="1:9" x14ac:dyDescent="0.2">
      <c r="A153">
        <v>-6</v>
      </c>
      <c r="B153" t="str">
        <f t="shared" ca="1" si="23"/>
        <v>Tue</v>
      </c>
      <c r="C153" s="2">
        <f ca="1">OFFSET(Data!$A$1,$C$29-A153,0,1,1)</f>
        <v>45559</v>
      </c>
      <c r="D153" s="5">
        <f ca="1">_xlfn.XLOOKUP(C153,Data!$A:$A,Data!$G:$G)</f>
        <v>2.9947591714498678E-3</v>
      </c>
      <c r="E153" s="5">
        <f ca="1">$E$29+$F$29*_xlfn.XLOOKUP(C153,Data!$A:$A,Data!$F:$F)</f>
        <v>1.4969146704521503E-2</v>
      </c>
      <c r="F153" s="5">
        <f t="shared" ca="1" si="24"/>
        <v>-1.1974387533071635E-2</v>
      </c>
      <c r="G153" s="13">
        <f t="shared" ca="1" si="25"/>
        <v>-0.81543852976099107</v>
      </c>
      <c r="H153" t="str">
        <f t="shared" ca="1" si="26"/>
        <v>No</v>
      </c>
      <c r="I153" s="5">
        <f t="shared" ca="1" si="27"/>
        <v>8.4792800456530149E-3</v>
      </c>
    </row>
    <row r="154" spans="1:9" x14ac:dyDescent="0.2">
      <c r="A154">
        <v>-7</v>
      </c>
      <c r="B154" t="str">
        <f t="shared" ca="1" si="23"/>
        <v>Mon</v>
      </c>
      <c r="C154" s="2">
        <f ca="1">OFFSET(Data!$A$1,$C$29-A154,0,1,1)</f>
        <v>45558</v>
      </c>
      <c r="D154" s="5">
        <f ca="1">_xlfn.XLOOKUP(C154,Data!$A:$A,Data!$G:$G)</f>
        <v>2.3237997957099132E-2</v>
      </c>
      <c r="E154" s="5">
        <f ca="1">$E$29+$F$29*_xlfn.XLOOKUP(C154,Data!$A:$A,Data!$F:$F)</f>
        <v>7.4260768614425069E-3</v>
      </c>
      <c r="F154" s="5">
        <f t="shared" ca="1" si="24"/>
        <v>1.5811921095656625E-2</v>
      </c>
      <c r="G154" s="13">
        <f t="shared" ca="1" si="25"/>
        <v>1.0767690335166225</v>
      </c>
      <c r="H154" t="str">
        <f t="shared" ca="1" si="26"/>
        <v>No</v>
      </c>
      <c r="I154" s="5">
        <f t="shared" ca="1" si="27"/>
        <v>2.0701556033203783E-2</v>
      </c>
    </row>
    <row r="155" spans="1:9" x14ac:dyDescent="0.2">
      <c r="A155">
        <v>-8</v>
      </c>
      <c r="B155" t="str">
        <f t="shared" ca="1" si="23"/>
        <v>Sun</v>
      </c>
      <c r="C155" s="2">
        <f ca="1">OFFSET(Data!$A$1,$C$29-A155,0,1,1)</f>
        <v>45557</v>
      </c>
      <c r="D155" s="5">
        <f ca="1">_xlfn.XLOOKUP(C155,Data!$A:$A,Data!$G:$G)</f>
        <v>2.3035577169183696E-3</v>
      </c>
      <c r="E155" s="5">
        <f ca="1">$E$29+$F$29*_xlfn.XLOOKUP(C155,Data!$A:$A,Data!$F:$F)</f>
        <v>8.8976626887465118E-3</v>
      </c>
      <c r="F155" s="5">
        <f t="shared" ca="1" si="24"/>
        <v>-6.5941049718281422E-3</v>
      </c>
      <c r="G155" s="13">
        <f t="shared" ca="1" si="25"/>
        <v>-0.44904904309021193</v>
      </c>
      <c r="H155" t="str">
        <f t="shared" ca="1" si="26"/>
        <v>No</v>
      </c>
      <c r="I155" s="5">
        <f t="shared" ca="1" si="27"/>
        <v>4.8135238777993195E-3</v>
      </c>
    </row>
    <row r="156" spans="1:9" x14ac:dyDescent="0.2">
      <c r="A156">
        <v>-9</v>
      </c>
      <c r="B156" t="str">
        <f t="shared" ca="1" si="23"/>
        <v>Thu</v>
      </c>
      <c r="C156" s="2">
        <f ca="1">OFFSET(Data!$A$1,$C$29-A156,0,1,1)</f>
        <v>45554</v>
      </c>
      <c r="D156" s="5">
        <f ca="1">_xlfn.XLOOKUP(C156,Data!$A:$A,Data!$G:$G)</f>
        <v>9.5607235142118885E-3</v>
      </c>
      <c r="E156" s="5">
        <f ca="1">$E$29+$F$29*_xlfn.XLOOKUP(C156,Data!$A:$A,Data!$F:$F)</f>
        <v>-3.4381006928000139E-3</v>
      </c>
      <c r="F156" s="5">
        <f t="shared" ca="1" si="24"/>
        <v>1.2998824207011903E-2</v>
      </c>
      <c r="G156" s="13">
        <f t="shared" ca="1" si="25"/>
        <v>0.88520119051703616</v>
      </c>
      <c r="H156" t="str">
        <f t="shared" ca="1" si="26"/>
        <v>No</v>
      </c>
      <c r="I156" s="5">
        <f t="shared" ca="1" si="27"/>
        <v>1.1483351273352316E-2</v>
      </c>
    </row>
    <row r="157" spans="1:9" x14ac:dyDescent="0.2">
      <c r="A157">
        <v>-10</v>
      </c>
      <c r="B157" t="str">
        <f t="shared" ca="1" si="23"/>
        <v>Wed</v>
      </c>
      <c r="C157" s="2">
        <f ca="1">OFFSET(Data!$A$1,$C$29-A157,0,1,1)</f>
        <v>45553</v>
      </c>
      <c r="D157" s="5">
        <f ca="1">_xlfn.XLOOKUP(C157,Data!$A:$A,Data!$G:$G)</f>
        <v>2.0714655618849775E-3</v>
      </c>
      <c r="E157" s="5">
        <f ca="1">$E$29+$F$29*_xlfn.XLOOKUP(C157,Data!$A:$A,Data!$F:$F)</f>
        <v>3.5674919120100958E-3</v>
      </c>
      <c r="F157" s="5">
        <f t="shared" ca="1" si="24"/>
        <v>-1.4960263501251183E-3</v>
      </c>
      <c r="G157" s="13">
        <f t="shared" ca="1" si="25"/>
        <v>-0.10187723790135246</v>
      </c>
      <c r="H157" t="str">
        <f t="shared" ca="1" si="26"/>
        <v>No</v>
      </c>
      <c r="I157" s="5">
        <f ca="1">F157</f>
        <v>-1.4960263501251183E-3</v>
      </c>
    </row>
    <row r="159" spans="1:9" x14ac:dyDescent="0.2">
      <c r="A159" s="3" t="s">
        <v>54</v>
      </c>
      <c r="B159" t="str">
        <f>E15</f>
        <v>Israel-Lebanon ceasefire</v>
      </c>
    </row>
    <row r="160" spans="1:9" x14ac:dyDescent="0.2">
      <c r="A160" s="12" t="s">
        <v>42</v>
      </c>
      <c r="B160" s="12" t="s">
        <v>43</v>
      </c>
      <c r="C160" s="12" t="s">
        <v>0</v>
      </c>
      <c r="D160" s="12" t="s">
        <v>44</v>
      </c>
      <c r="E160" s="12" t="s">
        <v>45</v>
      </c>
      <c r="F160" s="12" t="s">
        <v>46</v>
      </c>
      <c r="G160" s="12" t="s">
        <v>47</v>
      </c>
      <c r="H160" s="12" t="s">
        <v>48</v>
      </c>
      <c r="I160" s="12" t="s">
        <v>49</v>
      </c>
    </row>
    <row r="161" spans="1:9" x14ac:dyDescent="0.2">
      <c r="A161">
        <v>10</v>
      </c>
      <c r="B161" t="str">
        <f t="shared" ref="B161:B181" ca="1" si="28">TEXT(WEEKDAY(C161),"ddd")</f>
        <v>Wed</v>
      </c>
      <c r="C161" s="2">
        <f ca="1">OFFSET(Data!$A$1,$C$30-A161,0,1,1)</f>
        <v>45637</v>
      </c>
      <c r="D161" s="5">
        <f ca="1">_xlfn.XLOOKUP(C161,Data!$A:$A,Data!$G:$G)</f>
        <v>-3.8202655994178381E-3</v>
      </c>
      <c r="E161" s="5">
        <f ca="1">$E$30+$F$30*_xlfn.XLOOKUP(C161,Data!$A:$A,Data!$F:$F)</f>
        <v>-7.0779893496921336E-3</v>
      </c>
      <c r="F161" s="5">
        <f t="shared" ref="F161:F181" ca="1" si="29">D161-E161</f>
        <v>3.2577237502742955E-3</v>
      </c>
      <c r="G161" s="13">
        <f t="shared" ref="G161:G181" ca="1" si="30">F161/$I$30</f>
        <v>0.21819938314136994</v>
      </c>
      <c r="H161" t="str">
        <f t="shared" ref="H161:H181" ca="1" si="31">IF(ABS(G161)&lt;$B$6,"No","Yes")</f>
        <v>No</v>
      </c>
      <c r="I161" s="5">
        <f t="shared" ref="I161:I180" ca="1" si="32">(1+I162)*(1+F161)-1</f>
        <v>5.5939725280277797E-2</v>
      </c>
    </row>
    <row r="162" spans="1:9" x14ac:dyDescent="0.2">
      <c r="A162">
        <v>9</v>
      </c>
      <c r="B162" t="str">
        <f t="shared" ca="1" si="28"/>
        <v>Tue</v>
      </c>
      <c r="C162" s="2">
        <f ca="1">OFFSET(Data!$A$1,$C$30-A162,0,1,1)</f>
        <v>45636</v>
      </c>
      <c r="D162" s="5">
        <f ca="1">_xlfn.XLOOKUP(C162,Data!$A:$A,Data!$G:$G)</f>
        <v>-2.5403737978588747E-3</v>
      </c>
      <c r="E162" s="5">
        <f ca="1">$E$30+$F$30*_xlfn.XLOOKUP(C162,Data!$A:$A,Data!$F:$F)</f>
        <v>-4.1944677572383808E-3</v>
      </c>
      <c r="F162" s="5">
        <f t="shared" ca="1" si="29"/>
        <v>1.6540939593795061E-3</v>
      </c>
      <c r="G162" s="13">
        <f t="shared" ca="1" si="30"/>
        <v>0.11078971369628421</v>
      </c>
      <c r="H162" t="str">
        <f t="shared" ca="1" si="31"/>
        <v>No</v>
      </c>
      <c r="I162" s="5">
        <f t="shared" ca="1" si="32"/>
        <v>5.2510935408573989E-2</v>
      </c>
    </row>
    <row r="163" spans="1:9" x14ac:dyDescent="0.2">
      <c r="A163">
        <v>8</v>
      </c>
      <c r="B163" t="str">
        <f t="shared" ca="1" si="28"/>
        <v>Mon</v>
      </c>
      <c r="C163" s="2">
        <f ca="1">OFFSET(Data!$A$1,$C$30-A163,0,1,1)</f>
        <v>45635</v>
      </c>
      <c r="D163" s="5">
        <f ca="1">_xlfn.XLOOKUP(C163,Data!$A:$A,Data!$G:$G)</f>
        <v>2.7213420316868575E-2</v>
      </c>
      <c r="E163" s="5">
        <f ca="1">$E$30+$F$30*_xlfn.XLOOKUP(C163,Data!$A:$A,Data!$F:$F)</f>
        <v>1.0787921057004246E-2</v>
      </c>
      <c r="F163" s="5">
        <f t="shared" ca="1" si="29"/>
        <v>1.6425499259864328E-2</v>
      </c>
      <c r="G163" s="13">
        <f t="shared" ca="1" si="30"/>
        <v>1.1001650480614431</v>
      </c>
      <c r="H163" t="str">
        <f t="shared" ca="1" si="31"/>
        <v>No</v>
      </c>
      <c r="I163" s="5">
        <f t="shared" ca="1" si="32"/>
        <v>5.0772858370862872E-2</v>
      </c>
    </row>
    <row r="164" spans="1:9" x14ac:dyDescent="0.2">
      <c r="A164">
        <v>7</v>
      </c>
      <c r="B164" t="str">
        <f t="shared" ca="1" si="28"/>
        <v>Sun</v>
      </c>
      <c r="C164" s="2">
        <f ca="1">OFFSET(Data!$A$1,$C$30-A164,0,1,1)</f>
        <v>45634</v>
      </c>
      <c r="D164" s="5">
        <f ca="1">_xlfn.XLOOKUP(C164,Data!$A:$A,Data!$G:$G)</f>
        <v>-1.6498625114573784E-2</v>
      </c>
      <c r="E164" s="5">
        <f ca="1">$E$30+$F$30*_xlfn.XLOOKUP(C164,Data!$A:$A,Data!$F:$F)</f>
        <v>1.3037686283804275E-2</v>
      </c>
      <c r="F164" s="5">
        <f t="shared" ca="1" si="29"/>
        <v>-2.9536311398378059E-2</v>
      </c>
      <c r="G164" s="13">
        <f t="shared" ca="1" si="30"/>
        <v>-1.9783153580333088</v>
      </c>
      <c r="H164" t="str">
        <f t="shared" ca="1" si="31"/>
        <v>Yes</v>
      </c>
      <c r="I164" s="5">
        <f t="shared" ca="1" si="32"/>
        <v>3.3792303652367517E-2</v>
      </c>
    </row>
    <row r="165" spans="1:9" x14ac:dyDescent="0.2">
      <c r="A165">
        <v>6</v>
      </c>
      <c r="B165" t="str">
        <f t="shared" ca="1" si="28"/>
        <v>Thu</v>
      </c>
      <c r="C165" s="2">
        <f ca="1">OFFSET(Data!$A$1,$C$30-A165,0,1,1)</f>
        <v>45631</v>
      </c>
      <c r="D165" s="5">
        <f ca="1">_xlfn.XLOOKUP(C165,Data!$A:$A,Data!$G:$G)</f>
        <v>1.6775396085740857E-2</v>
      </c>
      <c r="E165" s="5">
        <f ca="1">$E$30+$F$30*_xlfn.XLOOKUP(C165,Data!$A:$A,Data!$F:$F)</f>
        <v>-6.0985228147113018E-4</v>
      </c>
      <c r="F165" s="5">
        <f t="shared" ca="1" si="29"/>
        <v>1.7385248367211985E-2</v>
      </c>
      <c r="G165" s="13">
        <f t="shared" ca="1" si="30"/>
        <v>1.16444817310423</v>
      </c>
      <c r="H165" t="str">
        <f t="shared" ca="1" si="31"/>
        <v>No</v>
      </c>
      <c r="I165" s="5">
        <f t="shared" ca="1" si="32"/>
        <v>6.5256037700903713E-2</v>
      </c>
    </row>
    <row r="166" spans="1:9" x14ac:dyDescent="0.2">
      <c r="A166">
        <v>5</v>
      </c>
      <c r="B166" t="str">
        <f t="shared" ca="1" si="28"/>
        <v>Wed</v>
      </c>
      <c r="C166" s="2">
        <f ca="1">OFFSET(Data!$A$1,$C$30-A166,0,1,1)</f>
        <v>45630</v>
      </c>
      <c r="D166" s="5">
        <f ca="1">_xlfn.XLOOKUP(C166,Data!$A:$A,Data!$G:$G)</f>
        <v>-1.3061074319352439E-2</v>
      </c>
      <c r="E166" s="5">
        <f ca="1">$E$30+$F$30*_xlfn.XLOOKUP(C166,Data!$A:$A,Data!$F:$F)</f>
        <v>3.5276726631892621E-3</v>
      </c>
      <c r="F166" s="5">
        <f t="shared" ca="1" si="29"/>
        <v>-1.6588746982541702E-2</v>
      </c>
      <c r="G166" s="13">
        <f t="shared" ca="1" si="30"/>
        <v>-1.1110992325159836</v>
      </c>
      <c r="H166" t="str">
        <f t="shared" ca="1" si="31"/>
        <v>No</v>
      </c>
      <c r="I166" s="5">
        <f t="shared" ca="1" si="32"/>
        <v>4.7052765322201262E-2</v>
      </c>
    </row>
    <row r="167" spans="1:9" x14ac:dyDescent="0.2">
      <c r="A167">
        <v>4</v>
      </c>
      <c r="B167" t="str">
        <f t="shared" ca="1" si="28"/>
        <v>Tue</v>
      </c>
      <c r="C167" s="2">
        <f ca="1">OFFSET(Data!$A$1,$C$30-A167,0,1,1)</f>
        <v>45629</v>
      </c>
      <c r="D167" s="5">
        <f ca="1">_xlfn.XLOOKUP(C167,Data!$A:$A,Data!$G:$G)</f>
        <v>3.5428571428571365E-2</v>
      </c>
      <c r="E167" s="5">
        <f ca="1">$E$30+$F$30*_xlfn.XLOOKUP(C167,Data!$A:$A,Data!$F:$F)</f>
        <v>1.316871716887614E-2</v>
      </c>
      <c r="F167" s="5">
        <f t="shared" ca="1" si="29"/>
        <v>2.2259854259695226E-2</v>
      </c>
      <c r="G167" s="13">
        <f t="shared" ca="1" si="30"/>
        <v>1.4909448561663139</v>
      </c>
      <c r="H167" t="str">
        <f t="shared" ca="1" si="31"/>
        <v>No</v>
      </c>
      <c r="I167" s="5">
        <f t="shared" ca="1" si="32"/>
        <v>6.4715053960861191E-2</v>
      </c>
    </row>
    <row r="168" spans="1:9" x14ac:dyDescent="0.2">
      <c r="A168">
        <v>3</v>
      </c>
      <c r="B168" t="str">
        <f t="shared" ca="1" si="28"/>
        <v>Mon</v>
      </c>
      <c r="C168" s="2">
        <f ca="1">OFFSET(Data!$A$1,$C$30-A168,0,1,1)</f>
        <v>45628</v>
      </c>
      <c r="D168" s="5">
        <f ca="1">_xlfn.XLOOKUP(C168,Data!$A:$A,Data!$G:$G)</f>
        <v>1.0781671159029615E-2</v>
      </c>
      <c r="E168" s="5">
        <f ca="1">$E$30+$F$30*_xlfn.XLOOKUP(C168,Data!$A:$A,Data!$F:$F)</f>
        <v>-4.1764110285532832E-4</v>
      </c>
      <c r="F168" s="5">
        <f t="shared" ca="1" si="29"/>
        <v>1.1199312261884944E-2</v>
      </c>
      <c r="G168" s="13">
        <f t="shared" ca="1" si="30"/>
        <v>0.75011978131820445</v>
      </c>
      <c r="H168" t="str">
        <f t="shared" ca="1" si="31"/>
        <v>No</v>
      </c>
      <c r="I168" s="5">
        <f t="shared" ca="1" si="32"/>
        <v>4.1530731666960863E-2</v>
      </c>
    </row>
    <row r="169" spans="1:9" x14ac:dyDescent="0.2">
      <c r="A169">
        <v>2</v>
      </c>
      <c r="B169" t="str">
        <f t="shared" ca="1" si="28"/>
        <v>Sun</v>
      </c>
      <c r="C169" s="2">
        <f ca="1">OFFSET(Data!$A$1,$C$30-A169,0,1,1)</f>
        <v>45627</v>
      </c>
      <c r="D169" s="5">
        <f ca="1">_xlfn.XLOOKUP(C169,Data!$A:$A,Data!$G:$G)</f>
        <v>-1.479514415781491E-2</v>
      </c>
      <c r="E169" s="5">
        <f ca="1">$E$30+$F$30*_xlfn.XLOOKUP(C169,Data!$A:$A,Data!$F:$F)</f>
        <v>2.1933156332421176E-2</v>
      </c>
      <c r="F169" s="5">
        <f t="shared" ca="1" si="29"/>
        <v>-3.6728300490236086E-2</v>
      </c>
      <c r="G169" s="13">
        <f t="shared" ca="1" si="30"/>
        <v>-2.4600282667078859</v>
      </c>
      <c r="H169" t="str">
        <f t="shared" ca="1" si="31"/>
        <v>Yes</v>
      </c>
      <c r="I169" s="5">
        <f t="shared" ca="1" si="32"/>
        <v>2.9995490540069225E-2</v>
      </c>
    </row>
    <row r="170" spans="1:9" x14ac:dyDescent="0.2">
      <c r="A170">
        <v>1</v>
      </c>
      <c r="B170" t="str">
        <f t="shared" ca="1" si="28"/>
        <v>Thu</v>
      </c>
      <c r="C170" s="2">
        <f ca="1">OFFSET(Data!$A$1,$C$30-A170,0,1,1)</f>
        <v>45624</v>
      </c>
      <c r="D170" s="5">
        <f ca="1">_xlfn.XLOOKUP(C170,Data!$A:$A,Data!$G:$G)</f>
        <v>-5.2830188679244827E-3</v>
      </c>
      <c r="E170" s="5">
        <f ca="1">$E$30+$F$30*_xlfn.XLOOKUP(C170,Data!$A:$A,Data!$F:$F)</f>
        <v>-6.66435246693856E-3</v>
      </c>
      <c r="F170" s="5">
        <f t="shared" ca="1" si="29"/>
        <v>1.3813335990140773E-3</v>
      </c>
      <c r="G170" s="13">
        <f t="shared" ca="1" si="30"/>
        <v>9.2520472060266673E-2</v>
      </c>
      <c r="H170" t="str">
        <f t="shared" ca="1" si="31"/>
        <v>No</v>
      </c>
      <c r="I170" s="5">
        <f t="shared" ca="1" si="32"/>
        <v>6.9267882638162082E-2</v>
      </c>
    </row>
    <row r="171" spans="1:9" x14ac:dyDescent="0.2">
      <c r="A171">
        <v>0</v>
      </c>
      <c r="B171" t="str">
        <f t="shared" ca="1" si="28"/>
        <v>Wed</v>
      </c>
      <c r="C171" s="2">
        <f ca="1">OFFSET(Data!$A$1,$C$30-A171,0,1,1)</f>
        <v>45623</v>
      </c>
      <c r="D171" s="5">
        <f ca="1">_xlfn.XLOOKUP(C171,Data!$A:$A,Data!$G:$G)</f>
        <v>1.2223071046600475E-2</v>
      </c>
      <c r="E171" s="5">
        <f ca="1">$E$30+$F$30*_xlfn.XLOOKUP(C171,Data!$A:$A,Data!$F:$F)</f>
        <v>-1.2465188837660792E-2</v>
      </c>
      <c r="F171" s="5">
        <f t="shared" ca="1" si="29"/>
        <v>2.4688259884261265E-2</v>
      </c>
      <c r="G171" s="13">
        <f t="shared" ca="1" si="30"/>
        <v>1.6535972631583826</v>
      </c>
      <c r="H171" t="str">
        <f t="shared" ca="1" si="31"/>
        <v>No</v>
      </c>
      <c r="I171" s="5">
        <f t="shared" ca="1" si="32"/>
        <v>6.7792904422494527E-2</v>
      </c>
    </row>
    <row r="172" spans="1:9" x14ac:dyDescent="0.2">
      <c r="A172">
        <v>-1</v>
      </c>
      <c r="B172" t="str">
        <f t="shared" ca="1" si="28"/>
        <v>Tue</v>
      </c>
      <c r="C172" s="2">
        <f ca="1">OFFSET(Data!$A$1,$C$30-A172,0,1,1)</f>
        <v>45622</v>
      </c>
      <c r="D172" s="5">
        <f ca="1">_xlfn.XLOOKUP(C172,Data!$A:$A,Data!$G:$G)</f>
        <v>3.0708661417322869E-2</v>
      </c>
      <c r="E172" s="5">
        <f ca="1">$E$30+$F$30*_xlfn.XLOOKUP(C172,Data!$A:$A,Data!$F:$F)</f>
        <v>1.0855094741860491E-2</v>
      </c>
      <c r="F172" s="5">
        <f t="shared" ca="1" si="29"/>
        <v>1.9853566675462377E-2</v>
      </c>
      <c r="G172" s="13">
        <f t="shared" ca="1" si="30"/>
        <v>1.3297738954621914</v>
      </c>
      <c r="H172" t="str">
        <f t="shared" ca="1" si="31"/>
        <v>No</v>
      </c>
      <c r="I172" s="5">
        <f t="shared" ca="1" si="32"/>
        <v>4.2066105591081815E-2</v>
      </c>
    </row>
    <row r="173" spans="1:9" x14ac:dyDescent="0.2">
      <c r="A173">
        <v>-2</v>
      </c>
      <c r="B173" t="str">
        <f t="shared" ca="1" si="28"/>
        <v>Mon</v>
      </c>
      <c r="C173" s="2">
        <f ca="1">OFFSET(Data!$A$1,$C$30-A173,0,1,1)</f>
        <v>45621</v>
      </c>
      <c r="D173" s="5">
        <f ca="1">_xlfn.XLOOKUP(C173,Data!$A:$A,Data!$G:$G)</f>
        <v>1.1347800119450469E-2</v>
      </c>
      <c r="E173" s="5">
        <f ca="1">$E$30+$F$30*_xlfn.XLOOKUP(C173,Data!$A:$A,Data!$F:$F)</f>
        <v>2.083357458758402E-3</v>
      </c>
      <c r="F173" s="5">
        <f t="shared" ca="1" si="29"/>
        <v>9.2644426606920665E-3</v>
      </c>
      <c r="G173" s="13">
        <f t="shared" ca="1" si="30"/>
        <v>0.6205239697016649</v>
      </c>
      <c r="H173" t="str">
        <f t="shared" ca="1" si="31"/>
        <v>No</v>
      </c>
      <c r="I173" s="5">
        <f t="shared" ca="1" si="32"/>
        <v>2.1780125737097977E-2</v>
      </c>
    </row>
    <row r="174" spans="1:9" x14ac:dyDescent="0.2">
      <c r="A174">
        <v>-3</v>
      </c>
      <c r="B174" t="str">
        <f t="shared" ca="1" si="28"/>
        <v>Sun</v>
      </c>
      <c r="C174" s="2">
        <f ca="1">OFFSET(Data!$A$1,$C$30-A174,0,1,1)</f>
        <v>45620</v>
      </c>
      <c r="D174" s="5">
        <f ca="1">_xlfn.XLOOKUP(C174,Data!$A:$A,Data!$G:$G)</f>
        <v>5.9760956175303193E-4</v>
      </c>
      <c r="E174" s="5">
        <f ca="1">$E$30+$F$30*_xlfn.XLOOKUP(C174,Data!$A:$A,Data!$F:$F)</f>
        <v>1.2673989600423404E-2</v>
      </c>
      <c r="F174" s="5">
        <f t="shared" ca="1" si="29"/>
        <v>-1.2076380038670372E-2</v>
      </c>
      <c r="G174" s="13">
        <f t="shared" ca="1" si="30"/>
        <v>-0.80886498580389465</v>
      </c>
      <c r="H174" t="str">
        <f t="shared" ca="1" si="31"/>
        <v>No</v>
      </c>
      <c r="I174" s="5">
        <f t="shared" ca="1" si="32"/>
        <v>1.2400796607290765E-2</v>
      </c>
    </row>
    <row r="175" spans="1:9" x14ac:dyDescent="0.2">
      <c r="A175">
        <v>-4</v>
      </c>
      <c r="B175" t="str">
        <f t="shared" ca="1" si="28"/>
        <v>Thu</v>
      </c>
      <c r="C175" s="2">
        <f ca="1">OFFSET(Data!$A$1,$C$30-A175,0,1,1)</f>
        <v>45617</v>
      </c>
      <c r="D175" s="5">
        <f ca="1">_xlfn.XLOOKUP(C175,Data!$A:$A,Data!$G:$G)</f>
        <v>-3.7705894026592857E-3</v>
      </c>
      <c r="E175" s="5">
        <f ca="1">$E$30+$F$30*_xlfn.XLOOKUP(C175,Data!$A:$A,Data!$F:$F)</f>
        <v>7.0335558137540302E-4</v>
      </c>
      <c r="F175" s="5">
        <f t="shared" ca="1" si="29"/>
        <v>-4.4739449840346885E-3</v>
      </c>
      <c r="G175" s="13">
        <f t="shared" ca="1" si="30"/>
        <v>-0.29966077867793411</v>
      </c>
      <c r="H175" t="str">
        <f t="shared" ca="1" si="31"/>
        <v>No</v>
      </c>
      <c r="I175" s="5">
        <f t="shared" ca="1" si="32"/>
        <v>2.4776385695606029E-2</v>
      </c>
    </row>
    <row r="176" spans="1:9" x14ac:dyDescent="0.2">
      <c r="A176">
        <v>-5</v>
      </c>
      <c r="B176" t="str">
        <f t="shared" ca="1" si="28"/>
        <v>Wed</v>
      </c>
      <c r="C176" s="2">
        <f ca="1">OFFSET(Data!$A$1,$C$30-A176,0,1,1)</f>
        <v>45616</v>
      </c>
      <c r="D176" s="5">
        <f ca="1">_xlfn.XLOOKUP(C176,Data!$A:$A,Data!$G:$G)</f>
        <v>1.3910969793322625E-3</v>
      </c>
      <c r="E176" s="5">
        <f ca="1">$E$30+$F$30*_xlfn.XLOOKUP(C176,Data!$A:$A,Data!$F:$F)</f>
        <v>-2.3032740795105935E-3</v>
      </c>
      <c r="F176" s="5">
        <f t="shared" ca="1" si="29"/>
        <v>3.694371058842856E-3</v>
      </c>
      <c r="G176" s="13">
        <f t="shared" ca="1" si="30"/>
        <v>0.24744562397808215</v>
      </c>
      <c r="H176" t="str">
        <f t="shared" ca="1" si="31"/>
        <v>No</v>
      </c>
      <c r="I176" s="5">
        <f t="shared" ca="1" si="32"/>
        <v>2.9381783161035901E-2</v>
      </c>
    </row>
    <row r="177" spans="1:9" x14ac:dyDescent="0.2">
      <c r="A177">
        <v>-6</v>
      </c>
      <c r="B177" t="str">
        <f t="shared" ca="1" si="28"/>
        <v>Tue</v>
      </c>
      <c r="C177" s="2">
        <f ca="1">OFFSET(Data!$A$1,$C$30-A177,0,1,1)</f>
        <v>45615</v>
      </c>
      <c r="D177" s="5">
        <f ca="1">_xlfn.XLOOKUP(C177,Data!$A:$A,Data!$G:$G)</f>
        <v>-2.4238898584448276E-2</v>
      </c>
      <c r="E177" s="5">
        <f ca="1">$E$30+$F$30*_xlfn.XLOOKUP(C177,Data!$A:$A,Data!$F:$F)</f>
        <v>2.7682573393667436E-3</v>
      </c>
      <c r="F177" s="5">
        <f t="shared" ca="1" si="29"/>
        <v>-2.7007155923815019E-2</v>
      </c>
      <c r="G177" s="13">
        <f t="shared" ca="1" si="30"/>
        <v>-1.8089148174344294</v>
      </c>
      <c r="H177" t="str">
        <f t="shared" ca="1" si="31"/>
        <v>No</v>
      </c>
      <c r="I177" s="5">
        <f t="shared" ca="1" si="32"/>
        <v>2.5592862571396369E-2</v>
      </c>
    </row>
    <row r="178" spans="1:9" x14ac:dyDescent="0.2">
      <c r="A178">
        <v>-7</v>
      </c>
      <c r="B178" t="str">
        <f t="shared" ca="1" si="28"/>
        <v>Mon</v>
      </c>
      <c r="C178" s="2">
        <f ca="1">OFFSET(Data!$A$1,$C$30-A178,0,1,1)</f>
        <v>45614</v>
      </c>
      <c r="D178" s="5">
        <f ca="1">_xlfn.XLOOKUP(C178,Data!$A:$A,Data!$G:$G)</f>
        <v>2.9135901017760979E-2</v>
      </c>
      <c r="E178" s="5">
        <f ca="1">$E$30+$F$30*_xlfn.XLOOKUP(C178,Data!$A:$A,Data!$F:$F)</f>
        <v>-4.050436485287673E-3</v>
      </c>
      <c r="F178" s="5">
        <f t="shared" ca="1" si="29"/>
        <v>3.3186337503048655E-2</v>
      </c>
      <c r="G178" s="13">
        <f t="shared" ca="1" si="30"/>
        <v>2.2227907971867862</v>
      </c>
      <c r="H178" t="str">
        <f t="shared" ca="1" si="31"/>
        <v>Yes</v>
      </c>
      <c r="I178" s="5">
        <f t="shared" ca="1" si="32"/>
        <v>5.4060026047933363E-2</v>
      </c>
    </row>
    <row r="179" spans="1:9" x14ac:dyDescent="0.2">
      <c r="A179">
        <v>-8</v>
      </c>
      <c r="B179" t="str">
        <f t="shared" ca="1" si="28"/>
        <v>Sun</v>
      </c>
      <c r="C179" s="2">
        <f ca="1">OFFSET(Data!$A$1,$C$30-A179,0,1,1)</f>
        <v>45613</v>
      </c>
      <c r="D179" s="5">
        <f ca="1">_xlfn.XLOOKUP(C179,Data!$A:$A,Data!$G:$G)</f>
        <v>-9.6837944664032172E-3</v>
      </c>
      <c r="E179" s="5">
        <f ca="1">$E$30+$F$30*_xlfn.XLOOKUP(C179,Data!$A:$A,Data!$F:$F)</f>
        <v>2.9806635503265557E-3</v>
      </c>
      <c r="F179" s="5">
        <f t="shared" ca="1" si="29"/>
        <v>-1.2664458016729774E-2</v>
      </c>
      <c r="G179" s="13">
        <f t="shared" ca="1" si="30"/>
        <v>-0.84825391558677798</v>
      </c>
      <c r="H179" t="str">
        <f t="shared" ca="1" si="31"/>
        <v>No</v>
      </c>
      <c r="I179" s="5">
        <f t="shared" ca="1" si="32"/>
        <v>2.0203217742243096E-2</v>
      </c>
    </row>
    <row r="180" spans="1:9" x14ac:dyDescent="0.2">
      <c r="A180">
        <v>-9</v>
      </c>
      <c r="B180" t="str">
        <f t="shared" ca="1" si="28"/>
        <v>Thu</v>
      </c>
      <c r="C180" s="2">
        <f ca="1">OFFSET(Data!$A$1,$C$30-A180,0,1,1)</f>
        <v>45610</v>
      </c>
      <c r="D180" s="5">
        <f ca="1">_xlfn.XLOOKUP(C180,Data!$A:$A,Data!$G:$G)</f>
        <v>1.5248796147672605E-2</v>
      </c>
      <c r="E180" s="5">
        <f ca="1">$E$30+$F$30*_xlfn.XLOOKUP(C180,Data!$A:$A,Data!$F:$F)</f>
        <v>-1.3668108756496397E-2</v>
      </c>
      <c r="F180" s="5">
        <f t="shared" ca="1" si="29"/>
        <v>2.8916904904169004E-2</v>
      </c>
      <c r="G180" s="13">
        <f t="shared" ca="1" si="30"/>
        <v>1.9368280726430744</v>
      </c>
      <c r="H180" t="str">
        <f t="shared" ca="1" si="31"/>
        <v>No</v>
      </c>
      <c r="I180" s="5">
        <f t="shared" ca="1" si="32"/>
        <v>3.3289266274109108E-2</v>
      </c>
    </row>
    <row r="181" spans="1:9" x14ac:dyDescent="0.2">
      <c r="A181">
        <v>-10</v>
      </c>
      <c r="B181" t="str">
        <f t="shared" ca="1" si="28"/>
        <v>Wed</v>
      </c>
      <c r="C181" s="2">
        <f ca="1">OFFSET(Data!$A$1,$C$30-A181,0,1,1)</f>
        <v>45609</v>
      </c>
      <c r="D181" s="5">
        <f ca="1">_xlfn.XLOOKUP(C181,Data!$A:$A,Data!$G:$G)</f>
        <v>9.3155123531794004E-3</v>
      </c>
      <c r="E181" s="5">
        <f ca="1">$E$30+$F$30*_xlfn.XLOOKUP(C181,Data!$A:$A,Data!$F:$F)</f>
        <v>5.0660327799506109E-3</v>
      </c>
      <c r="F181" s="5">
        <f t="shared" ca="1" si="29"/>
        <v>4.2494795732287895E-3</v>
      </c>
      <c r="G181" s="13">
        <f t="shared" ca="1" si="30"/>
        <v>0.28462628897625286</v>
      </c>
      <c r="H181" t="str">
        <f t="shared" ca="1" si="31"/>
        <v>No</v>
      </c>
      <c r="I181" s="5">
        <f ca="1">F181</f>
        <v>4.2494795732287895E-3</v>
      </c>
    </row>
    <row r="183" spans="1:9" x14ac:dyDescent="0.2">
      <c r="A183" s="3" t="s">
        <v>55</v>
      </c>
      <c r="B183" t="str">
        <f>E16</f>
        <v>Gaza ceasefire (33 hostages)</v>
      </c>
    </row>
    <row r="184" spans="1:9" x14ac:dyDescent="0.2">
      <c r="A184" s="12" t="s">
        <v>42</v>
      </c>
      <c r="B184" s="12" t="s">
        <v>43</v>
      </c>
      <c r="C184" s="12" t="s">
        <v>0</v>
      </c>
      <c r="D184" s="12" t="s">
        <v>44</v>
      </c>
      <c r="E184" s="12" t="s">
        <v>45</v>
      </c>
      <c r="F184" s="12" t="s">
        <v>46</v>
      </c>
      <c r="G184" s="12" t="s">
        <v>47</v>
      </c>
      <c r="H184" s="12" t="s">
        <v>48</v>
      </c>
      <c r="I184" s="12" t="s">
        <v>49</v>
      </c>
    </row>
    <row r="185" spans="1:9" x14ac:dyDescent="0.2">
      <c r="A185">
        <v>10</v>
      </c>
      <c r="B185" t="str">
        <f t="shared" ref="B185:B205" ca="1" si="33">TEXT(WEEKDAY(C185),"ddd")</f>
        <v>Wed</v>
      </c>
      <c r="C185" s="2">
        <f ca="1">OFFSET(Data!$A$1,$C$31-A185,0,1,1)</f>
        <v>45686</v>
      </c>
      <c r="D185" s="5">
        <f ca="1">_xlfn.XLOOKUP(C185,Data!$A:$A,Data!$G:$G)</f>
        <v>2.3246492985971923E-2</v>
      </c>
      <c r="E185" s="5">
        <f ca="1">$E$31+$F$31*_xlfn.XLOOKUP(C185,Data!$A:$A,Data!$F:$F)</f>
        <v>6.1732636949799954E-3</v>
      </c>
      <c r="F185" s="5">
        <f t="shared" ref="F185:F205" ca="1" si="34">D185-E185</f>
        <v>1.7073229290991927E-2</v>
      </c>
      <c r="G185" s="13">
        <f t="shared" ref="G185:G205" ca="1" si="35">F185/$I$31</f>
        <v>1.1431631700641913</v>
      </c>
      <c r="H185" t="str">
        <f t="shared" ref="H185:H205" ca="1" si="36">IF(ABS(G185)&lt;$B$6,"No","Yes")</f>
        <v>No</v>
      </c>
      <c r="I185" s="5">
        <f t="shared" ref="I185:I204" ca="1" si="37">(1+I186)*(1+F185)-1</f>
        <v>-6.387440041331971E-2</v>
      </c>
    </row>
    <row r="186" spans="1:9" x14ac:dyDescent="0.2">
      <c r="A186">
        <v>9</v>
      </c>
      <c r="B186" t="str">
        <f t="shared" ca="1" si="33"/>
        <v>Tue</v>
      </c>
      <c r="C186" s="2">
        <f ca="1">OFFSET(Data!$A$1,$C$31-A186,0,1,1)</f>
        <v>45685</v>
      </c>
      <c r="D186" s="5">
        <f ca="1">_xlfn.XLOOKUP(C186,Data!$A:$A,Data!$G:$G)</f>
        <v>1.402154033732983E-2</v>
      </c>
      <c r="E186" s="5">
        <f ca="1">$E$31+$F$31*_xlfn.XLOOKUP(C186,Data!$A:$A,Data!$F:$F)</f>
        <v>1.3771872803288261E-3</v>
      </c>
      <c r="F186" s="5">
        <f t="shared" ca="1" si="34"/>
        <v>1.2644353057001003E-2</v>
      </c>
      <c r="G186" s="13">
        <f t="shared" ca="1" si="35"/>
        <v>0.84662125001030364</v>
      </c>
      <c r="H186" t="str">
        <f t="shared" ca="1" si="36"/>
        <v>No</v>
      </c>
      <c r="I186" s="5">
        <f t="shared" ca="1" si="37"/>
        <v>-7.958879200934299E-2</v>
      </c>
    </row>
    <row r="187" spans="1:9" x14ac:dyDescent="0.2">
      <c r="A187">
        <v>8</v>
      </c>
      <c r="B187" t="str">
        <f t="shared" ca="1" si="33"/>
        <v>Mon</v>
      </c>
      <c r="C187" s="2">
        <f ca="1">OFFSET(Data!$A$1,$C$31-A187,0,1,1)</f>
        <v>45684</v>
      </c>
      <c r="D187" s="5">
        <f ca="1">_xlfn.XLOOKUP(C187,Data!$A:$A,Data!$G:$G)</f>
        <v>-4.2492917847025691E-3</v>
      </c>
      <c r="E187" s="5">
        <f ca="1">$E$31+$F$31*_xlfn.XLOOKUP(C187,Data!$A:$A,Data!$F:$F)</f>
        <v>-2.6441577738087141E-2</v>
      </c>
      <c r="F187" s="5">
        <f t="shared" ca="1" si="34"/>
        <v>2.2192285953384572E-2</v>
      </c>
      <c r="G187" s="13">
        <f t="shared" ca="1" si="35"/>
        <v>1.4859171354787217</v>
      </c>
      <c r="H187" t="str">
        <f t="shared" ca="1" si="36"/>
        <v>No</v>
      </c>
      <c r="I187" s="5">
        <f t="shared" ca="1" si="37"/>
        <v>-9.108147869279859E-2</v>
      </c>
    </row>
    <row r="188" spans="1:9" x14ac:dyDescent="0.2">
      <c r="A188">
        <v>7</v>
      </c>
      <c r="B188" t="str">
        <f t="shared" ca="1" si="33"/>
        <v>Sun</v>
      </c>
      <c r="C188" s="2">
        <f ca="1">OFFSET(Data!$A$1,$C$31-A188,0,1,1)</f>
        <v>45683</v>
      </c>
      <c r="D188" s="5">
        <f ca="1">_xlfn.XLOOKUP(C188,Data!$A:$A,Data!$G:$G)</f>
        <v>-4.045307443365509E-4</v>
      </c>
      <c r="E188" s="5">
        <f ca="1">$E$31+$F$31*_xlfn.XLOOKUP(C188,Data!$A:$A,Data!$F:$F)</f>
        <v>1.1020722317098671E-4</v>
      </c>
      <c r="F188" s="5">
        <f t="shared" ca="1" si="34"/>
        <v>-5.1473796750753755E-4</v>
      </c>
      <c r="G188" s="13">
        <f t="shared" ca="1" si="35"/>
        <v>-3.4465037437222193E-2</v>
      </c>
      <c r="H188" t="str">
        <f t="shared" ca="1" si="36"/>
        <v>No</v>
      </c>
      <c r="I188" s="5">
        <f t="shared" ca="1" si="37"/>
        <v>-0.1108145367586435</v>
      </c>
    </row>
    <row r="189" spans="1:9" x14ac:dyDescent="0.2">
      <c r="A189">
        <v>6</v>
      </c>
      <c r="B189" t="str">
        <f t="shared" ca="1" si="33"/>
        <v>Thu</v>
      </c>
      <c r="C189" s="2">
        <f ca="1">OFFSET(Data!$A$1,$C$31-A189,0,1,1)</f>
        <v>45680</v>
      </c>
      <c r="D189" s="5">
        <f ca="1">_xlfn.XLOOKUP(C189,Data!$A:$A,Data!$G:$G)</f>
        <v>-7.2289156626506035E-3</v>
      </c>
      <c r="E189" s="5">
        <f ca="1">$E$31+$F$31*_xlfn.XLOOKUP(C189,Data!$A:$A,Data!$F:$F)</f>
        <v>-8.1015375880318374E-3</v>
      </c>
      <c r="F189" s="5">
        <f t="shared" ca="1" si="34"/>
        <v>8.7262192538123395E-4</v>
      </c>
      <c r="G189" s="13">
        <f t="shared" ca="1" si="35"/>
        <v>5.8427684035887134E-2</v>
      </c>
      <c r="H189" t="str">
        <f t="shared" ca="1" si="36"/>
        <v>No</v>
      </c>
      <c r="I189" s="5">
        <f t="shared" ca="1" si="37"/>
        <v>-0.11035660352493537</v>
      </c>
    </row>
    <row r="190" spans="1:9" x14ac:dyDescent="0.2">
      <c r="A190">
        <v>5</v>
      </c>
      <c r="B190" t="str">
        <f t="shared" ca="1" si="33"/>
        <v>Wed</v>
      </c>
      <c r="C190" s="2">
        <f ca="1">OFFSET(Data!$A$1,$C$31-A190,0,1,1)</f>
        <v>45679</v>
      </c>
      <c r="D190" s="5">
        <f ca="1">_xlfn.XLOOKUP(C190,Data!$A:$A,Data!$G:$G)</f>
        <v>-9.9403578528827197E-3</v>
      </c>
      <c r="E190" s="5">
        <f ca="1">$E$31+$F$31*_xlfn.XLOOKUP(C190,Data!$A:$A,Data!$F:$F)</f>
        <v>-8.6382961605784205E-3</v>
      </c>
      <c r="F190" s="5">
        <f t="shared" ca="1" si="34"/>
        <v>-1.3020616923042991E-3</v>
      </c>
      <c r="G190" s="13">
        <f t="shared" ca="1" si="35"/>
        <v>-8.7181455038448125E-2</v>
      </c>
      <c r="H190" t="str">
        <f t="shared" ca="1" si="36"/>
        <v>No</v>
      </c>
      <c r="I190" s="5">
        <f t="shared" ca="1" si="37"/>
        <v>-0.11113224901321073</v>
      </c>
    </row>
    <row r="191" spans="1:9" x14ac:dyDescent="0.2">
      <c r="A191">
        <v>4</v>
      </c>
      <c r="B191" t="str">
        <f t="shared" ca="1" si="33"/>
        <v>Tue</v>
      </c>
      <c r="C191" s="2">
        <f ca="1">OFFSET(Data!$A$1,$C$31-A191,0,1,1)</f>
        <v>45678</v>
      </c>
      <c r="D191" s="5">
        <f ca="1">_xlfn.XLOOKUP(C191,Data!$A:$A,Data!$G:$G)</f>
        <v>-1.9302008188730735E-2</v>
      </c>
      <c r="E191" s="5">
        <f ca="1">$E$31+$F$31*_xlfn.XLOOKUP(C191,Data!$A:$A,Data!$F:$F)</f>
        <v>-6.7681920926113853E-4</v>
      </c>
      <c r="F191" s="5">
        <f t="shared" ca="1" si="34"/>
        <v>-1.8625188979469597E-2</v>
      </c>
      <c r="G191" s="13">
        <f t="shared" ca="1" si="35"/>
        <v>-1.2470769128631609</v>
      </c>
      <c r="H191" t="str">
        <f t="shared" ca="1" si="36"/>
        <v>No</v>
      </c>
      <c r="I191" s="5">
        <f t="shared" ca="1" si="37"/>
        <v>-0.1099733794454556</v>
      </c>
    </row>
    <row r="192" spans="1:9" x14ac:dyDescent="0.2">
      <c r="A192">
        <v>3</v>
      </c>
      <c r="B192" t="str">
        <f t="shared" ca="1" si="33"/>
        <v>Mon</v>
      </c>
      <c r="C192" s="2">
        <f ca="1">OFFSET(Data!$A$1,$C$31-A192,0,1,1)</f>
        <v>45677</v>
      </c>
      <c r="D192" s="5">
        <f ca="1">_xlfn.XLOOKUP(C192,Data!$A:$A,Data!$G:$G)</f>
        <v>9.6456692913384767E-3</v>
      </c>
      <c r="E192" s="5">
        <f ca="1">$E$31+$F$31*_xlfn.XLOOKUP(C192,Data!$A:$A,Data!$F:$F)</f>
        <v>-9.1401896876999798E-4</v>
      </c>
      <c r="F192" s="5">
        <f t="shared" ca="1" si="34"/>
        <v>1.0559688260108474E-2</v>
      </c>
      <c r="G192" s="13">
        <f t="shared" ca="1" si="35"/>
        <v>0.707039453437452</v>
      </c>
      <c r="H192" t="str">
        <f t="shared" ca="1" si="36"/>
        <v>No</v>
      </c>
      <c r="I192" s="5">
        <f t="shared" ca="1" si="37"/>
        <v>-9.3081857655377465E-2</v>
      </c>
    </row>
    <row r="193" spans="1:9" x14ac:dyDescent="0.2">
      <c r="A193">
        <v>2</v>
      </c>
      <c r="B193" t="str">
        <f t="shared" ca="1" si="33"/>
        <v>Sun</v>
      </c>
      <c r="C193" s="2">
        <f ca="1">OFFSET(Data!$A$1,$C$31-A193,0,1,1)</f>
        <v>45676</v>
      </c>
      <c r="D193" s="5">
        <f ca="1">_xlfn.XLOOKUP(C193,Data!$A:$A,Data!$G:$G)</f>
        <v>1.9057171514543558E-2</v>
      </c>
      <c r="E193" s="5">
        <f ca="1">$E$31+$F$31*_xlfn.XLOOKUP(C193,Data!$A:$A,Data!$F:$F)</f>
        <v>1.315022822286414E-2</v>
      </c>
      <c r="F193" s="5">
        <f t="shared" ca="1" si="34"/>
        <v>5.906943291679418E-3</v>
      </c>
      <c r="G193" s="13">
        <f t="shared" ca="1" si="35"/>
        <v>0.39550807311352743</v>
      </c>
      <c r="H193" t="str">
        <f t="shared" ca="1" si="36"/>
        <v>No</v>
      </c>
      <c r="I193" s="5">
        <f t="shared" ca="1" si="37"/>
        <v>-0.10255855949877313</v>
      </c>
    </row>
    <row r="194" spans="1:9" x14ac:dyDescent="0.2">
      <c r="A194">
        <v>1</v>
      </c>
      <c r="B194" t="str">
        <f t="shared" ca="1" si="33"/>
        <v>Thu</v>
      </c>
      <c r="C194" s="2">
        <f ca="1">OFFSET(Data!$A$1,$C$31-A194,0,1,1)</f>
        <v>45673</v>
      </c>
      <c r="D194" s="5">
        <f ca="1">_xlfn.XLOOKUP(C194,Data!$A:$A,Data!$G:$G)</f>
        <v>-2.4461839530332652E-2</v>
      </c>
      <c r="E194" s="5">
        <f ca="1">$E$31+$F$31*_xlfn.XLOOKUP(C194,Data!$A:$A,Data!$F:$F)</f>
        <v>3.8134335810585318E-3</v>
      </c>
      <c r="F194" s="5">
        <f t="shared" ca="1" si="34"/>
        <v>-2.8275273111391185E-2</v>
      </c>
      <c r="G194" s="13">
        <f t="shared" ca="1" si="35"/>
        <v>-1.8932124845006875</v>
      </c>
      <c r="H194" t="str">
        <f t="shared" ca="1" si="36"/>
        <v>No</v>
      </c>
      <c r="I194" s="5">
        <f t="shared" ca="1" si="37"/>
        <v>-0.1078285655684168</v>
      </c>
    </row>
    <row r="195" spans="1:9" x14ac:dyDescent="0.2">
      <c r="A195">
        <v>0</v>
      </c>
      <c r="B195" t="str">
        <f t="shared" ca="1" si="33"/>
        <v>Wed</v>
      </c>
      <c r="C195" s="2">
        <f ca="1">OFFSET(Data!$A$1,$C$31-A195,0,1,1)</f>
        <v>45672</v>
      </c>
      <c r="D195" s="5">
        <f ca="1">_xlfn.XLOOKUP(C195,Data!$A:$A,Data!$G:$G)</f>
        <v>1.2683313515655881E-2</v>
      </c>
      <c r="E195" s="5">
        <f ca="1">$E$31+$F$31*_xlfn.XLOOKUP(C195,Data!$A:$A,Data!$F:$F)</f>
        <v>1.5071326527318012E-2</v>
      </c>
      <c r="F195" s="5">
        <f t="shared" ca="1" si="34"/>
        <v>-2.3880130116621309E-3</v>
      </c>
      <c r="G195" s="13">
        <f t="shared" ca="1" si="35"/>
        <v>-0.15989292230770574</v>
      </c>
      <c r="H195" t="str">
        <f t="shared" ca="1" si="36"/>
        <v>No</v>
      </c>
      <c r="I195" s="5">
        <f t="shared" ca="1" si="37"/>
        <v>-8.1868136372066358E-2</v>
      </c>
    </row>
    <row r="196" spans="1:9" x14ac:dyDescent="0.2">
      <c r="A196">
        <v>-1</v>
      </c>
      <c r="B196" t="str">
        <f t="shared" ca="1" si="33"/>
        <v>Tue</v>
      </c>
      <c r="C196" s="2">
        <f ca="1">OFFSET(Data!$A$1,$C$31-A196,0,1,1)</f>
        <v>45671</v>
      </c>
      <c r="D196" s="5">
        <f ca="1">_xlfn.XLOOKUP(C196,Data!$A:$A,Data!$G:$G)</f>
        <v>1.0817307692307709E-2</v>
      </c>
      <c r="E196" s="5">
        <f ca="1">$E$31+$F$31*_xlfn.XLOOKUP(C196,Data!$A:$A,Data!$F:$F)</f>
        <v>1.566423539288446E-2</v>
      </c>
      <c r="F196" s="5">
        <f t="shared" ca="1" si="34"/>
        <v>-4.8469277005767503E-3</v>
      </c>
      <c r="G196" s="13">
        <f t="shared" ca="1" si="35"/>
        <v>-0.32453317066307297</v>
      </c>
      <c r="H196" t="str">
        <f t="shared" ca="1" si="36"/>
        <v>No</v>
      </c>
      <c r="I196" s="5">
        <f t="shared" ca="1" si="37"/>
        <v>-7.9670377257940239E-2</v>
      </c>
    </row>
    <row r="197" spans="1:9" x14ac:dyDescent="0.2">
      <c r="A197">
        <v>-2</v>
      </c>
      <c r="B197" t="str">
        <f t="shared" ca="1" si="33"/>
        <v>Mon</v>
      </c>
      <c r="C197" s="2">
        <f ca="1">OFFSET(Data!$A$1,$C$31-A197,0,1,1)</f>
        <v>45670</v>
      </c>
      <c r="D197" s="5">
        <f ca="1">_xlfn.XLOOKUP(C197,Data!$A:$A,Data!$G:$G)</f>
        <v>8.4848484848485395E-3</v>
      </c>
      <c r="E197" s="5">
        <f ca="1">$E$31+$F$31*_xlfn.XLOOKUP(C197,Data!$A:$A,Data!$F:$F)</f>
        <v>5.1588164367970236E-4</v>
      </c>
      <c r="F197" s="5">
        <f t="shared" ca="1" si="34"/>
        <v>7.9689668411688369E-3</v>
      </c>
      <c r="G197" s="13">
        <f t="shared" ca="1" si="35"/>
        <v>0.53357389167692282</v>
      </c>
      <c r="H197" t="str">
        <f t="shared" ca="1" si="36"/>
        <v>No</v>
      </c>
      <c r="I197" s="5">
        <f t="shared" ca="1" si="37"/>
        <v>-7.5187879774590627E-2</v>
      </c>
    </row>
    <row r="198" spans="1:9" x14ac:dyDescent="0.2">
      <c r="A198">
        <v>-3</v>
      </c>
      <c r="B198" t="str">
        <f t="shared" ca="1" si="33"/>
        <v>Sun</v>
      </c>
      <c r="C198" s="2">
        <f ca="1">OFFSET(Data!$A$1,$C$31-A198,0,1,1)</f>
        <v>45669</v>
      </c>
      <c r="D198" s="5">
        <f ca="1">_xlfn.XLOOKUP(C198,Data!$A:$A,Data!$G:$G)</f>
        <v>-7.0210631895687436E-3</v>
      </c>
      <c r="E198" s="5">
        <f ca="1">$E$31+$F$31*_xlfn.XLOOKUP(C198,Data!$A:$A,Data!$F:$F)</f>
        <v>1.7944219527500195E-3</v>
      </c>
      <c r="F198" s="5">
        <f t="shared" ca="1" si="34"/>
        <v>-8.8154851423187623E-3</v>
      </c>
      <c r="G198" s="13">
        <f t="shared" ca="1" si="35"/>
        <v>-0.5902537691720654</v>
      </c>
      <c r="H198" t="str">
        <f t="shared" ca="1" si="36"/>
        <v>No</v>
      </c>
      <c r="I198" s="5">
        <f t="shared" ca="1" si="37"/>
        <v>-8.2499411540775114E-2</v>
      </c>
    </row>
    <row r="199" spans="1:9" x14ac:dyDescent="0.2">
      <c r="A199">
        <v>-4</v>
      </c>
      <c r="B199" t="str">
        <f t="shared" ca="1" si="33"/>
        <v>Thu</v>
      </c>
      <c r="C199" s="2">
        <f ca="1">OFFSET(Data!$A$1,$C$31-A199,0,1,1)</f>
        <v>45666</v>
      </c>
      <c r="D199" s="5">
        <f ca="1">_xlfn.XLOOKUP(C199,Data!$A:$A,Data!$G:$G)</f>
        <v>4.2304593070103813E-3</v>
      </c>
      <c r="E199" s="5">
        <f ca="1">$E$31+$F$31*_xlfn.XLOOKUP(C199,Data!$A:$A,Data!$F:$F)</f>
        <v>3.574064711306071E-3</v>
      </c>
      <c r="F199" s="5">
        <f t="shared" ca="1" si="34"/>
        <v>6.5639459570431035E-4</v>
      </c>
      <c r="G199" s="13">
        <f t="shared" ca="1" si="35"/>
        <v>4.3949865256846653E-2</v>
      </c>
      <c r="H199" t="str">
        <f t="shared" ca="1" si="36"/>
        <v>No</v>
      </c>
      <c r="I199" s="5">
        <f t="shared" ca="1" si="37"/>
        <v>-7.4339263067518924E-2</v>
      </c>
    </row>
    <row r="200" spans="1:9" x14ac:dyDescent="0.2">
      <c r="A200">
        <v>-5</v>
      </c>
      <c r="B200" t="str">
        <f t="shared" ca="1" si="33"/>
        <v>Wed</v>
      </c>
      <c r="C200" s="2">
        <f ca="1">OFFSET(Data!$A$1,$C$31-A200,0,1,1)</f>
        <v>45665</v>
      </c>
      <c r="D200" s="5">
        <f ca="1">_xlfn.XLOOKUP(C200,Data!$A:$A,Data!$G:$G)</f>
        <v>-1.3121272365805181E-2</v>
      </c>
      <c r="E200" s="5">
        <f ca="1">$E$31+$F$31*_xlfn.XLOOKUP(C200,Data!$A:$A,Data!$F:$F)</f>
        <v>-9.9158294960956603E-3</v>
      </c>
      <c r="F200" s="5">
        <f t="shared" ca="1" si="34"/>
        <v>-3.2054428697095207E-3</v>
      </c>
      <c r="G200" s="13">
        <f t="shared" ca="1" si="35"/>
        <v>-0.21462514032598118</v>
      </c>
      <c r="H200" t="str">
        <f t="shared" ca="1" si="36"/>
        <v>No</v>
      </c>
      <c r="I200" s="5">
        <f t="shared" ca="1" si="37"/>
        <v>-7.4946463209805136E-2</v>
      </c>
    </row>
    <row r="201" spans="1:9" x14ac:dyDescent="0.2">
      <c r="A201">
        <v>-6</v>
      </c>
      <c r="B201" t="str">
        <f t="shared" ca="1" si="33"/>
        <v>Tue</v>
      </c>
      <c r="C201" s="2">
        <f ca="1">OFFSET(Data!$A$1,$C$31-A201,0,1,1)</f>
        <v>45664</v>
      </c>
      <c r="D201" s="5">
        <f ca="1">_xlfn.XLOOKUP(C201,Data!$A:$A,Data!$G:$G)</f>
        <v>-1.6617790811339184E-2</v>
      </c>
      <c r="E201" s="5">
        <f ca="1">$E$31+$F$31*_xlfn.XLOOKUP(C201,Data!$A:$A,Data!$F:$F)</f>
        <v>-3.1288683939052254E-4</v>
      </c>
      <c r="F201" s="5">
        <f t="shared" ca="1" si="34"/>
        <v>-1.630490397194866E-2</v>
      </c>
      <c r="G201" s="13">
        <f t="shared" ca="1" si="35"/>
        <v>-1.0917188186536766</v>
      </c>
      <c r="H201" t="str">
        <f t="shared" ca="1" si="36"/>
        <v>No</v>
      </c>
      <c r="I201" s="5">
        <f t="shared" ca="1" si="37"/>
        <v>-7.1971721581860937E-2</v>
      </c>
    </row>
    <row r="202" spans="1:9" x14ac:dyDescent="0.2">
      <c r="A202">
        <v>-7</v>
      </c>
      <c r="B202" t="str">
        <f t="shared" ca="1" si="33"/>
        <v>Mon</v>
      </c>
      <c r="C202" s="2">
        <f ca="1">OFFSET(Data!$A$1,$C$31-A202,0,1,1)</f>
        <v>45663</v>
      </c>
      <c r="D202" s="5">
        <f ca="1">_xlfn.XLOOKUP(C202,Data!$A:$A,Data!$G:$G)</f>
        <v>1.2670758265689974E-2</v>
      </c>
      <c r="E202" s="5">
        <f ca="1">$E$31+$F$31*_xlfn.XLOOKUP(C202,Data!$A:$A,Data!$F:$F)</f>
        <v>1.0976509001595752E-2</v>
      </c>
      <c r="F202" s="5">
        <f t="shared" ca="1" si="34"/>
        <v>1.6942492640942223E-3</v>
      </c>
      <c r="G202" s="13">
        <f t="shared" ca="1" si="35"/>
        <v>0.11344095054371224</v>
      </c>
      <c r="H202" t="str">
        <f t="shared" ca="1" si="36"/>
        <v>No</v>
      </c>
      <c r="I202" s="5">
        <f t="shared" ca="1" si="37"/>
        <v>-5.6589504039089911E-2</v>
      </c>
    </row>
    <row r="203" spans="1:9" x14ac:dyDescent="0.2">
      <c r="A203">
        <v>-8</v>
      </c>
      <c r="B203" t="str">
        <f t="shared" ca="1" si="33"/>
        <v>Sun</v>
      </c>
      <c r="C203" s="2">
        <f ca="1">OFFSET(Data!$A$1,$C$31-A203,0,1,1)</f>
        <v>45662</v>
      </c>
      <c r="D203" s="5">
        <f ca="1">_xlfn.XLOOKUP(C203,Data!$A:$A,Data!$G:$G)</f>
        <v>-1.0577864838393736E-2</v>
      </c>
      <c r="E203" s="5">
        <f ca="1">$E$31+$F$31*_xlfn.XLOOKUP(C203,Data!$A:$A,Data!$F:$F)</f>
        <v>1.1100647165175261E-2</v>
      </c>
      <c r="F203" s="5">
        <f t="shared" ca="1" si="34"/>
        <v>-2.1678512003568996E-2</v>
      </c>
      <c r="G203" s="13">
        <f t="shared" ca="1" si="35"/>
        <v>-1.4515166452634667</v>
      </c>
      <c r="H203" t="str">
        <f t="shared" ca="1" si="36"/>
        <v>No</v>
      </c>
      <c r="I203" s="5">
        <f t="shared" ca="1" si="37"/>
        <v>-5.8185173116450328E-2</v>
      </c>
    </row>
    <row r="204" spans="1:9" x14ac:dyDescent="0.2">
      <c r="A204">
        <v>-9</v>
      </c>
      <c r="B204" t="str">
        <f t="shared" ca="1" si="33"/>
        <v>Thu</v>
      </c>
      <c r="C204" s="2">
        <f ca="1">OFFSET(Data!$A$1,$C$31-A204,0,1,1)</f>
        <v>45659</v>
      </c>
      <c r="D204" s="5">
        <f ca="1">_xlfn.XLOOKUP(C204,Data!$A:$A,Data!$G:$G)</f>
        <v>-1.7513471901462685E-2</v>
      </c>
      <c r="E204" s="5">
        <f ca="1">$E$31+$F$31*_xlfn.XLOOKUP(C204,Data!$A:$A,Data!$F:$F)</f>
        <v>7.6761898035055919E-3</v>
      </c>
      <c r="F204" s="5">
        <f t="shared" ca="1" si="34"/>
        <v>-2.5189661704968277E-2</v>
      </c>
      <c r="G204" s="13">
        <f t="shared" ca="1" si="35"/>
        <v>-1.6866108359880818</v>
      </c>
      <c r="H204" t="str">
        <f t="shared" ca="1" si="36"/>
        <v>No</v>
      </c>
      <c r="I204" s="5">
        <f t="shared" ca="1" si="37"/>
        <v>-3.7315607968139153E-2</v>
      </c>
    </row>
    <row r="205" spans="1:9" x14ac:dyDescent="0.2">
      <c r="A205">
        <v>-10</v>
      </c>
      <c r="B205" t="str">
        <f t="shared" ca="1" si="33"/>
        <v>Wed</v>
      </c>
      <c r="C205" s="2">
        <f ca="1">OFFSET(Data!$A$1,$C$31-A205,0,1,1)</f>
        <v>45658</v>
      </c>
      <c r="D205" s="5">
        <f ca="1">_xlfn.XLOOKUP(C205,Data!$A:$A,Data!$G:$G)</f>
        <v>-6.5009560229445373E-3</v>
      </c>
      <c r="E205" s="5">
        <f ca="1">$E$31+$F$31*_xlfn.XLOOKUP(C205,Data!$A:$A,Data!$F:$F)</f>
        <v>5.9383316895549234E-3</v>
      </c>
      <c r="F205" s="5">
        <f t="shared" ca="1" si="34"/>
        <v>-1.2439287712499461E-2</v>
      </c>
      <c r="G205" s="13">
        <f t="shared" ca="1" si="35"/>
        <v>-0.83289079836022395</v>
      </c>
      <c r="H205" t="str">
        <f t="shared" ca="1" si="36"/>
        <v>No</v>
      </c>
      <c r="I205" s="5">
        <f ca="1">F205</f>
        <v>-1.2439287712499461E-2</v>
      </c>
    </row>
    <row r="207" spans="1:9" x14ac:dyDescent="0.2">
      <c r="A207" s="3" t="s">
        <v>56</v>
      </c>
      <c r="B207" t="str">
        <f>E17</f>
        <v>Edan Alexander released</v>
      </c>
    </row>
    <row r="208" spans="1:9" x14ac:dyDescent="0.2">
      <c r="A208" s="12" t="s">
        <v>42</v>
      </c>
      <c r="B208" s="12" t="s">
        <v>43</v>
      </c>
      <c r="C208" s="12" t="s">
        <v>0</v>
      </c>
      <c r="D208" s="12" t="s">
        <v>44</v>
      </c>
      <c r="E208" s="12" t="s">
        <v>45</v>
      </c>
      <c r="F208" s="12" t="s">
        <v>46</v>
      </c>
      <c r="G208" s="12" t="s">
        <v>47</v>
      </c>
      <c r="H208" s="12" t="s">
        <v>48</v>
      </c>
      <c r="I208" s="12" t="s">
        <v>49</v>
      </c>
    </row>
    <row r="209" spans="1:9" x14ac:dyDescent="0.2">
      <c r="A209">
        <v>10</v>
      </c>
      <c r="B209" t="str">
        <f t="shared" ref="B209:B229" ca="1" si="38">TEXT(WEEKDAY(C209),"ddd")</f>
        <v>Mon</v>
      </c>
      <c r="C209" s="2">
        <f ca="1">OFFSET(Data!$A$1,$C$32-A209,0,1,1)</f>
        <v>45803</v>
      </c>
      <c r="D209" s="5">
        <f ca="1">_xlfn.XLOOKUP(C209,Data!$A:$A,Data!$G:$G)</f>
        <v>2.2793687901811799E-2</v>
      </c>
      <c r="E209" s="5">
        <f ca="1">$E$32+$F$32*_xlfn.XLOOKUP(C209,Data!$A:$A,Data!$F:$F)</f>
        <v>1.9915401285990876E-2</v>
      </c>
      <c r="F209" s="5">
        <f t="shared" ref="F209:F229" ca="1" si="39">D209-E209</f>
        <v>2.8782866158209228E-3</v>
      </c>
      <c r="G209" s="13">
        <f t="shared" ref="G209:G229" ca="1" si="40">F209/$I$32</f>
        <v>0.17953202181272512</v>
      </c>
      <c r="H209" t="str">
        <f t="shared" ref="H209:H229" ca="1" si="41">IF(ABS(G209)&lt;$B$6,"No","Yes")</f>
        <v>No</v>
      </c>
      <c r="I209" s="5">
        <f t="shared" ref="I209:I228" ca="1" si="42">(1+I210)*(1+F209)-1</f>
        <v>3.6388015330041767E-2</v>
      </c>
    </row>
    <row r="210" spans="1:9" x14ac:dyDescent="0.2">
      <c r="A210">
        <v>9</v>
      </c>
      <c r="B210" t="str">
        <f t="shared" ca="1" si="38"/>
        <v>Sun</v>
      </c>
      <c r="C210" s="2">
        <f ca="1">OFFSET(Data!$A$1,$C$32-A210,0,1,1)</f>
        <v>45802</v>
      </c>
      <c r="D210" s="5">
        <f ca="1">_xlfn.XLOOKUP(C210,Data!$A:$A,Data!$G:$G)</f>
        <v>8.0518460329930264E-3</v>
      </c>
      <c r="E210" s="5">
        <f ca="1">$E$32+$F$32*_xlfn.XLOOKUP(C210,Data!$A:$A,Data!$F:$F)</f>
        <v>3.6408426027908325E-3</v>
      </c>
      <c r="F210" s="5">
        <f t="shared" ca="1" si="39"/>
        <v>4.4110034302021935E-3</v>
      </c>
      <c r="G210" s="13">
        <f t="shared" ca="1" si="40"/>
        <v>0.275134644233893</v>
      </c>
      <c r="H210" t="str">
        <f t="shared" ca="1" si="41"/>
        <v>No</v>
      </c>
      <c r="I210" s="5">
        <f t="shared" ca="1" si="42"/>
        <v>3.3413554926289502E-2</v>
      </c>
    </row>
    <row r="211" spans="1:9" x14ac:dyDescent="0.2">
      <c r="A211">
        <v>8</v>
      </c>
      <c r="B211" t="str">
        <f t="shared" ca="1" si="38"/>
        <v>Thu</v>
      </c>
      <c r="C211" s="2">
        <f ca="1">OFFSET(Data!$A$1,$C$32-A211,0,1,1)</f>
        <v>45799</v>
      </c>
      <c r="D211" s="5">
        <f ca="1">_xlfn.XLOOKUP(C211,Data!$A:$A,Data!$G:$G)</f>
        <v>0</v>
      </c>
      <c r="E211" s="5">
        <f ca="1">$E$32+$F$32*_xlfn.XLOOKUP(C211,Data!$A:$A,Data!$F:$F)</f>
        <v>-1.5547930687000741E-2</v>
      </c>
      <c r="F211" s="5">
        <f t="shared" ca="1" si="39"/>
        <v>1.5547930687000741E-2</v>
      </c>
      <c r="G211" s="13">
        <f t="shared" ca="1" si="40"/>
        <v>0.96979620302519021</v>
      </c>
      <c r="H211" t="str">
        <f t="shared" ca="1" si="41"/>
        <v>No</v>
      </c>
      <c r="I211" s="5">
        <f t="shared" ca="1" si="42"/>
        <v>2.8875182964980928E-2</v>
      </c>
    </row>
    <row r="212" spans="1:9" x14ac:dyDescent="0.2">
      <c r="A212">
        <v>7</v>
      </c>
      <c r="B212" t="str">
        <f t="shared" ca="1" si="38"/>
        <v>Wed</v>
      </c>
      <c r="C212" s="2">
        <f ca="1">OFFSET(Data!$A$1,$C$32-A212,0,1,1)</f>
        <v>45798</v>
      </c>
      <c r="D212" s="5">
        <f ca="1">_xlfn.XLOOKUP(C212,Data!$A:$A,Data!$G:$G)</f>
        <v>-2.0957508171505435E-2</v>
      </c>
      <c r="E212" s="5">
        <f ca="1">$E$32+$F$32*_xlfn.XLOOKUP(C212,Data!$A:$A,Data!$F:$F)</f>
        <v>-1.0324837059240916E-2</v>
      </c>
      <c r="F212" s="5">
        <f t="shared" ca="1" si="39"/>
        <v>-1.0632671112264519E-2</v>
      </c>
      <c r="G212" s="13">
        <f t="shared" ca="1" si="40"/>
        <v>-0.66320877551319279</v>
      </c>
      <c r="H212" t="str">
        <f t="shared" ca="1" si="41"/>
        <v>No</v>
      </c>
      <c r="I212" s="5">
        <f t="shared" ca="1" si="42"/>
        <v>1.3123213464641292E-2</v>
      </c>
    </row>
    <row r="213" spans="1:9" x14ac:dyDescent="0.2">
      <c r="A213">
        <v>6</v>
      </c>
      <c r="B213" t="str">
        <f t="shared" ca="1" si="38"/>
        <v>Tue</v>
      </c>
      <c r="C213" s="2">
        <f ca="1">OFFSET(Data!$A$1,$C$32-A213,0,1,1)</f>
        <v>45797</v>
      </c>
      <c r="D213" s="5">
        <f ca="1">_xlfn.XLOOKUP(C213,Data!$A:$A,Data!$G:$G)</f>
        <v>-2.1080368906455815E-2</v>
      </c>
      <c r="E213" s="5">
        <f ca="1">$E$32+$F$32*_xlfn.XLOOKUP(C213,Data!$A:$A,Data!$F:$F)</f>
        <v>-5.0879342393205379E-3</v>
      </c>
      <c r="F213" s="5">
        <f t="shared" ca="1" si="39"/>
        <v>-1.5992434667135277E-2</v>
      </c>
      <c r="G213" s="13">
        <f t="shared" ca="1" si="40"/>
        <v>-0.99752196800589421</v>
      </c>
      <c r="H213" t="str">
        <f t="shared" ca="1" si="41"/>
        <v>No</v>
      </c>
      <c r="I213" s="5">
        <f t="shared" ca="1" si="42"/>
        <v>2.4011187638076414E-2</v>
      </c>
    </row>
    <row r="214" spans="1:9" x14ac:dyDescent="0.2">
      <c r="A214">
        <v>5</v>
      </c>
      <c r="B214" t="str">
        <f t="shared" ca="1" si="38"/>
        <v>Mon</v>
      </c>
      <c r="C214" s="2">
        <f ca="1">OFFSET(Data!$A$1,$C$32-A214,0,1,1)</f>
        <v>45796</v>
      </c>
      <c r="D214" s="5">
        <f ca="1">_xlfn.XLOOKUP(C214,Data!$A:$A,Data!$G:$G)</f>
        <v>-1.4102802004082426E-2</v>
      </c>
      <c r="E214" s="5">
        <f ca="1">$E$32+$F$32*_xlfn.XLOOKUP(C214,Data!$A:$A,Data!$F:$F)</f>
        <v>-5.3207645543324571E-3</v>
      </c>
      <c r="F214" s="5">
        <f t="shared" ca="1" si="39"/>
        <v>-8.7820374497499694E-3</v>
      </c>
      <c r="G214" s="13">
        <f t="shared" ca="1" si="40"/>
        <v>-0.54777621183462244</v>
      </c>
      <c r="H214" t="str">
        <f t="shared" ca="1" si="41"/>
        <v>No</v>
      </c>
      <c r="I214" s="5">
        <f t="shared" ca="1" si="42"/>
        <v>4.065377514824231E-2</v>
      </c>
    </row>
    <row r="215" spans="1:9" x14ac:dyDescent="0.2">
      <c r="A215">
        <v>4</v>
      </c>
      <c r="B215" t="str">
        <f t="shared" ca="1" si="38"/>
        <v>Sun</v>
      </c>
      <c r="C215" s="2">
        <f ca="1">OFFSET(Data!$A$1,$C$32-A215,0,1,1)</f>
        <v>45795</v>
      </c>
      <c r="D215" s="5">
        <f ca="1">_xlfn.XLOOKUP(C215,Data!$A:$A,Data!$G:$G)</f>
        <v>3.4357005758157477E-2</v>
      </c>
      <c r="E215" s="5">
        <f ca="1">$E$32+$F$32*_xlfn.XLOOKUP(C215,Data!$A:$A,Data!$F:$F)</f>
        <v>1.0775613276354885E-2</v>
      </c>
      <c r="F215" s="5">
        <f t="shared" ca="1" si="39"/>
        <v>2.3581392481802591E-2</v>
      </c>
      <c r="G215" s="13">
        <f t="shared" ca="1" si="40"/>
        <v>1.470880295988152</v>
      </c>
      <c r="H215" t="str">
        <f t="shared" ca="1" si="41"/>
        <v>No</v>
      </c>
      <c r="I215" s="5">
        <f t="shared" ca="1" si="42"/>
        <v>4.9873806232084039E-2</v>
      </c>
    </row>
    <row r="216" spans="1:9" x14ac:dyDescent="0.2">
      <c r="A216">
        <v>3</v>
      </c>
      <c r="B216" t="str">
        <f t="shared" ca="1" si="38"/>
        <v>Thu</v>
      </c>
      <c r="C216" s="2">
        <f ca="1">OFFSET(Data!$A$1,$C$32-A216,0,1,1)</f>
        <v>45792</v>
      </c>
      <c r="D216" s="5">
        <f ca="1">_xlfn.XLOOKUP(C216,Data!$A:$A,Data!$G:$G)</f>
        <v>-8.5632730732635443E-3</v>
      </c>
      <c r="E216" s="5">
        <f ca="1">$E$32+$F$32*_xlfn.XLOOKUP(C216,Data!$A:$A,Data!$F:$F)</f>
        <v>-3.0795428275599097E-3</v>
      </c>
      <c r="F216" s="5">
        <f t="shared" ca="1" si="39"/>
        <v>-5.4837302457036345E-3</v>
      </c>
      <c r="G216" s="13">
        <f t="shared" ca="1" si="40"/>
        <v>-0.34204556720490897</v>
      </c>
      <c r="H216" t="str">
        <f t="shared" ca="1" si="41"/>
        <v>No</v>
      </c>
      <c r="I216" s="5">
        <f t="shared" ca="1" si="42"/>
        <v>2.568668592785972E-2</v>
      </c>
    </row>
    <row r="217" spans="1:9" x14ac:dyDescent="0.2">
      <c r="A217">
        <v>2</v>
      </c>
      <c r="B217" t="str">
        <f t="shared" ca="1" si="38"/>
        <v>Wed</v>
      </c>
      <c r="C217" s="2">
        <f ca="1">OFFSET(Data!$A$1,$C$32-A217,0,1,1)</f>
        <v>45791</v>
      </c>
      <c r="D217" s="5">
        <f ca="1">_xlfn.XLOOKUP(C217,Data!$A:$A,Data!$G:$G)</f>
        <v>1.742497579864466E-2</v>
      </c>
      <c r="E217" s="5">
        <f ca="1">$E$32+$F$32*_xlfn.XLOOKUP(C217,Data!$A:$A,Data!$F:$F)</f>
        <v>7.1736115799660473E-3</v>
      </c>
      <c r="F217" s="5">
        <f t="shared" ca="1" si="39"/>
        <v>1.0251364218678612E-2</v>
      </c>
      <c r="G217" s="13">
        <f t="shared" ca="1" si="40"/>
        <v>0.63942490452538892</v>
      </c>
      <c r="H217" t="str">
        <f t="shared" ca="1" si="41"/>
        <v>No</v>
      </c>
      <c r="I217" s="5">
        <f t="shared" ca="1" si="42"/>
        <v>3.1342288830794374E-2</v>
      </c>
    </row>
    <row r="218" spans="1:9" x14ac:dyDescent="0.2">
      <c r="A218">
        <v>1</v>
      </c>
      <c r="B218" t="str">
        <f t="shared" ca="1" si="38"/>
        <v>Tue</v>
      </c>
      <c r="C218" s="2">
        <f ca="1">OFFSET(Data!$A$1,$C$32-A218,0,1,1)</f>
        <v>45790</v>
      </c>
      <c r="D218" s="5">
        <f ca="1">_xlfn.XLOOKUP(C218,Data!$A:$A,Data!$G:$G)</f>
        <v>5.6464174454828875E-3</v>
      </c>
      <c r="E218" s="5">
        <f ca="1">$E$32+$F$32*_xlfn.XLOOKUP(C218,Data!$A:$A,Data!$F:$F)</f>
        <v>-5.6311287687805102E-4</v>
      </c>
      <c r="F218" s="5">
        <f t="shared" ca="1" si="39"/>
        <v>6.2095303223609387E-3</v>
      </c>
      <c r="G218" s="13">
        <f t="shared" ca="1" si="40"/>
        <v>0.38731706813114741</v>
      </c>
      <c r="H218" t="str">
        <f t="shared" ca="1" si="41"/>
        <v>No</v>
      </c>
      <c r="I218" s="5">
        <f t="shared" ca="1" si="42"/>
        <v>2.0876907826229418E-2</v>
      </c>
    </row>
    <row r="219" spans="1:9" x14ac:dyDescent="0.2">
      <c r="A219">
        <v>0</v>
      </c>
      <c r="B219" t="str">
        <f t="shared" ca="1" si="38"/>
        <v>Mon</v>
      </c>
      <c r="C219" s="2">
        <f ca="1">OFFSET(Data!$A$1,$C$32-A219,0,1,1)</f>
        <v>45789</v>
      </c>
      <c r="D219" s="5">
        <f ca="1">_xlfn.XLOOKUP(C219,Data!$A:$A,Data!$G:$G)</f>
        <v>-2.3310023310023631E-3</v>
      </c>
      <c r="E219" s="5">
        <f ca="1">$E$32+$F$32*_xlfn.XLOOKUP(C219,Data!$A:$A,Data!$F:$F)</f>
        <v>-2.9045348620619291E-3</v>
      </c>
      <c r="F219" s="5">
        <f t="shared" ca="1" si="39"/>
        <v>5.7353253105956598E-4</v>
      </c>
      <c r="G219" s="13">
        <f t="shared" ca="1" si="40"/>
        <v>3.5773871271372971E-2</v>
      </c>
      <c r="H219" t="str">
        <f t="shared" ca="1" si="41"/>
        <v>No</v>
      </c>
      <c r="I219" s="5">
        <f t="shared" ca="1" si="42"/>
        <v>1.4576862037044558E-2</v>
      </c>
    </row>
    <row r="220" spans="1:9" x14ac:dyDescent="0.2">
      <c r="A220">
        <v>-1</v>
      </c>
      <c r="B220" t="str">
        <f t="shared" ca="1" si="38"/>
        <v>Sun</v>
      </c>
      <c r="C220" s="2">
        <f ca="1">OFFSET(Data!$A$1,$C$32-A220,0,1,1)</f>
        <v>45788</v>
      </c>
      <c r="D220" s="5">
        <f ca="1">_xlfn.XLOOKUP(C220,Data!$A:$A,Data!$G:$G)</f>
        <v>1.4984227129337446E-2</v>
      </c>
      <c r="E220" s="5">
        <f ca="1">$E$32+$F$32*_xlfn.XLOOKUP(C220,Data!$A:$A,Data!$F:$F)</f>
        <v>-7.6758309898622445E-4</v>
      </c>
      <c r="F220" s="5">
        <f t="shared" ca="1" si="39"/>
        <v>1.5751810228323671E-2</v>
      </c>
      <c r="G220" s="13">
        <f t="shared" ca="1" si="40"/>
        <v>0.98251311108388162</v>
      </c>
      <c r="H220" t="str">
        <f t="shared" ca="1" si="41"/>
        <v>No</v>
      </c>
      <c r="I220" s="5">
        <f t="shared" ca="1" si="42"/>
        <v>1.3995302744578941E-2</v>
      </c>
    </row>
    <row r="221" spans="1:9" x14ac:dyDescent="0.2">
      <c r="A221">
        <v>-2</v>
      </c>
      <c r="B221" t="str">
        <f t="shared" ca="1" si="38"/>
        <v>Thu</v>
      </c>
      <c r="C221" s="2">
        <f ca="1">OFFSET(Data!$A$1,$C$32-A221,0,1,1)</f>
        <v>45785</v>
      </c>
      <c r="D221" s="5">
        <f ca="1">_xlfn.XLOOKUP(C221,Data!$A:$A,Data!$G:$G)</f>
        <v>1.4399999999999968E-2</v>
      </c>
      <c r="E221" s="5">
        <f ca="1">$E$32+$F$32*_xlfn.XLOOKUP(C221,Data!$A:$A,Data!$F:$F)</f>
        <v>1.0963757332886256E-2</v>
      </c>
      <c r="F221" s="5">
        <f t="shared" ca="1" si="39"/>
        <v>3.4362426671137123E-3</v>
      </c>
      <c r="G221" s="13">
        <f t="shared" ca="1" si="40"/>
        <v>0.21433431614319057</v>
      </c>
      <c r="H221" t="str">
        <f t="shared" ca="1" si="41"/>
        <v>No</v>
      </c>
      <c r="I221" s="5">
        <f t="shared" ca="1" si="42"/>
        <v>-1.7292683764451589E-3</v>
      </c>
    </row>
    <row r="222" spans="1:9" x14ac:dyDescent="0.2">
      <c r="A222">
        <v>-3</v>
      </c>
      <c r="B222" t="str">
        <f t="shared" ca="1" si="38"/>
        <v>Wed</v>
      </c>
      <c r="C222" s="2">
        <f ca="1">OFFSET(Data!$A$1,$C$32-A222,0,1,1)</f>
        <v>45784</v>
      </c>
      <c r="D222" s="5">
        <f ca="1">_xlfn.XLOOKUP(C222,Data!$A:$A,Data!$G:$G)</f>
        <v>2.0616452337211655E-2</v>
      </c>
      <c r="E222" s="5">
        <f ca="1">$E$32+$F$32*_xlfn.XLOOKUP(C222,Data!$A:$A,Data!$F:$F)</f>
        <v>1.6614448636766106E-2</v>
      </c>
      <c r="F222" s="5">
        <f t="shared" ca="1" si="39"/>
        <v>4.0020037004455493E-3</v>
      </c>
      <c r="G222" s="13">
        <f t="shared" ca="1" si="40"/>
        <v>0.24962344322963662</v>
      </c>
      <c r="H222" t="str">
        <f t="shared" ca="1" si="41"/>
        <v>No</v>
      </c>
      <c r="I222" s="5">
        <f t="shared" ca="1" si="42"/>
        <v>-5.1478218783777008E-3</v>
      </c>
    </row>
    <row r="223" spans="1:9" x14ac:dyDescent="0.2">
      <c r="A223">
        <v>-4</v>
      </c>
      <c r="B223" t="str">
        <f t="shared" ca="1" si="38"/>
        <v>Tue</v>
      </c>
      <c r="C223" s="2">
        <f ca="1">OFFSET(Data!$A$1,$C$32-A223,0,1,1)</f>
        <v>45783</v>
      </c>
      <c r="D223" s="5">
        <f ca="1">_xlfn.XLOOKUP(C223,Data!$A:$A,Data!$G:$G)</f>
        <v>1.5126398673849906E-2</v>
      </c>
      <c r="E223" s="5">
        <f ca="1">$E$32+$F$32*_xlfn.XLOOKUP(C223,Data!$A:$A,Data!$F:$F)</f>
        <v>5.1843574147060131E-3</v>
      </c>
      <c r="F223" s="5">
        <f t="shared" ca="1" si="39"/>
        <v>9.9420412591438925E-3</v>
      </c>
      <c r="G223" s="13">
        <f t="shared" ca="1" si="40"/>
        <v>0.62013100376751562</v>
      </c>
      <c r="H223" t="str">
        <f t="shared" ca="1" si="41"/>
        <v>No</v>
      </c>
      <c r="I223" s="5">
        <f t="shared" ca="1" si="42"/>
        <v>-9.1133539027808963E-3</v>
      </c>
    </row>
    <row r="224" spans="1:9" x14ac:dyDescent="0.2">
      <c r="A224">
        <v>-5</v>
      </c>
      <c r="B224" t="str">
        <f t="shared" ca="1" si="38"/>
        <v>Mon</v>
      </c>
      <c r="C224" s="2">
        <f ca="1">OFFSET(Data!$A$1,$C$32-A224,0,1,1)</f>
        <v>45782</v>
      </c>
      <c r="D224" s="5">
        <f ca="1">_xlfn.XLOOKUP(C224,Data!$A:$A,Data!$G:$G)</f>
        <v>4.3704474505723567E-3</v>
      </c>
      <c r="E224" s="5">
        <f ca="1">$E$32+$F$32*_xlfn.XLOOKUP(C224,Data!$A:$A,Data!$F:$F)</f>
        <v>1.0800049104407171E-2</v>
      </c>
      <c r="F224" s="5">
        <f t="shared" ca="1" si="39"/>
        <v>-6.4296016538348145E-3</v>
      </c>
      <c r="G224" s="13">
        <f t="shared" ca="1" si="40"/>
        <v>-0.4010439328795542</v>
      </c>
      <c r="H224" t="str">
        <f t="shared" ca="1" si="41"/>
        <v>No</v>
      </c>
      <c r="I224" s="5">
        <f t="shared" ca="1" si="42"/>
        <v>-1.8867810610366909E-2</v>
      </c>
    </row>
    <row r="225" spans="1:9" x14ac:dyDescent="0.2">
      <c r="A225">
        <v>-6</v>
      </c>
      <c r="B225" t="str">
        <f t="shared" ca="1" si="38"/>
        <v>Sun</v>
      </c>
      <c r="C225" s="2">
        <f ca="1">OFFSET(Data!$A$1,$C$32-A225,0,1,1)</f>
        <v>45781</v>
      </c>
      <c r="D225" s="5">
        <f ca="1">_xlfn.XLOOKUP(C225,Data!$A:$A,Data!$G:$G)</f>
        <v>1.1578947368421133E-2</v>
      </c>
      <c r="E225" s="5">
        <f ca="1">$E$32+$F$32*_xlfn.XLOOKUP(C225,Data!$A:$A,Data!$F:$F)</f>
        <v>7.7956695838879821E-4</v>
      </c>
      <c r="F225" s="5">
        <f t="shared" ca="1" si="39"/>
        <v>1.0799380410032335E-2</v>
      </c>
      <c r="G225" s="13">
        <f t="shared" ca="1" si="40"/>
        <v>0.67360720391108864</v>
      </c>
      <c r="H225" t="str">
        <f t="shared" ca="1" si="41"/>
        <v>No</v>
      </c>
      <c r="I225" s="5">
        <f t="shared" ca="1" si="42"/>
        <v>-1.2518699205648631E-2</v>
      </c>
    </row>
    <row r="226" spans="1:9" x14ac:dyDescent="0.2">
      <c r="A226">
        <v>-7</v>
      </c>
      <c r="B226" t="str">
        <f t="shared" ca="1" si="38"/>
        <v>Tue</v>
      </c>
      <c r="C226" s="2">
        <f ca="1">OFFSET(Data!$A$1,$C$32-A226,0,1,1)</f>
        <v>45776</v>
      </c>
      <c r="D226" s="5">
        <f ca="1">_xlfn.XLOOKUP(C226,Data!$A:$A,Data!$G:$G)</f>
        <v>2.1057064645191303E-4</v>
      </c>
      <c r="E226" s="5">
        <f ca="1">$E$32+$F$32*_xlfn.XLOOKUP(C226,Data!$A:$A,Data!$F:$F)</f>
        <v>2.9005116248467873E-3</v>
      </c>
      <c r="F226" s="5">
        <f t="shared" ca="1" si="39"/>
        <v>-2.6899409783948743E-3</v>
      </c>
      <c r="G226" s="13">
        <f t="shared" ca="1" si="40"/>
        <v>-0.16778403504141437</v>
      </c>
      <c r="H226" t="str">
        <f t="shared" ca="1" si="41"/>
        <v>No</v>
      </c>
      <c r="I226" s="5">
        <f t="shared" ca="1" si="42"/>
        <v>-2.3068949256994986E-2</v>
      </c>
    </row>
    <row r="227" spans="1:9" x14ac:dyDescent="0.2">
      <c r="A227">
        <v>-8</v>
      </c>
      <c r="B227" t="str">
        <f t="shared" ca="1" si="38"/>
        <v>Mon</v>
      </c>
      <c r="C227" s="2">
        <f ca="1">OFFSET(Data!$A$1,$C$32-A227,0,1,1)</f>
        <v>45775</v>
      </c>
      <c r="D227" s="5">
        <f ca="1">_xlfn.XLOOKUP(C227,Data!$A:$A,Data!$G:$G)</f>
        <v>1.8987341772152E-3</v>
      </c>
      <c r="E227" s="5">
        <f ca="1">$E$32+$F$32*_xlfn.XLOOKUP(C227,Data!$A:$A,Data!$F:$F)</f>
        <v>-4.477445008248716E-3</v>
      </c>
      <c r="F227" s="5">
        <f t="shared" ca="1" si="39"/>
        <v>6.376179185463916E-3</v>
      </c>
      <c r="G227" s="13">
        <f t="shared" ca="1" si="40"/>
        <v>0.39771172694004314</v>
      </c>
      <c r="H227" t="str">
        <f t="shared" ca="1" si="41"/>
        <v>No</v>
      </c>
      <c r="I227" s="5">
        <f t="shared" ca="1" si="42"/>
        <v>-2.0433974463861859E-2</v>
      </c>
    </row>
    <row r="228" spans="1:9" x14ac:dyDescent="0.2">
      <c r="A228">
        <v>-9</v>
      </c>
      <c r="B228" t="str">
        <f t="shared" ca="1" si="38"/>
        <v>Sun</v>
      </c>
      <c r="C228" s="2">
        <f ca="1">OFFSET(Data!$A$1,$C$32-A228,0,1,1)</f>
        <v>45774</v>
      </c>
      <c r="D228" s="5">
        <f ca="1">_xlfn.XLOOKUP(C228,Data!$A:$A,Data!$G:$G)</f>
        <v>-1.126408010012514E-2</v>
      </c>
      <c r="E228" s="5">
        <f ca="1">$E$32+$F$32*_xlfn.XLOOKUP(C228,Data!$A:$A,Data!$F:$F)</f>
        <v>1.0606484437085339E-3</v>
      </c>
      <c r="F228" s="5">
        <f t="shared" ca="1" si="39"/>
        <v>-1.2324728543833674E-2</v>
      </c>
      <c r="G228" s="13">
        <f t="shared" ca="1" si="40"/>
        <v>-0.76875020771215952</v>
      </c>
      <c r="H228" t="str">
        <f t="shared" ca="1" si="41"/>
        <v>No</v>
      </c>
      <c r="I228" s="5">
        <f t="shared" ca="1" si="42"/>
        <v>-2.6640290384282839E-2</v>
      </c>
    </row>
    <row r="229" spans="1:9" x14ac:dyDescent="0.2">
      <c r="A229">
        <v>-10</v>
      </c>
      <c r="B229" t="str">
        <f t="shared" ca="1" si="38"/>
        <v>Thu</v>
      </c>
      <c r="C229" s="2">
        <f ca="1">OFFSET(Data!$A$1,$C$32-A229,0,1,1)</f>
        <v>45771</v>
      </c>
      <c r="D229" s="5">
        <f ca="1">_xlfn.XLOOKUP(C229,Data!$A:$A,Data!$G:$G)</f>
        <v>-1.4796547472256449E-2</v>
      </c>
      <c r="E229" s="5">
        <f ca="1">$E$32+$F$32*_xlfn.XLOOKUP(C229,Data!$A:$A,Data!$F:$F)</f>
        <v>-3.0234856481272738E-4</v>
      </c>
      <c r="F229" s="5">
        <f t="shared" ca="1" si="39"/>
        <v>-1.4494198907443722E-2</v>
      </c>
      <c r="G229" s="13">
        <f t="shared" ca="1" si="40"/>
        <v>-0.90407008812323963</v>
      </c>
      <c r="H229" t="str">
        <f t="shared" ca="1" si="41"/>
        <v>No</v>
      </c>
      <c r="I229" s="5">
        <f ca="1">F229</f>
        <v>-1.4494198907443722E-2</v>
      </c>
    </row>
    <row r="231" spans="1:9" x14ac:dyDescent="0.2">
      <c r="A231" s="3" t="s">
        <v>57</v>
      </c>
      <c r="B231" t="str">
        <f>E18</f>
        <v>12-Day War begins</v>
      </c>
    </row>
    <row r="232" spans="1:9" x14ac:dyDescent="0.2">
      <c r="A232" s="12" t="s">
        <v>42</v>
      </c>
      <c r="B232" s="12" t="s">
        <v>43</v>
      </c>
      <c r="C232" s="12" t="s">
        <v>0</v>
      </c>
      <c r="D232" s="12" t="s">
        <v>44</v>
      </c>
      <c r="E232" s="12" t="s">
        <v>45</v>
      </c>
      <c r="F232" s="12" t="s">
        <v>46</v>
      </c>
      <c r="G232" s="12" t="s">
        <v>47</v>
      </c>
      <c r="H232" s="12" t="s">
        <v>48</v>
      </c>
      <c r="I232" s="12" t="s">
        <v>49</v>
      </c>
    </row>
    <row r="233" spans="1:9" x14ac:dyDescent="0.2">
      <c r="A233">
        <v>10</v>
      </c>
      <c r="B233" t="str">
        <f t="shared" ref="B233:B253" ca="1" si="43">TEXT(WEEKDAY(C233),"ddd")</f>
        <v>Sun</v>
      </c>
      <c r="C233" s="2">
        <f ca="1">OFFSET(Data!$A$1,$C$33-A233,0,1,1)</f>
        <v>45837</v>
      </c>
      <c r="D233" s="5">
        <f ca="1">_xlfn.XLOOKUP(C233,Data!$A:$A,Data!$G:$G)</f>
        <v>1.3816925734024155E-2</v>
      </c>
      <c r="E233" s="5">
        <f ca="1">$E$33+$F$33*_xlfn.XLOOKUP(C233,Data!$A:$A,Data!$F:$F)</f>
        <v>2.2372657894927012E-2</v>
      </c>
      <c r="F233" s="5">
        <f t="shared" ref="F233:F253" ca="1" si="44">D233-E233</f>
        <v>-8.5557321609028569E-3</v>
      </c>
      <c r="G233" s="13">
        <f t="shared" ref="G233:G253" ca="1" si="45">F233/$I$33</f>
        <v>-0.53877245623063874</v>
      </c>
      <c r="H233" t="str">
        <f t="shared" ref="H233:H253" ca="1" si="46">IF(ABS(G233)&lt;$B$6,"No","Yes")</f>
        <v>No</v>
      </c>
      <c r="I233" s="5">
        <f t="shared" ref="I233:I252" ca="1" si="47">(1+I234)*(1+F233)-1</f>
        <v>-4.3536586039195635E-3</v>
      </c>
    </row>
    <row r="234" spans="1:9" x14ac:dyDescent="0.2">
      <c r="A234">
        <v>9</v>
      </c>
      <c r="B234" t="str">
        <f t="shared" ca="1" si="43"/>
        <v>Thu</v>
      </c>
      <c r="C234" s="2">
        <f ca="1">OFFSET(Data!$A$1,$C$33-A234,0,1,1)</f>
        <v>45834</v>
      </c>
      <c r="D234" s="5">
        <f ca="1">_xlfn.XLOOKUP(C234,Data!$A:$A,Data!$G:$G)</f>
        <v>-2.1959459459459429E-2</v>
      </c>
      <c r="E234" s="5">
        <f ca="1">$E$33+$F$33*_xlfn.XLOOKUP(C234,Data!$A:$A,Data!$F:$F)</f>
        <v>-8.3126659922141757E-3</v>
      </c>
      <c r="F234" s="5">
        <f t="shared" ca="1" si="44"/>
        <v>-1.3646793467245254E-2</v>
      </c>
      <c r="G234" s="13">
        <f t="shared" ca="1" si="45"/>
        <v>-0.85936729875892648</v>
      </c>
      <c r="H234" t="str">
        <f t="shared" ca="1" si="46"/>
        <v>No</v>
      </c>
      <c r="I234" s="5">
        <f t="shared" ca="1" si="47"/>
        <v>4.2383356213677725E-3</v>
      </c>
    </row>
    <row r="235" spans="1:9" x14ac:dyDescent="0.2">
      <c r="A235">
        <v>8</v>
      </c>
      <c r="B235" t="str">
        <f t="shared" ca="1" si="43"/>
        <v>Wed</v>
      </c>
      <c r="C235" s="2">
        <f ca="1">OFFSET(Data!$A$1,$C$33-A235,0,1,1)</f>
        <v>45833</v>
      </c>
      <c r="D235" s="5">
        <f ca="1">_xlfn.XLOOKUP(C235,Data!$A:$A,Data!$G:$G)</f>
        <v>4.2253521126760507E-2</v>
      </c>
      <c r="E235" s="5">
        <f ca="1">$E$33+$F$33*_xlfn.XLOOKUP(C235,Data!$A:$A,Data!$F:$F)</f>
        <v>1.8804947293432208E-2</v>
      </c>
      <c r="F235" s="5">
        <f t="shared" ca="1" si="44"/>
        <v>2.3448573833328299E-2</v>
      </c>
      <c r="G235" s="13">
        <f t="shared" ca="1" si="45"/>
        <v>1.4766060322714227</v>
      </c>
      <c r="H235" t="str">
        <f t="shared" ca="1" si="46"/>
        <v>No</v>
      </c>
      <c r="I235" s="5">
        <f t="shared" ca="1" si="47"/>
        <v>1.8132580672072907E-2</v>
      </c>
    </row>
    <row r="236" spans="1:9" x14ac:dyDescent="0.2">
      <c r="A236">
        <v>7</v>
      </c>
      <c r="B236" t="str">
        <f t="shared" ca="1" si="43"/>
        <v>Tue</v>
      </c>
      <c r="C236" s="2">
        <f ca="1">OFFSET(Data!$A$1,$C$33-A236,0,1,1)</f>
        <v>45832</v>
      </c>
      <c r="D236" s="5">
        <f ca="1">_xlfn.XLOOKUP(C236,Data!$A:$A,Data!$G:$G)</f>
        <v>5.7531185998882961E-2</v>
      </c>
      <c r="E236" s="5">
        <f ca="1">$E$33+$F$33*_xlfn.XLOOKUP(C236,Data!$A:$A,Data!$F:$F)</f>
        <v>1.6068691685950924E-2</v>
      </c>
      <c r="F236" s="5">
        <f t="shared" ca="1" si="44"/>
        <v>4.1462494312932037E-2</v>
      </c>
      <c r="G236" s="13">
        <f t="shared" ca="1" si="45"/>
        <v>2.6109805078411834</v>
      </c>
      <c r="H236" t="str">
        <f t="shared" ca="1" si="46"/>
        <v>Yes</v>
      </c>
      <c r="I236" s="5">
        <f t="shared" ca="1" si="47"/>
        <v>-5.1941966574289289E-3</v>
      </c>
    </row>
    <row r="237" spans="1:9" x14ac:dyDescent="0.2">
      <c r="A237">
        <v>6</v>
      </c>
      <c r="B237" t="str">
        <f t="shared" ca="1" si="43"/>
        <v>Mon</v>
      </c>
      <c r="C237" s="2">
        <f ca="1">OFFSET(Data!$A$1,$C$33-A237,0,1,1)</f>
        <v>45831</v>
      </c>
      <c r="D237" s="5">
        <f ca="1">_xlfn.XLOOKUP(C237,Data!$A:$A,Data!$G:$G)</f>
        <v>-7.208872458410398E-3</v>
      </c>
      <c r="E237" s="5">
        <f ca="1">$E$33+$F$33*_xlfn.XLOOKUP(C237,Data!$A:$A,Data!$F:$F)</f>
        <v>-1.5182376764345695E-2</v>
      </c>
      <c r="F237" s="5">
        <f t="shared" ca="1" si="44"/>
        <v>7.9735043059352972E-3</v>
      </c>
      <c r="G237" s="13">
        <f t="shared" ca="1" si="45"/>
        <v>0.50210834314161168</v>
      </c>
      <c r="H237" t="str">
        <f t="shared" ca="1" si="46"/>
        <v>No</v>
      </c>
      <c r="I237" s="5">
        <f t="shared" ca="1" si="47"/>
        <v>-4.4799204220158706E-2</v>
      </c>
    </row>
    <row r="238" spans="1:9" x14ac:dyDescent="0.2">
      <c r="A238">
        <v>5</v>
      </c>
      <c r="B238" t="str">
        <f t="shared" ca="1" si="43"/>
        <v>Sun</v>
      </c>
      <c r="C238" s="2">
        <f ca="1">OFFSET(Data!$A$1,$C$33-A238,0,1,1)</f>
        <v>45830</v>
      </c>
      <c r="D238" s="5">
        <f ca="1">_xlfn.XLOOKUP(C238,Data!$A:$A,Data!$G:$G)</f>
        <v>1.3678096308787691E-2</v>
      </c>
      <c r="E238" s="5">
        <f ca="1">$E$33+$F$33*_xlfn.XLOOKUP(C238,Data!$A:$A,Data!$F:$F)</f>
        <v>1.9438966990647389E-2</v>
      </c>
      <c r="F238" s="5">
        <f t="shared" ca="1" si="44"/>
        <v>-5.7608706818596984E-3</v>
      </c>
      <c r="G238" s="13">
        <f t="shared" ca="1" si="45"/>
        <v>-0.36277414824602122</v>
      </c>
      <c r="H238" t="str">
        <f t="shared" ca="1" si="46"/>
        <v>No</v>
      </c>
      <c r="I238" s="5">
        <f t="shared" ca="1" si="47"/>
        <v>-5.2355253685395065E-2</v>
      </c>
    </row>
    <row r="239" spans="1:9" x14ac:dyDescent="0.2">
      <c r="A239">
        <v>4</v>
      </c>
      <c r="B239" t="str">
        <f t="shared" ca="1" si="43"/>
        <v>Thu</v>
      </c>
      <c r="C239" s="2">
        <f ca="1">OFFSET(Data!$A$1,$C$33-A239,0,1,1)</f>
        <v>45827</v>
      </c>
      <c r="D239" s="5">
        <f ca="1">_xlfn.XLOOKUP(C239,Data!$A:$A,Data!$G:$G)</f>
        <v>3.0069535801540148E-3</v>
      </c>
      <c r="E239" s="5">
        <f ca="1">$E$33+$F$33*_xlfn.XLOOKUP(C239,Data!$A:$A,Data!$F:$F)</f>
        <v>1.0807418688106536E-2</v>
      </c>
      <c r="F239" s="5">
        <f t="shared" ca="1" si="44"/>
        <v>-7.8004651079525214E-3</v>
      </c>
      <c r="G239" s="13">
        <f t="shared" ca="1" si="45"/>
        <v>-0.49121170075402182</v>
      </c>
      <c r="H239" t="str">
        <f t="shared" ca="1" si="46"/>
        <v>No</v>
      </c>
      <c r="I239" s="5">
        <f t="shared" ca="1" si="47"/>
        <v>-4.6864362535691262E-2</v>
      </c>
    </row>
    <row r="240" spans="1:9" x14ac:dyDescent="0.2">
      <c r="A240">
        <v>3</v>
      </c>
      <c r="B240" t="str">
        <f t="shared" ca="1" si="43"/>
        <v>Wed</v>
      </c>
      <c r="C240" s="2">
        <f ca="1">OFFSET(Data!$A$1,$C$33-A240,0,1,1)</f>
        <v>45826</v>
      </c>
      <c r="D240" s="5">
        <f ca="1">_xlfn.XLOOKUP(C240,Data!$A:$A,Data!$G:$G)</f>
        <v>1.8373205741626819E-2</v>
      </c>
      <c r="E240" s="5">
        <f ca="1">$E$33+$F$33*_xlfn.XLOOKUP(C240,Data!$A:$A,Data!$F:$F)</f>
        <v>1.4788875126199226E-2</v>
      </c>
      <c r="F240" s="5">
        <f t="shared" ca="1" si="44"/>
        <v>3.5843306154275927E-3</v>
      </c>
      <c r="G240" s="13">
        <f t="shared" ca="1" si="45"/>
        <v>0.22571284061945376</v>
      </c>
      <c r="H240" t="str">
        <f t="shared" ca="1" si="46"/>
        <v>No</v>
      </c>
      <c r="I240" s="5">
        <f t="shared" ca="1" si="47"/>
        <v>-3.9371009614501573E-2</v>
      </c>
    </row>
    <row r="241" spans="1:9" x14ac:dyDescent="0.2">
      <c r="A241">
        <v>2</v>
      </c>
      <c r="B241" t="str">
        <f t="shared" ca="1" si="43"/>
        <v>Tue</v>
      </c>
      <c r="C241" s="2">
        <f ca="1">OFFSET(Data!$A$1,$C$33-A241,0,1,1)</f>
        <v>45825</v>
      </c>
      <c r="D241" s="5">
        <f ca="1">_xlfn.XLOOKUP(C241,Data!$A:$A,Data!$G:$G)</f>
        <v>-1.1913767019667176E-2</v>
      </c>
      <c r="E241" s="5">
        <f ca="1">$E$33+$F$33*_xlfn.XLOOKUP(C241,Data!$A:$A,Data!$F:$F)</f>
        <v>5.7450181624436611E-3</v>
      </c>
      <c r="F241" s="5">
        <f t="shared" ca="1" si="44"/>
        <v>-1.7658785182110837E-2</v>
      </c>
      <c r="G241" s="13">
        <f t="shared" ca="1" si="45"/>
        <v>-1.112010858648838</v>
      </c>
      <c r="H241" t="str">
        <f t="shared" ca="1" si="46"/>
        <v>No</v>
      </c>
      <c r="I241" s="5">
        <f t="shared" ca="1" si="47"/>
        <v>-4.2801923983396217E-2</v>
      </c>
    </row>
    <row r="242" spans="1:9" x14ac:dyDescent="0.2">
      <c r="A242">
        <v>1</v>
      </c>
      <c r="B242" t="str">
        <f t="shared" ca="1" si="43"/>
        <v>Mon</v>
      </c>
      <c r="C242" s="2">
        <f ca="1">OFFSET(Data!$A$1,$C$33-A242,0,1,1)</f>
        <v>45824</v>
      </c>
      <c r="D242" s="5">
        <f ca="1">_xlfn.XLOOKUP(C242,Data!$A:$A,Data!$G:$G)</f>
        <v>4.3203787729335197E-2</v>
      </c>
      <c r="E242" s="5">
        <f ca="1">$E$33+$F$33*_xlfn.XLOOKUP(C242,Data!$A:$A,Data!$F:$F)</f>
        <v>2.9172146407219511E-2</v>
      </c>
      <c r="F242" s="5">
        <f t="shared" ca="1" si="44"/>
        <v>1.4031641322115686E-2</v>
      </c>
      <c r="G242" s="13">
        <f t="shared" ca="1" si="45"/>
        <v>0.88360197793590467</v>
      </c>
      <c r="H242" t="str">
        <f t="shared" ca="1" si="46"/>
        <v>No</v>
      </c>
      <c r="I242" s="5">
        <f t="shared" ca="1" si="47"/>
        <v>-2.5595117482621887E-2</v>
      </c>
    </row>
    <row r="243" spans="1:9" x14ac:dyDescent="0.2">
      <c r="A243">
        <v>0</v>
      </c>
      <c r="B243" t="str">
        <f t="shared" ca="1" si="43"/>
        <v>Sun</v>
      </c>
      <c r="C243" s="2">
        <f ca="1">OFFSET(Data!$A$1,$C$33-A243,0,1,1)</f>
        <v>45823</v>
      </c>
      <c r="D243" s="5">
        <f ca="1">_xlfn.XLOOKUP(C243,Data!$A:$A,Data!$G:$G)</f>
        <v>5.7539682539682335E-3</v>
      </c>
      <c r="E243" s="5">
        <f ca="1">$E$33+$F$33*_xlfn.XLOOKUP(C243,Data!$A:$A,Data!$F:$F)</f>
        <v>3.5757044871099399E-3</v>
      </c>
      <c r="F243" s="5">
        <f t="shared" ca="1" si="44"/>
        <v>2.1782637668582936E-3</v>
      </c>
      <c r="G243" s="13">
        <f t="shared" ca="1" si="45"/>
        <v>0.13716985266923101</v>
      </c>
      <c r="H243" t="str">
        <f t="shared" ca="1" si="46"/>
        <v>No</v>
      </c>
      <c r="I243" s="5">
        <f t="shared" ca="1" si="47"/>
        <v>-3.9078424370536879E-2</v>
      </c>
    </row>
    <row r="244" spans="1:9" x14ac:dyDescent="0.2">
      <c r="A244">
        <v>-1</v>
      </c>
      <c r="B244" t="str">
        <f t="shared" ca="1" si="43"/>
        <v>Thu</v>
      </c>
      <c r="C244" s="2">
        <f ca="1">OFFSET(Data!$A$1,$C$33-A244,0,1,1)</f>
        <v>45820</v>
      </c>
      <c r="D244" s="5">
        <f ca="1">_xlfn.XLOOKUP(C244,Data!$A:$A,Data!$G:$G)</f>
        <v>-3.1514219830899304E-2</v>
      </c>
      <c r="E244" s="5">
        <f ca="1">$E$33+$F$33*_xlfn.XLOOKUP(C244,Data!$A:$A,Data!$F:$F)</f>
        <v>-2.0096690379564335E-2</v>
      </c>
      <c r="F244" s="5">
        <f t="shared" ca="1" si="44"/>
        <v>-1.1417529451334969E-2</v>
      </c>
      <c r="G244" s="13">
        <f t="shared" ca="1" si="45"/>
        <v>-0.71898585309760998</v>
      </c>
      <c r="H244" t="str">
        <f t="shared" ca="1" si="46"/>
        <v>No</v>
      </c>
      <c r="I244" s="5">
        <f t="shared" ca="1" si="47"/>
        <v>-4.1167015519100292E-2</v>
      </c>
    </row>
    <row r="245" spans="1:9" x14ac:dyDescent="0.2">
      <c r="A245">
        <v>-2</v>
      </c>
      <c r="B245" t="str">
        <f t="shared" ca="1" si="43"/>
        <v>Wed</v>
      </c>
      <c r="C245" s="2">
        <f ca="1">OFFSET(Data!$A$1,$C$33-A245,0,1,1)</f>
        <v>45819</v>
      </c>
      <c r="D245" s="5">
        <f ca="1">_xlfn.XLOOKUP(C245,Data!$A:$A,Data!$G:$G)</f>
        <v>1.1270890011659596E-2</v>
      </c>
      <c r="E245" s="5">
        <f ca="1">$E$33+$F$33*_xlfn.XLOOKUP(C245,Data!$A:$A,Data!$F:$F)</f>
        <v>4.4859630253084775E-3</v>
      </c>
      <c r="F245" s="5">
        <f t="shared" ca="1" si="44"/>
        <v>6.7849269863511181E-3</v>
      </c>
      <c r="G245" s="13">
        <f t="shared" ca="1" si="45"/>
        <v>0.42726112844983943</v>
      </c>
      <c r="H245" t="str">
        <f t="shared" ca="1" si="46"/>
        <v>No</v>
      </c>
      <c r="I245" s="5">
        <f t="shared" ca="1" si="47"/>
        <v>-3.0093074633676498E-2</v>
      </c>
    </row>
    <row r="246" spans="1:9" x14ac:dyDescent="0.2">
      <c r="A246">
        <v>-3</v>
      </c>
      <c r="B246" t="str">
        <f t="shared" ca="1" si="43"/>
        <v>Tue</v>
      </c>
      <c r="C246" s="2">
        <f ca="1">OFFSET(Data!$A$1,$C$33-A246,0,1,1)</f>
        <v>45818</v>
      </c>
      <c r="D246" s="5">
        <f ca="1">_xlfn.XLOOKUP(C246,Data!$A:$A,Data!$G:$G)</f>
        <v>9.7257342929402135E-4</v>
      </c>
      <c r="E246" s="5">
        <f ca="1">$E$33+$F$33*_xlfn.XLOOKUP(C246,Data!$A:$A,Data!$F:$F)</f>
        <v>-2.0123677931838378E-3</v>
      </c>
      <c r="F246" s="5">
        <f t="shared" ca="1" si="44"/>
        <v>2.9849412224778591E-3</v>
      </c>
      <c r="G246" s="13">
        <f t="shared" ca="1" si="45"/>
        <v>0.18796802937421239</v>
      </c>
      <c r="H246" t="str">
        <f t="shared" ca="1" si="46"/>
        <v>No</v>
      </c>
      <c r="I246" s="5">
        <f t="shared" ca="1" si="47"/>
        <v>-3.6629473318016359E-2</v>
      </c>
    </row>
    <row r="247" spans="1:9" x14ac:dyDescent="0.2">
      <c r="A247">
        <v>-4</v>
      </c>
      <c r="B247" t="str">
        <f t="shared" ca="1" si="43"/>
        <v>Mon</v>
      </c>
      <c r="C247" s="2">
        <f ca="1">OFFSET(Data!$A$1,$C$33-A247,0,1,1)</f>
        <v>45817</v>
      </c>
      <c r="D247" s="5">
        <f ca="1">_xlfn.XLOOKUP(C247,Data!$A:$A,Data!$G:$G)</f>
        <v>-1.851851851851849E-2</v>
      </c>
      <c r="E247" s="5">
        <f ca="1">$E$33+$F$33*_xlfn.XLOOKUP(C247,Data!$A:$A,Data!$F:$F)</f>
        <v>-2.5663525264769966E-3</v>
      </c>
      <c r="F247" s="5">
        <f t="shared" ca="1" si="44"/>
        <v>-1.5952165992041495E-2</v>
      </c>
      <c r="G247" s="13">
        <f t="shared" ca="1" si="45"/>
        <v>-1.004541457364194</v>
      </c>
      <c r="H247" t="str">
        <f t="shared" ca="1" si="46"/>
        <v>No</v>
      </c>
      <c r="I247" s="5">
        <f t="shared" ca="1" si="47"/>
        <v>-3.9496519750546355E-2</v>
      </c>
    </row>
    <row r="248" spans="1:9" x14ac:dyDescent="0.2">
      <c r="A248">
        <v>-5</v>
      </c>
      <c r="B248" t="str">
        <f t="shared" ca="1" si="43"/>
        <v>Sun</v>
      </c>
      <c r="C248" s="2">
        <f ca="1">OFFSET(Data!$A$1,$C$33-A248,0,1,1)</f>
        <v>45816</v>
      </c>
      <c r="D248" s="5">
        <f ca="1">_xlfn.XLOOKUP(C248,Data!$A:$A,Data!$G:$G)</f>
        <v>1.0026995757809409E-2</v>
      </c>
      <c r="E248" s="5">
        <f ca="1">$E$33+$F$33*_xlfn.XLOOKUP(C248,Data!$A:$A,Data!$F:$F)</f>
        <v>-1.0083791485411447E-3</v>
      </c>
      <c r="F248" s="5">
        <f t="shared" ca="1" si="44"/>
        <v>1.1035374906350554E-2</v>
      </c>
      <c r="G248" s="13">
        <f t="shared" ca="1" si="45"/>
        <v>0.69492077731112956</v>
      </c>
      <c r="H248" t="str">
        <f t="shared" ca="1" si="46"/>
        <v>No</v>
      </c>
      <c r="I248" s="5">
        <f t="shared" ca="1" si="47"/>
        <v>-2.3926025691871411E-2</v>
      </c>
    </row>
    <row r="249" spans="1:9" x14ac:dyDescent="0.2">
      <c r="A249">
        <v>-6</v>
      </c>
      <c r="B249" t="str">
        <f t="shared" ca="1" si="43"/>
        <v>Thu</v>
      </c>
      <c r="C249" s="2">
        <f ca="1">OFFSET(Data!$A$1,$C$33-A249,0,1,1)</f>
        <v>45813</v>
      </c>
      <c r="D249" s="5">
        <f ca="1">_xlfn.XLOOKUP(C249,Data!$A:$A,Data!$G:$G)</f>
        <v>1.68627450980392E-2</v>
      </c>
      <c r="E249" s="5">
        <f ca="1">$E$33+$F$33*_xlfn.XLOOKUP(C249,Data!$A:$A,Data!$F:$F)</f>
        <v>1.1979014990524754E-2</v>
      </c>
      <c r="F249" s="5">
        <f t="shared" ca="1" si="44"/>
        <v>4.8837301075144463E-3</v>
      </c>
      <c r="G249" s="13">
        <f t="shared" ca="1" si="45"/>
        <v>0.30753876069390845</v>
      </c>
      <c r="H249" t="str">
        <f t="shared" ca="1" si="46"/>
        <v>No</v>
      </c>
      <c r="I249" s="5">
        <f t="shared" ca="1" si="47"/>
        <v>-3.4579799546044843E-2</v>
      </c>
    </row>
    <row r="250" spans="1:9" x14ac:dyDescent="0.2">
      <c r="A250">
        <v>-7</v>
      </c>
      <c r="B250" t="str">
        <f t="shared" ca="1" si="43"/>
        <v>Wed</v>
      </c>
      <c r="C250" s="2">
        <f ca="1">OFFSET(Data!$A$1,$C$33-A250,0,1,1)</f>
        <v>45812</v>
      </c>
      <c r="D250" s="5">
        <f ca="1">_xlfn.XLOOKUP(C250,Data!$A:$A,Data!$G:$G)</f>
        <v>-1.5253910021239658E-2</v>
      </c>
      <c r="E250" s="5">
        <f ca="1">$E$33+$F$33*_xlfn.XLOOKUP(C250,Data!$A:$A,Data!$F:$F)</f>
        <v>-2.7608837963488588E-3</v>
      </c>
      <c r="F250" s="5">
        <f t="shared" ca="1" si="44"/>
        <v>-1.24930262248908E-2</v>
      </c>
      <c r="G250" s="13">
        <f t="shared" ca="1" si="45"/>
        <v>-0.7867121478739596</v>
      </c>
      <c r="H250" t="str">
        <f t="shared" ca="1" si="46"/>
        <v>No</v>
      </c>
      <c r="I250" s="5">
        <f t="shared" ca="1" si="47"/>
        <v>-3.9271737088764525E-2</v>
      </c>
    </row>
    <row r="251" spans="1:9" x14ac:dyDescent="0.2">
      <c r="A251">
        <v>-8</v>
      </c>
      <c r="B251" t="str">
        <f t="shared" ca="1" si="43"/>
        <v>Tue</v>
      </c>
      <c r="C251" s="2">
        <f ca="1">OFFSET(Data!$A$1,$C$33-A251,0,1,1)</f>
        <v>45811</v>
      </c>
      <c r="D251" s="5">
        <f ca="1">_xlfn.XLOOKUP(C251,Data!$A:$A,Data!$G:$G)</f>
        <v>-2.7417840375586811E-2</v>
      </c>
      <c r="E251" s="5">
        <f ca="1">$E$33+$F$33*_xlfn.XLOOKUP(C251,Data!$A:$A,Data!$F:$F)</f>
        <v>1.4166058067402948E-3</v>
      </c>
      <c r="F251" s="5">
        <f t="shared" ca="1" si="44"/>
        <v>-2.8834446182327104E-2</v>
      </c>
      <c r="G251" s="13">
        <f t="shared" ca="1" si="45"/>
        <v>-1.8157657464657195</v>
      </c>
      <c r="H251" t="str">
        <f t="shared" ca="1" si="46"/>
        <v>No</v>
      </c>
      <c r="I251" s="5">
        <f t="shared" ca="1" si="47"/>
        <v>-2.7117490382373988E-2</v>
      </c>
    </row>
    <row r="252" spans="1:9" x14ac:dyDescent="0.2">
      <c r="A252">
        <v>-9</v>
      </c>
      <c r="B252" t="str">
        <f t="shared" ca="1" si="43"/>
        <v>Thu</v>
      </c>
      <c r="C252" s="2">
        <f ca="1">OFFSET(Data!$A$1,$C$33-A252,0,1,1)</f>
        <v>45806</v>
      </c>
      <c r="D252" s="5">
        <f ca="1">_xlfn.XLOOKUP(C252,Data!$A:$A,Data!$G:$G)</f>
        <v>-4.6728971962616273E-3</v>
      </c>
      <c r="E252" s="5">
        <f ca="1">$E$33+$F$33*_xlfn.XLOOKUP(C252,Data!$A:$A,Data!$F:$F)</f>
        <v>5.5262662448535976E-3</v>
      </c>
      <c r="F252" s="5">
        <f t="shared" ca="1" si="44"/>
        <v>-1.0199163441115225E-2</v>
      </c>
      <c r="G252" s="13">
        <f t="shared" ca="1" si="45"/>
        <v>-0.64226278187833219</v>
      </c>
      <c r="H252" t="str">
        <f t="shared" ca="1" si="46"/>
        <v>No</v>
      </c>
      <c r="I252" s="5">
        <f t="shared" ca="1" si="47"/>
        <v>1.7679331739102189E-3</v>
      </c>
    </row>
    <row r="253" spans="1:9" x14ac:dyDescent="0.2">
      <c r="A253">
        <v>-10</v>
      </c>
      <c r="B253" t="str">
        <f t="shared" ca="1" si="43"/>
        <v>Wed</v>
      </c>
      <c r="C253" s="2">
        <f ca="1">OFFSET(Data!$A$1,$C$33-A253,0,1,1)</f>
        <v>45805</v>
      </c>
      <c r="D253" s="5">
        <f ca="1">_xlfn.XLOOKUP(C253,Data!$A:$A,Data!$G:$G)</f>
        <v>1.8078020932445371E-2</v>
      </c>
      <c r="E253" s="5">
        <f ca="1">$E$33+$F$33*_xlfn.XLOOKUP(C253,Data!$A:$A,Data!$F:$F)</f>
        <v>5.9876122633338658E-3</v>
      </c>
      <c r="F253" s="5">
        <f t="shared" ca="1" si="44"/>
        <v>1.2090408669111506E-2</v>
      </c>
      <c r="G253" s="13">
        <f t="shared" ca="1" si="45"/>
        <v>0.76135847324164208</v>
      </c>
      <c r="H253" t="str">
        <f t="shared" ca="1" si="46"/>
        <v>No</v>
      </c>
      <c r="I253" s="5">
        <f ca="1">F253</f>
        <v>1.2090408669111506E-2</v>
      </c>
    </row>
    <row r="255" spans="1:9" x14ac:dyDescent="0.2">
      <c r="A255" s="3" t="s">
        <v>58</v>
      </c>
      <c r="B255" t="str">
        <f>E19</f>
        <v>Sharm el-Sheikh deal</v>
      </c>
    </row>
    <row r="256" spans="1:9" x14ac:dyDescent="0.2">
      <c r="A256" s="12" t="s">
        <v>42</v>
      </c>
      <c r="B256" s="12" t="s">
        <v>43</v>
      </c>
      <c r="C256" s="12" t="s">
        <v>0</v>
      </c>
      <c r="D256" s="12" t="s">
        <v>44</v>
      </c>
      <c r="E256" s="12" t="s">
        <v>45</v>
      </c>
      <c r="F256" s="12" t="s">
        <v>46</v>
      </c>
      <c r="G256" s="12" t="s">
        <v>47</v>
      </c>
      <c r="H256" s="12" t="s">
        <v>48</v>
      </c>
      <c r="I256" s="12" t="s">
        <v>49</v>
      </c>
    </row>
    <row r="257" spans="1:9" x14ac:dyDescent="0.2">
      <c r="A257">
        <v>10</v>
      </c>
      <c r="B257" t="str">
        <f t="shared" ref="B257:B277" ca="1" si="48">TEXT(WEEKDAY(C257),"ddd")</f>
        <v>Mon</v>
      </c>
      <c r="C257" s="2">
        <f ca="1">OFFSET(Data!$A$1,$C$34-A257,0,1,1)</f>
        <v>45957</v>
      </c>
      <c r="D257" s="5">
        <f ca="1">_xlfn.XLOOKUP(C257,Data!$A:$A,Data!$G:$G)</f>
        <v>-3.5891300632370227E-3</v>
      </c>
      <c r="E257" s="5">
        <f ca="1">$E$34+$F$34*_xlfn.XLOOKUP(C257,Data!$A:$A,Data!$F:$F)</f>
        <v>-1.0110217147989591E-3</v>
      </c>
      <c r="F257" s="5">
        <f t="shared" ref="F257:F277" ca="1" si="49">D257-E257</f>
        <v>-2.5781083484380635E-3</v>
      </c>
      <c r="G257" s="13">
        <f t="shared" ref="G257:G277" ca="1" si="50">F257/$I$34</f>
        <v>-0.1615734968083225</v>
      </c>
      <c r="H257" t="str">
        <f t="shared" ref="H257:H277" ca="1" si="51">IF(ABS(G257)&lt;$B$6,"No","Yes")</f>
        <v>No</v>
      </c>
      <c r="I257" s="5">
        <f t="shared" ref="I257:I276" ca="1" si="52">(1+I258)*(1+F257)-1</f>
        <v>5.1303875214586903E-2</v>
      </c>
    </row>
    <row r="258" spans="1:9" x14ac:dyDescent="0.2">
      <c r="A258">
        <v>9</v>
      </c>
      <c r="B258" t="str">
        <f t="shared" ca="1" si="48"/>
        <v>Sun</v>
      </c>
      <c r="C258" s="2">
        <f ca="1">OFFSET(Data!$A$1,$C$34-A258,0,1,1)</f>
        <v>45956</v>
      </c>
      <c r="D258" s="5">
        <f ca="1">_xlfn.XLOOKUP(C258,Data!$A:$A,Data!$G:$G)</f>
        <v>6.7102546455608536E-3</v>
      </c>
      <c r="E258" s="5">
        <f ca="1">$E$34+$F$34*_xlfn.XLOOKUP(C258,Data!$A:$A,Data!$F:$F)</f>
        <v>1.0472106045361891E-2</v>
      </c>
      <c r="F258" s="5">
        <f t="shared" ca="1" si="49"/>
        <v>-3.7618513998010378E-3</v>
      </c>
      <c r="G258" s="13">
        <f t="shared" ca="1" si="50"/>
        <v>-0.23576025635516018</v>
      </c>
      <c r="H258" t="str">
        <f t="shared" ca="1" si="51"/>
        <v>No</v>
      </c>
      <c r="I258" s="5">
        <f t="shared" ca="1" si="52"/>
        <v>5.4021256214665136E-2</v>
      </c>
    </row>
    <row r="259" spans="1:9" x14ac:dyDescent="0.2">
      <c r="A259">
        <v>8</v>
      </c>
      <c r="B259" t="str">
        <f t="shared" ca="1" si="48"/>
        <v>Thu</v>
      </c>
      <c r="C259" s="2">
        <f ca="1">OFFSET(Data!$A$1,$C$34-A259,0,1,1)</f>
        <v>45953</v>
      </c>
      <c r="D259" s="5">
        <f ca="1">_xlfn.XLOOKUP(C259,Data!$A:$A,Data!$G:$G)</f>
        <v>2.1441124780316345E-2</v>
      </c>
      <c r="E259" s="5">
        <f ca="1">$E$34+$F$34*_xlfn.XLOOKUP(C259,Data!$A:$A,Data!$F:$F)</f>
        <v>6.7164790310035392E-3</v>
      </c>
      <c r="F259" s="5">
        <f t="shared" ca="1" si="49"/>
        <v>1.4724645749312806E-2</v>
      </c>
      <c r="G259" s="13">
        <f t="shared" ca="1" si="50"/>
        <v>0.92281323413798633</v>
      </c>
      <c r="H259" t="str">
        <f t="shared" ca="1" si="51"/>
        <v>No</v>
      </c>
      <c r="I259" s="5">
        <f t="shared" ca="1" si="52"/>
        <v>5.8001299885631186E-2</v>
      </c>
    </row>
    <row r="260" spans="1:9" x14ac:dyDescent="0.2">
      <c r="A260">
        <v>7</v>
      </c>
      <c r="B260" t="str">
        <f t="shared" ca="1" si="48"/>
        <v>Wed</v>
      </c>
      <c r="C260" s="2">
        <f ca="1">OFFSET(Data!$A$1,$C$34-A260,0,1,1)</f>
        <v>45952</v>
      </c>
      <c r="D260" s="5">
        <f ca="1">_xlfn.XLOOKUP(C260,Data!$A:$A,Data!$G:$G)</f>
        <v>-1.7543859649122862E-3</v>
      </c>
      <c r="E260" s="5">
        <f ca="1">$E$34+$F$34*_xlfn.XLOOKUP(C260,Data!$A:$A,Data!$F:$F)</f>
        <v>8.5793833027232548E-4</v>
      </c>
      <c r="F260" s="5">
        <f t="shared" ca="1" si="49"/>
        <v>-2.6123242951846116E-3</v>
      </c>
      <c r="G260" s="13">
        <f t="shared" ca="1" si="50"/>
        <v>-0.16371785593341376</v>
      </c>
      <c r="H260" t="str">
        <f t="shared" ca="1" si="51"/>
        <v>No</v>
      </c>
      <c r="I260" s="5">
        <f t="shared" ca="1" si="52"/>
        <v>4.264866761402164E-2</v>
      </c>
    </row>
    <row r="261" spans="1:9" x14ac:dyDescent="0.2">
      <c r="A261">
        <v>6</v>
      </c>
      <c r="B261" t="str">
        <f t="shared" ca="1" si="48"/>
        <v>Tue</v>
      </c>
      <c r="C261" s="2">
        <f ca="1">OFFSET(Data!$A$1,$C$34-A261,0,1,1)</f>
        <v>45951</v>
      </c>
      <c r="D261" s="5">
        <f ca="1">_xlfn.XLOOKUP(C261,Data!$A:$A,Data!$G:$G)</f>
        <v>-1.6223679668622704E-2</v>
      </c>
      <c r="E261" s="5">
        <f ca="1">$E$34+$F$34*_xlfn.XLOOKUP(C261,Data!$A:$A,Data!$F:$F)</f>
        <v>-1.1511065002915235E-2</v>
      </c>
      <c r="F261" s="5">
        <f t="shared" ca="1" si="49"/>
        <v>-4.7126146657074687E-3</v>
      </c>
      <c r="G261" s="13">
        <f t="shared" ca="1" si="50"/>
        <v>-0.2953458612823045</v>
      </c>
      <c r="H261" t="str">
        <f t="shared" ca="1" si="51"/>
        <v>No</v>
      </c>
      <c r="I261" s="5">
        <f t="shared" ca="1" si="52"/>
        <v>4.5379537978772477E-2</v>
      </c>
    </row>
    <row r="262" spans="1:9" x14ac:dyDescent="0.2">
      <c r="A262">
        <v>5</v>
      </c>
      <c r="B262" t="str">
        <f t="shared" ca="1" si="48"/>
        <v>Mon</v>
      </c>
      <c r="C262" s="2">
        <f ca="1">OFFSET(Data!$A$1,$C$34-A262,0,1,1)</f>
        <v>45950</v>
      </c>
      <c r="D262" s="5">
        <f ca="1">_xlfn.XLOOKUP(C262,Data!$A:$A,Data!$G:$G)</f>
        <v>1.0111576011157641E-2</v>
      </c>
      <c r="E262" s="5">
        <f ca="1">$E$34+$F$34*_xlfn.XLOOKUP(C262,Data!$A:$A,Data!$F:$F)</f>
        <v>7.9479614749542633E-3</v>
      </c>
      <c r="F262" s="5">
        <f t="shared" ca="1" si="49"/>
        <v>2.163614536203378E-3</v>
      </c>
      <c r="G262" s="13">
        <f t="shared" ca="1" si="50"/>
        <v>0.13559661546865939</v>
      </c>
      <c r="H262" t="str">
        <f t="shared" ca="1" si="51"/>
        <v>No</v>
      </c>
      <c r="I262" s="5">
        <f t="shared" ca="1" si="52"/>
        <v>5.032933540864204E-2</v>
      </c>
    </row>
    <row r="263" spans="1:9" x14ac:dyDescent="0.2">
      <c r="A263">
        <v>4</v>
      </c>
      <c r="B263" t="str">
        <f t="shared" ca="1" si="48"/>
        <v>Sun</v>
      </c>
      <c r="C263" s="2">
        <f ca="1">OFFSET(Data!$A$1,$C$34-A263,0,1,1)</f>
        <v>45949</v>
      </c>
      <c r="D263" s="5">
        <f ca="1">_xlfn.XLOOKUP(C263,Data!$A:$A,Data!$G:$G)</f>
        <v>-6.5812261863525956E-3</v>
      </c>
      <c r="E263" s="5">
        <f ca="1">$E$34+$F$34*_xlfn.XLOOKUP(C263,Data!$A:$A,Data!$F:$F)</f>
        <v>-1.5076203165187001E-2</v>
      </c>
      <c r="F263" s="5">
        <f t="shared" ca="1" si="49"/>
        <v>8.4949769788344055E-3</v>
      </c>
      <c r="G263" s="13">
        <f t="shared" ca="1" si="50"/>
        <v>0.53239156399615073</v>
      </c>
      <c r="H263" t="str">
        <f t="shared" ca="1" si="51"/>
        <v>No</v>
      </c>
      <c r="I263" s="5">
        <f t="shared" ca="1" si="52"/>
        <v>4.8061733806539664E-2</v>
      </c>
    </row>
    <row r="264" spans="1:9" x14ac:dyDescent="0.2">
      <c r="A264">
        <v>3</v>
      </c>
      <c r="B264" t="str">
        <f t="shared" ca="1" si="48"/>
        <v>Thu</v>
      </c>
      <c r="C264" s="2">
        <f ca="1">OFFSET(Data!$A$1,$C$34-A264,0,1,1)</f>
        <v>45946</v>
      </c>
      <c r="D264" s="5">
        <f ca="1">_xlfn.XLOOKUP(C264,Data!$A:$A,Data!$G:$G)</f>
        <v>-4.3110881186411154E-3</v>
      </c>
      <c r="E264" s="5">
        <f ca="1">$E$34+$F$34*_xlfn.XLOOKUP(C264,Data!$A:$A,Data!$F:$F)</f>
        <v>-9.6265284989092911E-3</v>
      </c>
      <c r="F264" s="5">
        <f t="shared" ca="1" si="49"/>
        <v>5.3154403802681757E-3</v>
      </c>
      <c r="G264" s="13">
        <f t="shared" ca="1" si="50"/>
        <v>0.33312575471717853</v>
      </c>
      <c r="H264" t="str">
        <f t="shared" ca="1" si="51"/>
        <v>No</v>
      </c>
      <c r="I264" s="5">
        <f t="shared" ca="1" si="52"/>
        <v>3.9233469408282096E-2</v>
      </c>
    </row>
    <row r="265" spans="1:9" x14ac:dyDescent="0.2">
      <c r="A265">
        <v>2</v>
      </c>
      <c r="B265" t="str">
        <f t="shared" ca="1" si="48"/>
        <v>Wed</v>
      </c>
      <c r="C265" s="2">
        <f ca="1">OFFSET(Data!$A$1,$C$34-A265,0,1,1)</f>
        <v>45945</v>
      </c>
      <c r="D265" s="5">
        <f ca="1">_xlfn.XLOOKUP(C265,Data!$A:$A,Data!$G:$G)</f>
        <v>-4.8408270429931122E-2</v>
      </c>
      <c r="E265" s="5">
        <f ca="1">$E$34+$F$34*_xlfn.XLOOKUP(C265,Data!$A:$A,Data!$F:$F)</f>
        <v>-1.1187325113731529E-3</v>
      </c>
      <c r="F265" s="5">
        <f t="shared" ca="1" si="49"/>
        <v>-4.7289537918557972E-2</v>
      </c>
      <c r="G265" s="13">
        <f t="shared" ca="1" si="50"/>
        <v>-2.9636985616140925</v>
      </c>
      <c r="H265" t="str">
        <f t="shared" ca="1" si="51"/>
        <v>Yes</v>
      </c>
      <c r="I265" s="5">
        <f t="shared" ca="1" si="52"/>
        <v>3.3738693016775123E-2</v>
      </c>
    </row>
    <row r="266" spans="1:9" x14ac:dyDescent="0.2">
      <c r="A266">
        <v>1</v>
      </c>
      <c r="B266" t="str">
        <f t="shared" ca="1" si="48"/>
        <v>Sun</v>
      </c>
      <c r="C266" s="2">
        <f ca="1">OFFSET(Data!$A$1,$C$34-A266,0,1,1)</f>
        <v>45942</v>
      </c>
      <c r="D266" s="5">
        <f ca="1">_xlfn.XLOOKUP(C266,Data!$A:$A,Data!$G:$G)</f>
        <v>3.5514018691588767E-2</v>
      </c>
      <c r="E266" s="5">
        <f ca="1">$E$34+$F$34*_xlfn.XLOOKUP(C266,Data!$A:$A,Data!$F:$F)</f>
        <v>-1.1235081757354701E-2</v>
      </c>
      <c r="F266" s="5">
        <f t="shared" ca="1" si="49"/>
        <v>4.6749100448943468E-2</v>
      </c>
      <c r="G266" s="13">
        <f t="shared" ca="1" si="50"/>
        <v>2.9298286228953572</v>
      </c>
      <c r="H266" t="str">
        <f t="shared" ca="1" si="51"/>
        <v>Yes</v>
      </c>
      <c r="I266" s="5">
        <f t="shared" ca="1" si="52"/>
        <v>8.5050216367211995E-2</v>
      </c>
    </row>
    <row r="267" spans="1:9" x14ac:dyDescent="0.2">
      <c r="A267">
        <v>0</v>
      </c>
      <c r="B267" t="str">
        <f t="shared" ca="1" si="48"/>
        <v>Thu</v>
      </c>
      <c r="C267" s="2">
        <f ca="1">OFFSET(Data!$A$1,$C$34-A267,0,1,1)</f>
        <v>45939</v>
      </c>
      <c r="D267" s="5">
        <f ca="1">_xlfn.XLOOKUP(C267,Data!$A:$A,Data!$G:$G)</f>
        <v>4.7898860398860377E-2</v>
      </c>
      <c r="E267" s="5">
        <f ca="1">$E$34+$F$34*_xlfn.XLOOKUP(C267,Data!$A:$A,Data!$F:$F)</f>
        <v>3.0504432218749558E-2</v>
      </c>
      <c r="F267" s="5">
        <f t="shared" ca="1" si="49"/>
        <v>1.7394428180110819E-2</v>
      </c>
      <c r="G267" s="13">
        <f t="shared" ca="1" si="50"/>
        <v>1.0901320682447064</v>
      </c>
      <c r="H267" t="str">
        <f t="shared" ca="1" si="51"/>
        <v>No</v>
      </c>
      <c r="I267" s="5">
        <f t="shared" ca="1" si="52"/>
        <v>3.6590541039721369E-2</v>
      </c>
    </row>
    <row r="268" spans="1:9" x14ac:dyDescent="0.2">
      <c r="A268">
        <v>-1</v>
      </c>
      <c r="B268" t="str">
        <f t="shared" ca="1" si="48"/>
        <v>Wed</v>
      </c>
      <c r="C268" s="2">
        <f ca="1">OFFSET(Data!$A$1,$C$34-A268,0,1,1)</f>
        <v>45938</v>
      </c>
      <c r="D268" s="5">
        <f ca="1">_xlfn.XLOOKUP(C268,Data!$A:$A,Data!$G:$G)</f>
        <v>-1.4909664971057723E-2</v>
      </c>
      <c r="E268" s="5">
        <f ca="1">$E$34+$F$34*_xlfn.XLOOKUP(C268,Data!$A:$A,Data!$F:$F)</f>
        <v>-2.6766217706830435E-3</v>
      </c>
      <c r="F268" s="5">
        <f t="shared" ca="1" si="49"/>
        <v>-1.2233043200374679E-2</v>
      </c>
      <c r="G268" s="13">
        <f t="shared" ca="1" si="50"/>
        <v>-0.76666117143186996</v>
      </c>
      <c r="H268" t="str">
        <f t="shared" ca="1" si="51"/>
        <v>No</v>
      </c>
      <c r="I268" s="5">
        <f t="shared" ca="1" si="52"/>
        <v>1.8867916245568717E-2</v>
      </c>
    </row>
    <row r="269" spans="1:9" x14ac:dyDescent="0.2">
      <c r="A269">
        <v>-2</v>
      </c>
      <c r="B269" t="str">
        <f t="shared" ca="1" si="48"/>
        <v>Sun</v>
      </c>
      <c r="C269" s="2">
        <f ca="1">OFFSET(Data!$A$1,$C$34-A269,0,1,1)</f>
        <v>45935</v>
      </c>
      <c r="D269" s="5">
        <f ca="1">_xlfn.XLOOKUP(C269,Data!$A:$A,Data!$G:$G)</f>
        <v>2.999096657633249E-2</v>
      </c>
      <c r="E269" s="5">
        <f ca="1">$E$34+$F$34*_xlfn.XLOOKUP(C269,Data!$A:$A,Data!$F:$F)</f>
        <v>5.9761523166927052E-3</v>
      </c>
      <c r="F269" s="5">
        <f t="shared" ca="1" si="49"/>
        <v>2.4014814259639784E-2</v>
      </c>
      <c r="G269" s="13">
        <f t="shared" ca="1" si="50"/>
        <v>1.5050405144854149</v>
      </c>
      <c r="H269" t="str">
        <f t="shared" ca="1" si="51"/>
        <v>No</v>
      </c>
      <c r="I269" s="5">
        <f t="shared" ca="1" si="52"/>
        <v>3.1486130642303323E-2</v>
      </c>
    </row>
    <row r="270" spans="1:9" x14ac:dyDescent="0.2">
      <c r="A270">
        <v>-3</v>
      </c>
      <c r="B270" t="str">
        <f t="shared" ca="1" si="48"/>
        <v>Tue</v>
      </c>
      <c r="C270" s="2">
        <f ca="1">OFFSET(Data!$A$1,$C$34-A270,0,1,1)</f>
        <v>45930</v>
      </c>
      <c r="D270" s="5">
        <f ca="1">_xlfn.XLOOKUP(C270,Data!$A:$A,Data!$G:$G)</f>
        <v>4.6313799621928275E-2</v>
      </c>
      <c r="E270" s="5">
        <f ca="1">$E$34+$F$34*_xlfn.XLOOKUP(C270,Data!$A:$A,Data!$F:$F)</f>
        <v>3.2577665207439092E-2</v>
      </c>
      <c r="F270" s="5">
        <f t="shared" ca="1" si="49"/>
        <v>1.3736134414489183E-2</v>
      </c>
      <c r="G270" s="13">
        <f t="shared" ca="1" si="50"/>
        <v>0.86086190726730649</v>
      </c>
      <c r="H270" t="str">
        <f t="shared" ca="1" si="51"/>
        <v>No</v>
      </c>
      <c r="I270" s="5">
        <f t="shared" ca="1" si="52"/>
        <v>7.2961018518715726E-3</v>
      </c>
    </row>
    <row r="271" spans="1:9" x14ac:dyDescent="0.2">
      <c r="A271">
        <v>-4</v>
      </c>
      <c r="B271" t="str">
        <f t="shared" ca="1" si="48"/>
        <v>Mon</v>
      </c>
      <c r="C271" s="2">
        <f ca="1">OFFSET(Data!$A$1,$C$34-A271,0,1,1)</f>
        <v>45929</v>
      </c>
      <c r="D271" s="5">
        <f ca="1">_xlfn.XLOOKUP(C271,Data!$A:$A,Data!$G:$G)</f>
        <v>-2.639517345399689E-3</v>
      </c>
      <c r="E271" s="5">
        <f ca="1">$E$34+$F$34*_xlfn.XLOOKUP(C271,Data!$A:$A,Data!$F:$F)</f>
        <v>-3.4363181343222901E-3</v>
      </c>
      <c r="F271" s="5">
        <f t="shared" ca="1" si="49"/>
        <v>7.9680078892260114E-4</v>
      </c>
      <c r="G271" s="13">
        <f t="shared" ca="1" si="50"/>
        <v>4.9936570665795522E-2</v>
      </c>
      <c r="H271" t="str">
        <f t="shared" ca="1" si="51"/>
        <v>No</v>
      </c>
      <c r="I271" s="5">
        <f t="shared" ca="1" si="52"/>
        <v>-6.3527700591804459E-3</v>
      </c>
    </row>
    <row r="272" spans="1:9" x14ac:dyDescent="0.2">
      <c r="A272">
        <v>-5</v>
      </c>
      <c r="B272" t="str">
        <f t="shared" ca="1" si="48"/>
        <v>Sun</v>
      </c>
      <c r="C272" s="2">
        <f ca="1">OFFSET(Data!$A$1,$C$34-A272,0,1,1)</f>
        <v>45928</v>
      </c>
      <c r="D272" s="5">
        <f ca="1">_xlfn.XLOOKUP(C272,Data!$A:$A,Data!$G:$G)</f>
        <v>2.6911907066795804E-2</v>
      </c>
      <c r="E272" s="5">
        <f ca="1">$E$34+$F$34*_xlfn.XLOOKUP(C272,Data!$A:$A,Data!$F:$F)</f>
        <v>3.200328521457891E-2</v>
      </c>
      <c r="F272" s="5">
        <f t="shared" ca="1" si="49"/>
        <v>-5.0913781477831058E-3</v>
      </c>
      <c r="G272" s="13">
        <f t="shared" ca="1" si="50"/>
        <v>-0.3190834750638718</v>
      </c>
      <c r="H272" t="str">
        <f t="shared" ca="1" si="51"/>
        <v>No</v>
      </c>
      <c r="I272" s="5">
        <f t="shared" ca="1" si="52"/>
        <v>-7.1438785999985432E-3</v>
      </c>
    </row>
    <row r="273" spans="1:9" x14ac:dyDescent="0.2">
      <c r="A273">
        <v>-6</v>
      </c>
      <c r="B273" t="str">
        <f t="shared" ca="1" si="48"/>
        <v>Thu</v>
      </c>
      <c r="C273" s="2">
        <f ca="1">OFFSET(Data!$A$1,$C$34-A273,0,1,1)</f>
        <v>45925</v>
      </c>
      <c r="D273" s="5">
        <f ca="1">_xlfn.XLOOKUP(C273,Data!$A:$A,Data!$G:$G)</f>
        <v>1.1951410658307182E-2</v>
      </c>
      <c r="E273" s="5">
        <f ca="1">$E$34+$F$34*_xlfn.XLOOKUP(C273,Data!$A:$A,Data!$F:$F)</f>
        <v>1.2970054554080675E-2</v>
      </c>
      <c r="F273" s="5">
        <f t="shared" ca="1" si="49"/>
        <v>-1.0186438957734932E-3</v>
      </c>
      <c r="G273" s="13">
        <f t="shared" ca="1" si="50"/>
        <v>-6.3839774748912073E-2</v>
      </c>
      <c r="H273" t="str">
        <f t="shared" ca="1" si="51"/>
        <v>No</v>
      </c>
      <c r="I273" s="5">
        <f t="shared" ca="1" si="52"/>
        <v>-2.0630039856266436E-3</v>
      </c>
    </row>
    <row r="274" spans="1:9" x14ac:dyDescent="0.2">
      <c r="A274">
        <v>-7</v>
      </c>
      <c r="B274" t="str">
        <f t="shared" ca="1" si="48"/>
        <v>Sun</v>
      </c>
      <c r="C274" s="2">
        <f ca="1">OFFSET(Data!$A$1,$C$34-A274,0,1,1)</f>
        <v>45921</v>
      </c>
      <c r="D274" s="5">
        <f ca="1">_xlfn.XLOOKUP(C274,Data!$A:$A,Data!$G:$G)</f>
        <v>-2.9842235316479782E-2</v>
      </c>
      <c r="E274" s="5">
        <f ca="1">$E$34+$F$34*_xlfn.XLOOKUP(C274,Data!$A:$A,Data!$F:$F)</f>
        <v>-1.8698159529247374E-2</v>
      </c>
      <c r="F274" s="5">
        <f t="shared" ca="1" si="49"/>
        <v>-1.1144075787232408E-2</v>
      </c>
      <c r="G274" s="13">
        <f t="shared" ca="1" si="50"/>
        <v>-0.6984141278356194</v>
      </c>
      <c r="H274" t="str">
        <f t="shared" ca="1" si="51"/>
        <v>No</v>
      </c>
      <c r="I274" s="5">
        <f t="shared" ca="1" si="52"/>
        <v>-1.045425005653744E-3</v>
      </c>
    </row>
    <row r="275" spans="1:9" x14ac:dyDescent="0.2">
      <c r="A275">
        <v>-8</v>
      </c>
      <c r="B275" t="str">
        <f t="shared" ca="1" si="48"/>
        <v>Thu</v>
      </c>
      <c r="C275" s="2">
        <f ca="1">OFFSET(Data!$A$1,$C$34-A275,0,1,1)</f>
        <v>45918</v>
      </c>
      <c r="D275" s="5">
        <f ca="1">_xlfn.XLOOKUP(C275,Data!$A:$A,Data!$G:$G)</f>
        <v>2.2943807116468928E-2</v>
      </c>
      <c r="E275" s="5">
        <f ca="1">$E$34+$F$34*_xlfn.XLOOKUP(C275,Data!$A:$A,Data!$F:$F)</f>
        <v>1.3651128162590759E-2</v>
      </c>
      <c r="F275" s="5">
        <f t="shared" ca="1" si="49"/>
        <v>9.2926789538781696E-3</v>
      </c>
      <c r="G275" s="13">
        <f t="shared" ca="1" si="50"/>
        <v>0.58238461320093382</v>
      </c>
      <c r="H275" t="str">
        <f t="shared" ca="1" si="51"/>
        <v>No</v>
      </c>
      <c r="I275" s="5">
        <f t="shared" ca="1" si="52"/>
        <v>1.0212459200887425E-2</v>
      </c>
    </row>
    <row r="276" spans="1:9" x14ac:dyDescent="0.2">
      <c r="A276">
        <v>-9</v>
      </c>
      <c r="B276" t="str">
        <f t="shared" ca="1" si="48"/>
        <v>Wed</v>
      </c>
      <c r="C276" s="2">
        <f ca="1">OFFSET(Data!$A$1,$C$34-A276,0,1,1)</f>
        <v>45917</v>
      </c>
      <c r="D276" s="5">
        <f ca="1">_xlfn.XLOOKUP(C276,Data!$A:$A,Data!$G:$G)</f>
        <v>-1.4939666730511392E-2</v>
      </c>
      <c r="E276" s="5">
        <f ca="1">$E$34+$F$34*_xlfn.XLOOKUP(C276,Data!$A:$A,Data!$F:$F)</f>
        <v>-2.2574336530415042E-2</v>
      </c>
      <c r="F276" s="5">
        <f t="shared" ca="1" si="49"/>
        <v>7.6346697999036504E-3</v>
      </c>
      <c r="G276" s="13">
        <f t="shared" ca="1" si="50"/>
        <v>0.4784749629683625</v>
      </c>
      <c r="H276" t="str">
        <f t="shared" ca="1" si="51"/>
        <v>No</v>
      </c>
      <c r="I276" s="5">
        <f t="shared" ca="1" si="52"/>
        <v>9.113117197705467E-4</v>
      </c>
    </row>
    <row r="277" spans="1:9" x14ac:dyDescent="0.2">
      <c r="A277">
        <v>-10</v>
      </c>
      <c r="B277" t="str">
        <f t="shared" ca="1" si="48"/>
        <v>Tue</v>
      </c>
      <c r="C277" s="2">
        <f ca="1">OFFSET(Data!$A$1,$C$34-A277,0,1,1)</f>
        <v>45916</v>
      </c>
      <c r="D277" s="5">
        <f ca="1">_xlfn.XLOOKUP(C277,Data!$A:$A,Data!$G:$G)</f>
        <v>-1.1735756199129255E-2</v>
      </c>
      <c r="E277" s="5">
        <f ca="1">$E$34+$F$34*_xlfn.XLOOKUP(C277,Data!$A:$A,Data!$F:$F)</f>
        <v>-5.0633398148574402E-3</v>
      </c>
      <c r="F277" s="5">
        <f t="shared" ca="1" si="49"/>
        <v>-6.6724163842718145E-3</v>
      </c>
      <c r="G277" s="13">
        <f t="shared" ca="1" si="50"/>
        <v>-0.41816925499701924</v>
      </c>
      <c r="H277" t="str">
        <f t="shared" ca="1" si="51"/>
        <v>No</v>
      </c>
      <c r="I277" s="5">
        <f ca="1">F277</f>
        <v>-6.6724163842718145E-3</v>
      </c>
    </row>
    <row r="279" spans="1:9" x14ac:dyDescent="0.2">
      <c r="A279" s="3" t="s">
        <v>59</v>
      </c>
      <c r="B279" t="str">
        <f>E20</f>
        <v>2026 Israel-Iran war begins</v>
      </c>
    </row>
    <row r="280" spans="1:9" x14ac:dyDescent="0.2">
      <c r="A280" s="12" t="s">
        <v>42</v>
      </c>
      <c r="B280" s="12" t="s">
        <v>43</v>
      </c>
      <c r="C280" s="12" t="s">
        <v>0</v>
      </c>
      <c r="D280" s="12" t="s">
        <v>44</v>
      </c>
      <c r="E280" s="12" t="s">
        <v>45</v>
      </c>
      <c r="F280" s="12" t="s">
        <v>46</v>
      </c>
      <c r="G280" s="12" t="s">
        <v>47</v>
      </c>
      <c r="H280" s="12" t="s">
        <v>48</v>
      </c>
      <c r="I280" s="12" t="s">
        <v>49</v>
      </c>
    </row>
    <row r="281" spans="1:9" x14ac:dyDescent="0.2">
      <c r="A281">
        <v>10</v>
      </c>
      <c r="B281" t="str">
        <f t="shared" ref="B281:B301" ca="1" si="53">TEXT(WEEKDAY(C281),"ddd")</f>
        <v>Tue</v>
      </c>
      <c r="C281" s="2">
        <f ca="1">OFFSET(Data!$A$1,$C$35-A281,0,1,1)</f>
        <v>46098</v>
      </c>
      <c r="D281" s="5">
        <f ca="1">_xlfn.XLOOKUP(C281,Data!$A:$A,Data!$G:$G)</f>
        <v>1.966768396066465E-2</v>
      </c>
      <c r="E281" s="5">
        <f ca="1">$E$35+$F$35*_xlfn.XLOOKUP(C281,Data!$A:$A,Data!$F:$F)</f>
        <v>1.5197897418429383E-2</v>
      </c>
      <c r="F281" s="5">
        <f t="shared" ref="F281:F301" ca="1" si="54">D281-E281</f>
        <v>4.469786542235267E-3</v>
      </c>
      <c r="G281" s="13">
        <f t="shared" ref="G281:G301" ca="1" si="55">F281/$I$35</f>
        <v>0.28470229680553782</v>
      </c>
      <c r="H281" t="str">
        <f t="shared" ref="H281:H301" ca="1" si="56">IF(ABS(G281)&lt;$B$6,"No","Yes")</f>
        <v>No</v>
      </c>
      <c r="I281" s="5">
        <f t="shared" ref="I281:I300" ca="1" si="57">(1+I282)*(1+F281)-1</f>
        <v>-4.100080399855599E-2</v>
      </c>
    </row>
    <row r="282" spans="1:9" x14ac:dyDescent="0.2">
      <c r="A282">
        <v>9</v>
      </c>
      <c r="B282" t="str">
        <f t="shared" ca="1" si="53"/>
        <v>Mon</v>
      </c>
      <c r="C282" s="2">
        <f ca="1">OFFSET(Data!$A$1,$C$35-A282,0,1,1)</f>
        <v>46097</v>
      </c>
      <c r="D282" s="5">
        <f ca="1">_xlfn.XLOOKUP(C282,Data!$A:$A,Data!$G:$G)</f>
        <v>-1.6016016016015988E-2</v>
      </c>
      <c r="E282" s="5">
        <f ca="1">$E$35+$F$35*_xlfn.XLOOKUP(C282,Data!$A:$A,Data!$F:$F)</f>
        <v>-1.7146045893377659E-3</v>
      </c>
      <c r="F282" s="5">
        <f t="shared" ca="1" si="54"/>
        <v>-1.4301411426678222E-2</v>
      </c>
      <c r="G282" s="13">
        <f t="shared" ca="1" si="55"/>
        <v>-0.91092597873814585</v>
      </c>
      <c r="H282" t="str">
        <f t="shared" ca="1" si="56"/>
        <v>No</v>
      </c>
      <c r="I282" s="5">
        <f t="shared" ca="1" si="57"/>
        <v>-4.5268251121139413E-2</v>
      </c>
    </row>
    <row r="283" spans="1:9" x14ac:dyDescent="0.2">
      <c r="A283">
        <v>8</v>
      </c>
      <c r="B283" t="str">
        <f t="shared" ca="1" si="53"/>
        <v>Fri</v>
      </c>
      <c r="C283" s="2">
        <f ca="1">OFFSET(Data!$A$1,$C$35-A283,0,1,1)</f>
        <v>46094</v>
      </c>
      <c r="D283" s="5">
        <f ca="1">_xlfn.XLOOKUP(C283,Data!$A:$A,Data!$G:$G)</f>
        <v>0</v>
      </c>
      <c r="E283" s="5">
        <f ca="1">$E$35+$F$35*_xlfn.XLOOKUP(C283,Data!$A:$A,Data!$F:$F)</f>
        <v>4.7573900947631012E-3</v>
      </c>
      <c r="F283" s="5">
        <f t="shared" ca="1" si="54"/>
        <v>-4.7573900947631012E-3</v>
      </c>
      <c r="G283" s="13">
        <f t="shared" ca="1" si="55"/>
        <v>-0.30302115637531918</v>
      </c>
      <c r="H283" t="str">
        <f t="shared" ca="1" si="56"/>
        <v>No</v>
      </c>
      <c r="I283" s="5">
        <f t="shared" ca="1" si="57"/>
        <v>-3.1416134763144976E-2</v>
      </c>
    </row>
    <row r="284" spans="1:9" x14ac:dyDescent="0.2">
      <c r="A284">
        <v>7</v>
      </c>
      <c r="B284" t="str">
        <f t="shared" ca="1" si="53"/>
        <v>Thu</v>
      </c>
      <c r="C284" s="2">
        <f ca="1">OFFSET(Data!$A$1,$C$35-A284,0,1,1)</f>
        <v>46093</v>
      </c>
      <c r="D284" s="5">
        <f ca="1">_xlfn.XLOOKUP(C284,Data!$A:$A,Data!$G:$G)</f>
        <v>-2.9940119760479056E-2</v>
      </c>
      <c r="E284" s="5">
        <f ca="1">$E$35+$F$35*_xlfn.XLOOKUP(C284,Data!$A:$A,Data!$F:$F)</f>
        <v>-1.8161446506426138E-2</v>
      </c>
      <c r="F284" s="5">
        <f t="shared" ca="1" si="54"/>
        <v>-1.1778673254052918E-2</v>
      </c>
      <c r="G284" s="13">
        <f t="shared" ca="1" si="55"/>
        <v>-0.75024059808319965</v>
      </c>
      <c r="H284" t="str">
        <f t="shared" ca="1" si="56"/>
        <v>No</v>
      </c>
      <c r="I284" s="5">
        <f t="shared" ca="1" si="57"/>
        <v>-2.678617696133434E-2</v>
      </c>
    </row>
    <row r="285" spans="1:9" x14ac:dyDescent="0.2">
      <c r="A285">
        <v>6</v>
      </c>
      <c r="B285" t="str">
        <f t="shared" ca="1" si="53"/>
        <v>Wed</v>
      </c>
      <c r="C285" s="2">
        <f ca="1">OFFSET(Data!$A$1,$C$35-A285,0,1,1)</f>
        <v>46092</v>
      </c>
      <c r="D285" s="5">
        <f ca="1">_xlfn.XLOOKUP(C285,Data!$A:$A,Data!$G:$G)</f>
        <v>-3.2566149992171556E-2</v>
      </c>
      <c r="E285" s="5">
        <f ca="1">$E$35+$F$35*_xlfn.XLOOKUP(C285,Data!$A:$A,Data!$F:$F)</f>
        <v>1.1425644218845087E-3</v>
      </c>
      <c r="F285" s="5">
        <f t="shared" ca="1" si="54"/>
        <v>-3.3708714414056068E-2</v>
      </c>
      <c r="G285" s="13">
        <f t="shared" ca="1" si="55"/>
        <v>-2.1470708557023004</v>
      </c>
      <c r="H285" t="str">
        <f t="shared" ca="1" si="56"/>
        <v>Yes</v>
      </c>
      <c r="I285" s="5">
        <f t="shared" ca="1" si="57"/>
        <v>-1.5186379104667469E-2</v>
      </c>
    </row>
    <row r="286" spans="1:9" x14ac:dyDescent="0.2">
      <c r="A286">
        <v>5</v>
      </c>
      <c r="B286" t="str">
        <f t="shared" ca="1" si="53"/>
        <v>Tue</v>
      </c>
      <c r="C286" s="2">
        <f ca="1">OFFSET(Data!$A$1,$C$35-A286,0,1,1)</f>
        <v>46091</v>
      </c>
      <c r="D286" s="5">
        <f ca="1">_xlfn.XLOOKUP(C286,Data!$A:$A,Data!$G:$G)</f>
        <v>-2.4885496183206124E-2</v>
      </c>
      <c r="E286" s="5">
        <f ca="1">$E$35+$F$35*_xlfn.XLOOKUP(C286,Data!$A:$A,Data!$F:$F)</f>
        <v>-1.3167247752251348E-2</v>
      </c>
      <c r="F286" s="5">
        <f t="shared" ca="1" si="54"/>
        <v>-1.1718248430954776E-2</v>
      </c>
      <c r="G286" s="13">
        <f t="shared" ca="1" si="55"/>
        <v>-0.74639184920949919</v>
      </c>
      <c r="H286" t="str">
        <f t="shared" ca="1" si="56"/>
        <v>No</v>
      </c>
      <c r="I286" s="5">
        <f t="shared" ca="1" si="57"/>
        <v>1.9168480131906529E-2</v>
      </c>
    </row>
    <row r="287" spans="1:9" x14ac:dyDescent="0.2">
      <c r="A287">
        <v>4</v>
      </c>
      <c r="B287" t="str">
        <f t="shared" ca="1" si="53"/>
        <v>Mon</v>
      </c>
      <c r="C287" s="2">
        <f ca="1">OFFSET(Data!$A$1,$C$35-A287,0,1,1)</f>
        <v>46090</v>
      </c>
      <c r="D287" s="5">
        <f ca="1">_xlfn.XLOOKUP(C287,Data!$A:$A,Data!$G:$G)</f>
        <v>-6.3713592233010097E-3</v>
      </c>
      <c r="E287" s="5">
        <f ca="1">$E$35+$F$35*_xlfn.XLOOKUP(C287,Data!$A:$A,Data!$F:$F)</f>
        <v>-3.0975262070518716E-2</v>
      </c>
      <c r="F287" s="5">
        <f t="shared" ca="1" si="54"/>
        <v>2.4603902847217706E-2</v>
      </c>
      <c r="G287" s="13">
        <f t="shared" ca="1" si="55"/>
        <v>1.5671414249415616</v>
      </c>
      <c r="H287" t="str">
        <f t="shared" ca="1" si="56"/>
        <v>No</v>
      </c>
      <c r="I287" s="5">
        <f t="shared" ca="1" si="57"/>
        <v>3.1252958494704552E-2</v>
      </c>
    </row>
    <row r="288" spans="1:9" x14ac:dyDescent="0.2">
      <c r="A288">
        <v>3</v>
      </c>
      <c r="B288" t="str">
        <f t="shared" ca="1" si="53"/>
        <v>Fri</v>
      </c>
      <c r="C288" s="2">
        <f ca="1">OFFSET(Data!$A$1,$C$35-A288,0,1,1)</f>
        <v>46087</v>
      </c>
      <c r="D288" s="5">
        <f ca="1">_xlfn.XLOOKUP(C288,Data!$A:$A,Data!$G:$G)</f>
        <v>7.9510703363914192E-3</v>
      </c>
      <c r="E288" s="5">
        <f ca="1">$E$35+$F$35*_xlfn.XLOOKUP(C288,Data!$A:$A,Data!$F:$F)</f>
        <v>-1.5544836644809314E-3</v>
      </c>
      <c r="F288" s="5">
        <f t="shared" ca="1" si="54"/>
        <v>9.5055540008723502E-3</v>
      </c>
      <c r="G288" s="13">
        <f t="shared" ca="1" si="55"/>
        <v>0.60545465222687667</v>
      </c>
      <c r="H288" t="str">
        <f t="shared" ca="1" si="56"/>
        <v>No</v>
      </c>
      <c r="I288" s="5">
        <f t="shared" ca="1" si="57"/>
        <v>6.4893912945382937E-3</v>
      </c>
    </row>
    <row r="289" spans="1:9" x14ac:dyDescent="0.2">
      <c r="A289">
        <v>2</v>
      </c>
      <c r="B289" t="str">
        <f t="shared" ca="1" si="53"/>
        <v>Thu</v>
      </c>
      <c r="C289" s="2">
        <f ca="1">OFFSET(Data!$A$1,$C$35-A289,0,1,1)</f>
        <v>46086</v>
      </c>
      <c r="D289" s="5">
        <f ca="1">_xlfn.XLOOKUP(C289,Data!$A:$A,Data!$G:$G)</f>
        <v>5.5519690122659782E-2</v>
      </c>
      <c r="E289" s="5">
        <f ca="1">$E$35+$F$35*_xlfn.XLOOKUP(C289,Data!$A:$A,Data!$F:$F)</f>
        <v>1.4619102543335337E-2</v>
      </c>
      <c r="F289" s="5">
        <f t="shared" ca="1" si="54"/>
        <v>4.0900587579324445E-2</v>
      </c>
      <c r="G289" s="13">
        <f t="shared" ca="1" si="55"/>
        <v>2.6051559989498965</v>
      </c>
      <c r="H289" t="str">
        <f t="shared" ca="1" si="56"/>
        <v>Yes</v>
      </c>
      <c r="I289" s="5">
        <f t="shared" ca="1" si="57"/>
        <v>-2.9877623697862621E-3</v>
      </c>
    </row>
    <row r="290" spans="1:9" x14ac:dyDescent="0.2">
      <c r="A290">
        <v>1</v>
      </c>
      <c r="B290" t="str">
        <f t="shared" ca="1" si="53"/>
        <v>Wed</v>
      </c>
      <c r="C290" s="2">
        <f ca="1">OFFSET(Data!$A$1,$C$35-A290,0,1,1)</f>
        <v>46085</v>
      </c>
      <c r="D290" s="5">
        <f ca="1">_xlfn.XLOOKUP(C290,Data!$A:$A,Data!$G:$G)</f>
        <v>-1.4944356120826674E-2</v>
      </c>
      <c r="E290" s="5">
        <f ca="1">$E$35+$F$35*_xlfn.XLOOKUP(C290,Data!$A:$A,Data!$F:$F)</f>
        <v>-1.1631131846746592E-3</v>
      </c>
      <c r="F290" s="5">
        <f t="shared" ca="1" si="54"/>
        <v>-1.3781242936152014E-2</v>
      </c>
      <c r="G290" s="13">
        <f t="shared" ca="1" si="55"/>
        <v>-0.87779393482970858</v>
      </c>
      <c r="H290" t="str">
        <f t="shared" ca="1" si="56"/>
        <v>No</v>
      </c>
      <c r="I290" s="5">
        <f t="shared" ca="1" si="57"/>
        <v>-4.2163824742548872E-2</v>
      </c>
    </row>
    <row r="291" spans="1:9" x14ac:dyDescent="0.2">
      <c r="A291">
        <v>0</v>
      </c>
      <c r="B291" t="str">
        <f t="shared" ca="1" si="53"/>
        <v>Mon</v>
      </c>
      <c r="C291" s="2">
        <f ca="1">OFFSET(Data!$A$1,$C$35-A291,0,1,1)</f>
        <v>46083</v>
      </c>
      <c r="D291" s="5">
        <f ca="1">_xlfn.XLOOKUP(C291,Data!$A:$A,Data!$G:$G)</f>
        <v>2.2764227642276369E-2</v>
      </c>
      <c r="E291" s="5">
        <f ca="1">$E$35+$F$35*_xlfn.XLOOKUP(C291,Data!$A:$A,Data!$F:$F)</f>
        <v>4.8412342314507785E-2</v>
      </c>
      <c r="F291" s="5">
        <f t="shared" ca="1" si="54"/>
        <v>-2.5648114672231416E-2</v>
      </c>
      <c r="G291" s="13">
        <f t="shared" ca="1" si="55"/>
        <v>-1.6336523202883082</v>
      </c>
      <c r="H291" t="str">
        <f t="shared" ca="1" si="56"/>
        <v>No</v>
      </c>
      <c r="I291" s="5">
        <f t="shared" ca="1" si="57"/>
        <v>-2.8779194882580517E-2</v>
      </c>
    </row>
    <row r="292" spans="1:9" x14ac:dyDescent="0.2">
      <c r="A292">
        <v>-1</v>
      </c>
      <c r="B292" t="str">
        <f t="shared" ca="1" si="53"/>
        <v>Fri</v>
      </c>
      <c r="C292" s="2">
        <f ca="1">OFFSET(Data!$A$1,$C$35-A292,0,1,1)</f>
        <v>46080</v>
      </c>
      <c r="D292" s="5">
        <f ca="1">_xlfn.XLOOKUP(C292,Data!$A:$A,Data!$G:$G)</f>
        <v>1.0515938218862875E-2</v>
      </c>
      <c r="E292" s="5">
        <f ca="1">$E$35+$F$35*_xlfn.XLOOKUP(C292,Data!$A:$A,Data!$F:$F)</f>
        <v>4.2848335178887788E-3</v>
      </c>
      <c r="F292" s="5">
        <f t="shared" ca="1" si="54"/>
        <v>6.2311047009740959E-3</v>
      </c>
      <c r="G292" s="13">
        <f t="shared" ca="1" si="55"/>
        <v>0.39688915862992324</v>
      </c>
      <c r="H292" t="str">
        <f t="shared" ca="1" si="56"/>
        <v>No</v>
      </c>
      <c r="I292" s="5">
        <f t="shared" ca="1" si="57"/>
        <v>-3.2135004380844379E-3</v>
      </c>
    </row>
    <row r="293" spans="1:9" x14ac:dyDescent="0.2">
      <c r="A293">
        <v>-2</v>
      </c>
      <c r="B293" t="str">
        <f t="shared" ca="1" si="53"/>
        <v>Thu</v>
      </c>
      <c r="C293" s="2">
        <f ca="1">OFFSET(Data!$A$1,$C$35-A293,0,1,1)</f>
        <v>46079</v>
      </c>
      <c r="D293" s="5">
        <f ca="1">_xlfn.XLOOKUP(C293,Data!$A:$A,Data!$G:$G)</f>
        <v>0</v>
      </c>
      <c r="E293" s="5">
        <f ca="1">$E$35+$F$35*_xlfn.XLOOKUP(C293,Data!$A:$A,Data!$F:$F)</f>
        <v>-1.3377548175838104E-2</v>
      </c>
      <c r="F293" s="5">
        <f t="shared" ca="1" si="54"/>
        <v>1.3377548175838104E-2</v>
      </c>
      <c r="G293" s="13">
        <f t="shared" ca="1" si="55"/>
        <v>0.85208066544117633</v>
      </c>
      <c r="H293" t="str">
        <f t="shared" ca="1" si="56"/>
        <v>No</v>
      </c>
      <c r="I293" s="5">
        <f t="shared" ca="1" si="57"/>
        <v>-9.3861192472927124E-3</v>
      </c>
    </row>
    <row r="294" spans="1:9" x14ac:dyDescent="0.2">
      <c r="A294">
        <v>-3</v>
      </c>
      <c r="B294" t="str">
        <f t="shared" ca="1" si="53"/>
        <v>Wed</v>
      </c>
      <c r="C294" s="2">
        <f ca="1">OFFSET(Data!$A$1,$C$35-A294,0,1,1)</f>
        <v>46078</v>
      </c>
      <c r="D294" s="5">
        <f ca="1">_xlfn.XLOOKUP(C294,Data!$A:$A,Data!$G:$G)</f>
        <v>-1.1210398050365611E-2</v>
      </c>
      <c r="E294" s="5">
        <f ca="1">$E$35+$F$35*_xlfn.XLOOKUP(C294,Data!$A:$A,Data!$F:$F)</f>
        <v>-4.3552830135667325E-3</v>
      </c>
      <c r="F294" s="5">
        <f t="shared" ca="1" si="54"/>
        <v>-6.8551150367988783E-3</v>
      </c>
      <c r="G294" s="13">
        <f t="shared" ca="1" si="55"/>
        <v>-0.43663539128801954</v>
      </c>
      <c r="H294" t="str">
        <f t="shared" ca="1" si="56"/>
        <v>No</v>
      </c>
      <c r="I294" s="5">
        <f t="shared" ca="1" si="57"/>
        <v>-2.2463165346525815E-2</v>
      </c>
    </row>
    <row r="295" spans="1:9" x14ac:dyDescent="0.2">
      <c r="A295">
        <v>-4</v>
      </c>
      <c r="B295" t="str">
        <f t="shared" ca="1" si="53"/>
        <v>Tue</v>
      </c>
      <c r="C295" s="2">
        <f ca="1">OFFSET(Data!$A$1,$C$35-A295,0,1,1)</f>
        <v>46077</v>
      </c>
      <c r="D295" s="5">
        <f ca="1">_xlfn.XLOOKUP(C295,Data!$A:$A,Data!$G:$G)</f>
        <v>-6.4568200161420064E-3</v>
      </c>
      <c r="E295" s="5">
        <f ca="1">$E$35+$F$35*_xlfn.XLOOKUP(C295,Data!$A:$A,Data!$F:$F)</f>
        <v>-2.2837028149545687E-2</v>
      </c>
      <c r="F295" s="5">
        <f t="shared" ca="1" si="54"/>
        <v>1.6380208133403681E-2</v>
      </c>
      <c r="G295" s="13">
        <f t="shared" ca="1" si="55"/>
        <v>1.0433345829084375</v>
      </c>
      <c r="H295" t="str">
        <f t="shared" ca="1" si="56"/>
        <v>No</v>
      </c>
      <c r="I295" s="5">
        <f t="shared" ca="1" si="57"/>
        <v>-1.5715783815676843E-2</v>
      </c>
    </row>
    <row r="296" spans="1:9" x14ac:dyDescent="0.2">
      <c r="A296">
        <v>-5</v>
      </c>
      <c r="B296" t="str">
        <f t="shared" ca="1" si="53"/>
        <v>Mon</v>
      </c>
      <c r="C296" s="2">
        <f ca="1">OFFSET(Data!$A$1,$C$35-A296,0,1,1)</f>
        <v>46076</v>
      </c>
      <c r="D296" s="5">
        <f ca="1">_xlfn.XLOOKUP(C296,Data!$A:$A,Data!$G:$G)</f>
        <v>-5.9370988446726392E-3</v>
      </c>
      <c r="E296" s="5">
        <f ca="1">$E$35+$F$35*_xlfn.XLOOKUP(C296,Data!$A:$A,Data!$F:$F)</f>
        <v>-5.1480062642433443E-4</v>
      </c>
      <c r="F296" s="5">
        <f t="shared" ca="1" si="54"/>
        <v>-5.4222982182483047E-3</v>
      </c>
      <c r="G296" s="13">
        <f t="shared" ca="1" si="55"/>
        <v>-0.345372366692005</v>
      </c>
      <c r="H296" t="str">
        <f t="shared" ca="1" si="56"/>
        <v>No</v>
      </c>
      <c r="I296" s="5">
        <f t="shared" ca="1" si="57"/>
        <v>-3.1578725847117073E-2</v>
      </c>
    </row>
    <row r="297" spans="1:9" x14ac:dyDescent="0.2">
      <c r="A297">
        <v>-6</v>
      </c>
      <c r="B297" t="str">
        <f t="shared" ca="1" si="53"/>
        <v>Fri</v>
      </c>
      <c r="C297" s="2">
        <f ca="1">OFFSET(Data!$A$1,$C$35-A297,0,1,1)</f>
        <v>46073</v>
      </c>
      <c r="D297" s="5">
        <f ca="1">_xlfn.XLOOKUP(C297,Data!$A:$A,Data!$G:$G)</f>
        <v>9.2307692307691536E-3</v>
      </c>
      <c r="E297" s="5">
        <f ca="1">$E$35+$F$35*_xlfn.XLOOKUP(C297,Data!$A:$A,Data!$F:$F)</f>
        <v>6.395020174976505E-3</v>
      </c>
      <c r="F297" s="5">
        <f t="shared" ca="1" si="54"/>
        <v>2.8357490557926485E-3</v>
      </c>
      <c r="G297" s="13">
        <f t="shared" ca="1" si="55"/>
        <v>0.18062255584683079</v>
      </c>
      <c r="H297" t="str">
        <f t="shared" ca="1" si="56"/>
        <v>No</v>
      </c>
      <c r="I297" s="5">
        <f t="shared" ca="1" si="57"/>
        <v>-2.6299028805904623E-2</v>
      </c>
    </row>
    <row r="298" spans="1:9" x14ac:dyDescent="0.2">
      <c r="A298">
        <v>-7</v>
      </c>
      <c r="B298" t="str">
        <f t="shared" ca="1" si="53"/>
        <v>Thu</v>
      </c>
      <c r="C298" s="2">
        <f ca="1">OFFSET(Data!$A$1,$C$35-A298,0,1,1)</f>
        <v>46072</v>
      </c>
      <c r="D298" s="5">
        <f ca="1">_xlfn.XLOOKUP(C298,Data!$A:$A,Data!$G:$G)</f>
        <v>-1.1683738796414822E-2</v>
      </c>
      <c r="E298" s="5">
        <f ca="1">$E$35+$F$35*_xlfn.XLOOKUP(C298,Data!$A:$A,Data!$F:$F)</f>
        <v>-8.3032102894003042E-3</v>
      </c>
      <c r="F298" s="5">
        <f t="shared" ca="1" si="54"/>
        <v>-3.3805285070145179E-3</v>
      </c>
      <c r="G298" s="13">
        <f t="shared" ca="1" si="55"/>
        <v>-0.21532219072867098</v>
      </c>
      <c r="H298" t="str">
        <f t="shared" ca="1" si="56"/>
        <v>No</v>
      </c>
      <c r="I298" s="5">
        <f t="shared" ca="1" si="57"/>
        <v>-2.905239256690717E-2</v>
      </c>
    </row>
    <row r="299" spans="1:9" x14ac:dyDescent="0.2">
      <c r="A299">
        <v>-8</v>
      </c>
      <c r="B299" t="str">
        <f t="shared" ca="1" si="53"/>
        <v>Wed</v>
      </c>
      <c r="C299" s="2">
        <f ca="1">OFFSET(Data!$A$1,$C$35-A299,0,1,1)</f>
        <v>46071</v>
      </c>
      <c r="D299" s="5">
        <f ca="1">_xlfn.XLOOKUP(C299,Data!$A:$A,Data!$G:$G)</f>
        <v>9.6123037487982899E-4</v>
      </c>
      <c r="E299" s="5">
        <f ca="1">$E$35+$F$35*_xlfn.XLOOKUP(C299,Data!$A:$A,Data!$F:$F)</f>
        <v>7.5814565141247665E-3</v>
      </c>
      <c r="F299" s="5">
        <f t="shared" ca="1" si="54"/>
        <v>-6.6202261392449375E-3</v>
      </c>
      <c r="G299" s="13">
        <f t="shared" ca="1" si="55"/>
        <v>-0.42167418273905705</v>
      </c>
      <c r="H299" t="str">
        <f t="shared" ca="1" si="56"/>
        <v>No</v>
      </c>
      <c r="I299" s="5">
        <f t="shared" ca="1" si="57"/>
        <v>-2.5758942900678927E-2</v>
      </c>
    </row>
    <row r="300" spans="1:9" x14ac:dyDescent="0.2">
      <c r="A300">
        <v>-9</v>
      </c>
      <c r="B300" t="str">
        <f t="shared" ca="1" si="53"/>
        <v>Tue</v>
      </c>
      <c r="C300" s="2">
        <f ca="1">OFFSET(Data!$A$1,$C$35-A300,0,1,1)</f>
        <v>46070</v>
      </c>
      <c r="D300" s="5">
        <f ca="1">_xlfn.XLOOKUP(C300,Data!$A:$A,Data!$G:$G)</f>
        <v>-3.0293615038061161E-2</v>
      </c>
      <c r="E300" s="5">
        <f ca="1">$E$35+$F$35*_xlfn.XLOOKUP(C300,Data!$A:$A,Data!$F:$F)</f>
        <v>-1.0327488958506163E-4</v>
      </c>
      <c r="F300" s="5">
        <f t="shared" ca="1" si="54"/>
        <v>-3.0190340148476099E-2</v>
      </c>
      <c r="G300" s="13">
        <f t="shared" ca="1" si="55"/>
        <v>-1.9229686027273327</v>
      </c>
      <c r="H300" t="str">
        <f t="shared" ca="1" si="56"/>
        <v>No</v>
      </c>
      <c r="I300" s="5">
        <f t="shared" ca="1" si="57"/>
        <v>-1.9266263784545989E-2</v>
      </c>
    </row>
    <row r="301" spans="1:9" x14ac:dyDescent="0.2">
      <c r="A301">
        <v>-10</v>
      </c>
      <c r="B301" t="str">
        <f t="shared" ca="1" si="53"/>
        <v>Mon</v>
      </c>
      <c r="C301" s="2">
        <f ca="1">OFFSET(Data!$A$1,$C$35-A301,0,1,1)</f>
        <v>46069</v>
      </c>
      <c r="D301" s="5">
        <f ca="1">_xlfn.XLOOKUP(C301,Data!$A:$A,Data!$G:$G)</f>
        <v>1.5139567891499839E-2</v>
      </c>
      <c r="E301" s="5">
        <f ca="1">$E$35+$F$35*_xlfn.XLOOKUP(C301,Data!$A:$A,Data!$F:$F)</f>
        <v>3.8754231668508745E-3</v>
      </c>
      <c r="F301" s="5">
        <f t="shared" ca="1" si="54"/>
        <v>1.1264144724648964E-2</v>
      </c>
      <c r="G301" s="13">
        <f t="shared" ca="1" si="55"/>
        <v>0.71746779054326171</v>
      </c>
      <c r="H301" t="str">
        <f t="shared" ca="1" si="56"/>
        <v>No</v>
      </c>
      <c r="I301" s="5">
        <f ca="1">F301</f>
        <v>1.1264144724648964E-2</v>
      </c>
    </row>
    <row r="303" spans="1:9" x14ac:dyDescent="0.2">
      <c r="A303" s="3" t="s">
        <v>60</v>
      </c>
      <c r="B303" t="str">
        <f>E21</f>
        <v>Pakistan-brokered ceasefire</v>
      </c>
    </row>
    <row r="304" spans="1:9" x14ac:dyDescent="0.2">
      <c r="A304" s="12" t="s">
        <v>42</v>
      </c>
      <c r="B304" s="12" t="s">
        <v>43</v>
      </c>
      <c r="C304" s="12" t="s">
        <v>0</v>
      </c>
      <c r="D304" s="12" t="s">
        <v>44</v>
      </c>
      <c r="E304" s="12" t="s">
        <v>45</v>
      </c>
      <c r="F304" s="12" t="s">
        <v>46</v>
      </c>
      <c r="G304" s="12" t="s">
        <v>47</v>
      </c>
      <c r="H304" s="12" t="s">
        <v>48</v>
      </c>
      <c r="I304" s="12" t="s">
        <v>49</v>
      </c>
    </row>
    <row r="305" spans="1:9" x14ac:dyDescent="0.2">
      <c r="A305">
        <v>10</v>
      </c>
      <c r="B305" t="str">
        <f t="shared" ref="B305:B325" ca="1" si="58">TEXT(WEEKDAY(C305),"ddd")</f>
        <v>Mon</v>
      </c>
      <c r="C305" s="2">
        <f ca="1">OFFSET(Data!$A$1,$C$36-A305,0,1,1)</f>
        <v>46139</v>
      </c>
      <c r="D305" s="5">
        <f ca="1">_xlfn.XLOOKUP(C305,Data!$A:$A,Data!$G:$G)</f>
        <v>3.5236081747709758E-2</v>
      </c>
      <c r="E305" s="5">
        <f ca="1">$E$36+$F$36*_xlfn.XLOOKUP(C305,Data!$A:$A,Data!$F:$F)</f>
        <v>-1.7759294886545802E-3</v>
      </c>
      <c r="F305" s="5">
        <f t="shared" ref="F305:F325" ca="1" si="59">D305-E305</f>
        <v>3.7012011236364335E-2</v>
      </c>
      <c r="G305" s="13">
        <f t="shared" ref="G305:G325" ca="1" si="60">F305/$I$36</f>
        <v>2.2837139105481628</v>
      </c>
      <c r="H305" t="str">
        <f t="shared" ref="H305:H325" ca="1" si="61">IF(ABS(G305)&lt;$B$6,"No","Yes")</f>
        <v>Yes</v>
      </c>
      <c r="I305" s="5">
        <f t="shared" ref="I305:I324" ca="1" si="62">(1+I306)*(1+F305)-1</f>
        <v>0.22754047072433825</v>
      </c>
    </row>
    <row r="306" spans="1:9" x14ac:dyDescent="0.2">
      <c r="A306">
        <v>9</v>
      </c>
      <c r="B306" t="str">
        <f t="shared" ca="1" si="58"/>
        <v>Fri</v>
      </c>
      <c r="C306" s="2">
        <f ca="1">OFFSET(Data!$A$1,$C$36-A306,0,1,1)</f>
        <v>46136</v>
      </c>
      <c r="D306" s="5">
        <f ca="1">_xlfn.XLOOKUP(C306,Data!$A:$A,Data!$G:$G)</f>
        <v>-1.0460251046025104E-2</v>
      </c>
      <c r="E306" s="5">
        <f ca="1">$E$36+$F$36*_xlfn.XLOOKUP(C306,Data!$A:$A,Data!$F:$F)</f>
        <v>-1.3468333190045308E-2</v>
      </c>
      <c r="F306" s="5">
        <f t="shared" ca="1" si="59"/>
        <v>3.0080821440202042E-3</v>
      </c>
      <c r="G306" s="13">
        <f t="shared" ca="1" si="60"/>
        <v>0.18560458637333102</v>
      </c>
      <c r="H306" t="str">
        <f t="shared" ca="1" si="61"/>
        <v>No</v>
      </c>
      <c r="I306" s="5">
        <f t="shared" ca="1" si="62"/>
        <v>0.18372830538463947</v>
      </c>
    </row>
    <row r="307" spans="1:9" x14ac:dyDescent="0.2">
      <c r="A307">
        <v>8</v>
      </c>
      <c r="B307" t="str">
        <f t="shared" ca="1" si="58"/>
        <v>Thu</v>
      </c>
      <c r="C307" s="2">
        <f ca="1">OFFSET(Data!$A$1,$C$36-A307,0,1,1)</f>
        <v>46135</v>
      </c>
      <c r="D307" s="5">
        <f ca="1">_xlfn.XLOOKUP(C307,Data!$A:$A,Data!$G:$G)</f>
        <v>1.9914651493598834E-2</v>
      </c>
      <c r="E307" s="5">
        <f ca="1">$E$36+$F$36*_xlfn.XLOOKUP(C307,Data!$A:$A,Data!$F:$F)</f>
        <v>-9.2215940807794197E-4</v>
      </c>
      <c r="F307" s="5">
        <f t="shared" ca="1" si="59"/>
        <v>2.0836810901676776E-2</v>
      </c>
      <c r="G307" s="13">
        <f t="shared" ca="1" si="60"/>
        <v>1.285672226881533</v>
      </c>
      <c r="H307" t="str">
        <f t="shared" ca="1" si="61"/>
        <v>No</v>
      </c>
      <c r="I307" s="5">
        <f t="shared" ca="1" si="62"/>
        <v>0.18017823231724472</v>
      </c>
    </row>
    <row r="308" spans="1:9" x14ac:dyDescent="0.2">
      <c r="A308">
        <v>7</v>
      </c>
      <c r="B308" t="str">
        <f t="shared" ca="1" si="58"/>
        <v>Mon</v>
      </c>
      <c r="C308" s="2">
        <f ca="1">OFFSET(Data!$A$1,$C$36-A308,0,1,1)</f>
        <v>46132</v>
      </c>
      <c r="D308" s="5">
        <f ca="1">_xlfn.XLOOKUP(C308,Data!$A:$A,Data!$G:$G)</f>
        <v>1.2968299711815456E-2</v>
      </c>
      <c r="E308" s="5">
        <f ca="1">$E$36+$F$36*_xlfn.XLOOKUP(C308,Data!$A:$A,Data!$F:$F)</f>
        <v>3.4585188640343999E-3</v>
      </c>
      <c r="F308" s="5">
        <f t="shared" ca="1" si="59"/>
        <v>9.5097808477810561E-3</v>
      </c>
      <c r="G308" s="13">
        <f t="shared" ca="1" si="60"/>
        <v>0.58677218780817075</v>
      </c>
      <c r="H308" t="str">
        <f t="shared" ca="1" si="61"/>
        <v>No</v>
      </c>
      <c r="I308" s="5">
        <f t="shared" ca="1" si="62"/>
        <v>0.15608902393990487</v>
      </c>
    </row>
    <row r="309" spans="1:9" x14ac:dyDescent="0.2">
      <c r="A309">
        <v>6</v>
      </c>
      <c r="B309" t="str">
        <f t="shared" ca="1" si="58"/>
        <v>Fri</v>
      </c>
      <c r="C309" s="2">
        <f ca="1">OFFSET(Data!$A$1,$C$36-A309,0,1,1)</f>
        <v>46129</v>
      </c>
      <c r="D309" s="5">
        <f ca="1">_xlfn.XLOOKUP(C309,Data!$A:$A,Data!$G:$G)</f>
        <v>3.2738095238095344E-2</v>
      </c>
      <c r="E309" s="5">
        <f ca="1">$E$36+$F$36*_xlfn.XLOOKUP(C309,Data!$A:$A,Data!$F:$F)</f>
        <v>9.7495059019855942E-3</v>
      </c>
      <c r="F309" s="5">
        <f t="shared" ca="1" si="59"/>
        <v>2.2988589336109748E-2</v>
      </c>
      <c r="G309" s="13">
        <f t="shared" ca="1" si="60"/>
        <v>1.418441189685264</v>
      </c>
      <c r="H309" t="str">
        <f t="shared" ca="1" si="61"/>
        <v>No</v>
      </c>
      <c r="I309" s="5">
        <f t="shared" ca="1" si="62"/>
        <v>0.1451984377694957</v>
      </c>
    </row>
    <row r="310" spans="1:9" x14ac:dyDescent="0.2">
      <c r="A310">
        <v>5</v>
      </c>
      <c r="B310" t="str">
        <f t="shared" ca="1" si="58"/>
        <v>Thu</v>
      </c>
      <c r="C310" s="2">
        <f ca="1">OFFSET(Data!$A$1,$C$36-A310,0,1,1)</f>
        <v>46128</v>
      </c>
      <c r="D310" s="5">
        <f ca="1">_xlfn.XLOOKUP(C310,Data!$A:$A,Data!$G:$G)</f>
        <v>-9.8718137616030655E-3</v>
      </c>
      <c r="E310" s="5">
        <f ca="1">$E$36+$F$36*_xlfn.XLOOKUP(C310,Data!$A:$A,Data!$F:$F)</f>
        <v>-1.1985958210618824E-2</v>
      </c>
      <c r="F310" s="5">
        <f t="shared" ca="1" si="59"/>
        <v>2.1141444490157587E-3</v>
      </c>
      <c r="G310" s="13">
        <f t="shared" ca="1" si="60"/>
        <v>0.13044687186255513</v>
      </c>
      <c r="H310" t="str">
        <f t="shared" ca="1" si="61"/>
        <v>No</v>
      </c>
      <c r="I310" s="5">
        <f t="shared" ca="1" si="62"/>
        <v>0.11946354994311004</v>
      </c>
    </row>
    <row r="311" spans="1:9" x14ac:dyDescent="0.2">
      <c r="A311">
        <v>4</v>
      </c>
      <c r="B311" t="str">
        <f t="shared" ca="1" si="58"/>
        <v>Wed</v>
      </c>
      <c r="C311" s="2">
        <f ca="1">OFFSET(Data!$A$1,$C$36-A311,0,1,1)</f>
        <v>46127</v>
      </c>
      <c r="D311" s="5">
        <f ca="1">_xlfn.XLOOKUP(C311,Data!$A:$A,Data!$G:$G)</f>
        <v>2.9893778452200204E-2</v>
      </c>
      <c r="E311" s="5">
        <f ca="1">$E$36+$F$36*_xlfn.XLOOKUP(C311,Data!$A:$A,Data!$F:$F)</f>
        <v>-6.6204537226574704E-3</v>
      </c>
      <c r="F311" s="5">
        <f t="shared" ca="1" si="59"/>
        <v>3.6514232174857678E-2</v>
      </c>
      <c r="G311" s="13">
        <f t="shared" ca="1" si="60"/>
        <v>2.2529999631249145</v>
      </c>
      <c r="H311" t="str">
        <f t="shared" ca="1" si="61"/>
        <v>Yes</v>
      </c>
      <c r="I311" s="5">
        <f t="shared" ca="1" si="62"/>
        <v>0.11710183529902718</v>
      </c>
    </row>
    <row r="312" spans="1:9" x14ac:dyDescent="0.2">
      <c r="A312">
        <v>3</v>
      </c>
      <c r="B312" t="str">
        <f t="shared" ca="1" si="58"/>
        <v>Tue</v>
      </c>
      <c r="C312" s="2">
        <f ca="1">OFFSET(Data!$A$1,$C$36-A312,0,1,1)</f>
        <v>46126</v>
      </c>
      <c r="D312" s="5">
        <f ca="1">_xlfn.XLOOKUP(C312,Data!$A:$A,Data!$G:$G)</f>
        <v>5.7784911717496001E-2</v>
      </c>
      <c r="E312" s="5">
        <f ca="1">$E$36+$F$36*_xlfn.XLOOKUP(C312,Data!$A:$A,Data!$F:$F)</f>
        <v>1.3722523327876362E-2</v>
      </c>
      <c r="F312" s="5">
        <f t="shared" ca="1" si="59"/>
        <v>4.4062388389619636E-2</v>
      </c>
      <c r="G312" s="13">
        <f t="shared" ca="1" si="60"/>
        <v>2.7187360517843242</v>
      </c>
      <c r="H312" t="str">
        <f t="shared" ca="1" si="61"/>
        <v>Yes</v>
      </c>
      <c r="I312" s="5">
        <f t="shared" ca="1" si="62"/>
        <v>7.7748670131694286E-2</v>
      </c>
    </row>
    <row r="313" spans="1:9" x14ac:dyDescent="0.2">
      <c r="A313">
        <v>2</v>
      </c>
      <c r="B313" t="str">
        <f t="shared" ca="1" si="58"/>
        <v>Mon</v>
      </c>
      <c r="C313" s="2">
        <f ca="1">OFFSET(Data!$A$1,$C$36-A313,0,1,1)</f>
        <v>46125</v>
      </c>
      <c r="D313" s="5">
        <f ca="1">_xlfn.XLOOKUP(C313,Data!$A:$A,Data!$G:$G)</f>
        <v>-1.7040075733669946E-2</v>
      </c>
      <c r="E313" s="5">
        <f ca="1">$E$36+$F$36*_xlfn.XLOOKUP(C313,Data!$A:$A,Data!$F:$F)</f>
        <v>-1.5587981252039545E-2</v>
      </c>
      <c r="F313" s="5">
        <f t="shared" ca="1" si="59"/>
        <v>-1.4520944816304015E-3</v>
      </c>
      <c r="G313" s="13">
        <f t="shared" ca="1" si="60"/>
        <v>-8.9597086360749645E-2</v>
      </c>
      <c r="H313" t="str">
        <f t="shared" ca="1" si="61"/>
        <v>No</v>
      </c>
      <c r="I313" s="5">
        <f t="shared" ca="1" si="62"/>
        <v>3.2264625291246185E-2</v>
      </c>
    </row>
    <row r="314" spans="1:9" x14ac:dyDescent="0.2">
      <c r="A314">
        <v>1</v>
      </c>
      <c r="B314" t="str">
        <f t="shared" ca="1" si="58"/>
        <v>Fri</v>
      </c>
      <c r="C314" s="2">
        <f ca="1">OFFSET(Data!$A$1,$C$36-A314,0,1,1)</f>
        <v>46122</v>
      </c>
      <c r="D314" s="5">
        <f ca="1">_xlfn.XLOOKUP(C314,Data!$A:$A,Data!$G:$G)</f>
        <v>2.4737267582861655E-2</v>
      </c>
      <c r="E314" s="5">
        <f ca="1">$E$36+$F$36*_xlfn.XLOOKUP(C314,Data!$A:$A,Data!$F:$F)</f>
        <v>1.8024640219127197E-2</v>
      </c>
      <c r="F314" s="5">
        <f t="shared" ca="1" si="59"/>
        <v>6.712627363734458E-3</v>
      </c>
      <c r="G314" s="13">
        <f t="shared" ca="1" si="60"/>
        <v>0.41418231473530837</v>
      </c>
      <c r="H314" t="str">
        <f t="shared" ca="1" si="61"/>
        <v>No</v>
      </c>
      <c r="I314" s="5">
        <f t="shared" ca="1" si="62"/>
        <v>3.3765750833329777E-2</v>
      </c>
    </row>
    <row r="315" spans="1:9" x14ac:dyDescent="0.2">
      <c r="A315">
        <v>0</v>
      </c>
      <c r="B315" t="str">
        <f t="shared" ca="1" si="58"/>
        <v>Thu</v>
      </c>
      <c r="C315" s="2">
        <f ca="1">OFFSET(Data!$A$1,$C$36-A315,0,1,1)</f>
        <v>46121</v>
      </c>
      <c r="D315" s="5">
        <f ca="1">_xlfn.XLOOKUP(C315,Data!$A:$A,Data!$G:$G)</f>
        <v>3.3589572192513462E-2</v>
      </c>
      <c r="E315" s="5">
        <f ca="1">$E$36+$F$36*_xlfn.XLOOKUP(C315,Data!$A:$A,Data!$F:$F)</f>
        <v>2.3172121860947002E-2</v>
      </c>
      <c r="F315" s="5">
        <f t="shared" ca="1" si="59"/>
        <v>1.041745033156646E-2</v>
      </c>
      <c r="G315" s="13">
        <f t="shared" ca="1" si="60"/>
        <v>0.64277718070259127</v>
      </c>
      <c r="H315" t="str">
        <f t="shared" ca="1" si="61"/>
        <v>No</v>
      </c>
      <c r="I315" s="5">
        <f t="shared" ca="1" si="62"/>
        <v>2.6872736801204944E-2</v>
      </c>
    </row>
    <row r="316" spans="1:9" x14ac:dyDescent="0.2">
      <c r="A316">
        <v>-1</v>
      </c>
      <c r="B316" t="str">
        <f t="shared" ca="1" si="58"/>
        <v>Mon</v>
      </c>
      <c r="C316" s="2">
        <f ca="1">OFFSET(Data!$A$1,$C$36-A316,0,1,1)</f>
        <v>46118</v>
      </c>
      <c r="D316" s="5">
        <f ca="1">_xlfn.XLOOKUP(C316,Data!$A:$A,Data!$G:$G)</f>
        <v>3.3506044905008636E-2</v>
      </c>
      <c r="E316" s="5">
        <f ca="1">$E$36+$F$36*_xlfn.XLOOKUP(C316,Data!$A:$A,Data!$F:$F)</f>
        <v>1.1035332084711478E-2</v>
      </c>
      <c r="F316" s="5">
        <f t="shared" ca="1" si="59"/>
        <v>2.247071282029716E-2</v>
      </c>
      <c r="G316" s="13">
        <f t="shared" ca="1" si="60"/>
        <v>1.3864871897916986</v>
      </c>
      <c r="H316" t="str">
        <f t="shared" ca="1" si="61"/>
        <v>No</v>
      </c>
      <c r="I316" s="5">
        <f t="shared" ca="1" si="62"/>
        <v>1.6285631710179604E-2</v>
      </c>
    </row>
    <row r="317" spans="1:9" x14ac:dyDescent="0.2">
      <c r="A317">
        <v>-2</v>
      </c>
      <c r="B317" t="str">
        <f t="shared" ca="1" si="58"/>
        <v>Fri</v>
      </c>
      <c r="C317" s="2">
        <f ca="1">OFFSET(Data!$A$1,$C$36-A317,0,1,1)</f>
        <v>46115</v>
      </c>
      <c r="D317" s="5">
        <f ca="1">_xlfn.XLOOKUP(C317,Data!$A:$A,Data!$G:$G)</f>
        <v>1.1530398322851187E-2</v>
      </c>
      <c r="E317" s="5">
        <f ca="1">$E$36+$F$36*_xlfn.XLOOKUP(C317,Data!$A:$A,Data!$F:$F)</f>
        <v>2.1985269785851795E-2</v>
      </c>
      <c r="F317" s="5">
        <f t="shared" ca="1" si="59"/>
        <v>-1.0454871463000608E-2</v>
      </c>
      <c r="G317" s="13">
        <f t="shared" ca="1" si="60"/>
        <v>-0.64508613813424387</v>
      </c>
      <c r="H317" t="str">
        <f t="shared" ca="1" si="61"/>
        <v>No</v>
      </c>
      <c r="I317" s="5">
        <f t="shared" ca="1" si="62"/>
        <v>-6.0491523449676121E-3</v>
      </c>
    </row>
    <row r="318" spans="1:9" x14ac:dyDescent="0.2">
      <c r="A318">
        <v>-3</v>
      </c>
      <c r="B318" t="str">
        <f t="shared" ca="1" si="58"/>
        <v>Tue</v>
      </c>
      <c r="C318" s="2">
        <f ca="1">OFFSET(Data!$A$1,$C$36-A318,0,1,1)</f>
        <v>46112</v>
      </c>
      <c r="D318" s="5">
        <f ca="1">_xlfn.XLOOKUP(C318,Data!$A:$A,Data!$G:$G)</f>
        <v>1.3995801259623075E-3</v>
      </c>
      <c r="E318" s="5">
        <f ca="1">$E$36+$F$36*_xlfn.XLOOKUP(C318,Data!$A:$A,Data!$F:$F)</f>
        <v>1.8285194987509766E-2</v>
      </c>
      <c r="F318" s="5">
        <f t="shared" ca="1" si="59"/>
        <v>-1.6885614861547459E-2</v>
      </c>
      <c r="G318" s="13">
        <f t="shared" ca="1" si="60"/>
        <v>-1.0418756576402313</v>
      </c>
      <c r="H318" t="str">
        <f t="shared" ca="1" si="61"/>
        <v>No</v>
      </c>
      <c r="I318" s="5">
        <f t="shared" ca="1" si="62"/>
        <v>4.4522669972077988E-3</v>
      </c>
    </row>
    <row r="319" spans="1:9" x14ac:dyDescent="0.2">
      <c r="A319">
        <v>-4</v>
      </c>
      <c r="B319" t="str">
        <f t="shared" ca="1" si="58"/>
        <v>Mon</v>
      </c>
      <c r="C319" s="2">
        <f ca="1">OFFSET(Data!$A$1,$C$36-A319,0,1,1)</f>
        <v>46111</v>
      </c>
      <c r="D319" s="5">
        <f ca="1">_xlfn.XLOOKUP(C319,Data!$A:$A,Data!$G:$G)</f>
        <v>2.6211849192100622E-2</v>
      </c>
      <c r="E319" s="5">
        <f ca="1">$E$36+$F$36*_xlfn.XLOOKUP(C319,Data!$A:$A,Data!$F:$F)</f>
        <v>-2.0977359405270391E-2</v>
      </c>
      <c r="F319" s="5">
        <f t="shared" ca="1" si="59"/>
        <v>4.718920859737101E-2</v>
      </c>
      <c r="G319" s="13">
        <f t="shared" ca="1" si="60"/>
        <v>2.9116670102946012</v>
      </c>
      <c r="H319" t="str">
        <f t="shared" ca="1" si="61"/>
        <v>Yes</v>
      </c>
      <c r="I319" s="5">
        <f t="shared" ca="1" si="62"/>
        <v>2.1704373551354683E-2</v>
      </c>
    </row>
    <row r="320" spans="1:9" x14ac:dyDescent="0.2">
      <c r="A320">
        <v>-5</v>
      </c>
      <c r="B320" t="str">
        <f t="shared" ca="1" si="58"/>
        <v>Fri</v>
      </c>
      <c r="C320" s="2">
        <f ca="1">OFFSET(Data!$A$1,$C$36-A320,0,1,1)</f>
        <v>46108</v>
      </c>
      <c r="D320" s="5">
        <f ca="1">_xlfn.XLOOKUP(C320,Data!$A:$A,Data!$G:$G)</f>
        <v>-5.2398775093569272E-2</v>
      </c>
      <c r="E320" s="5">
        <f ca="1">$E$36+$F$36*_xlfn.XLOOKUP(C320,Data!$A:$A,Data!$F:$F)</f>
        <v>-3.6707918641897722E-2</v>
      </c>
      <c r="F320" s="5">
        <f t="shared" ca="1" si="59"/>
        <v>-1.569085645167155E-2</v>
      </c>
      <c r="G320" s="13">
        <f t="shared" ca="1" si="60"/>
        <v>-0.96815671318856433</v>
      </c>
      <c r="H320" t="str">
        <f t="shared" ca="1" si="61"/>
        <v>No</v>
      </c>
      <c r="I320" s="5">
        <f t="shared" ca="1" si="62"/>
        <v>-2.4336418707132657E-2</v>
      </c>
    </row>
    <row r="321" spans="1:9" x14ac:dyDescent="0.2">
      <c r="A321">
        <v>-6</v>
      </c>
      <c r="B321" t="str">
        <f t="shared" ca="1" si="58"/>
        <v>Thu</v>
      </c>
      <c r="C321" s="2">
        <f ca="1">OFFSET(Data!$A$1,$C$36-A321,0,1,1)</f>
        <v>46107</v>
      </c>
      <c r="D321" s="5">
        <f ca="1">_xlfn.XLOOKUP(C321,Data!$A:$A,Data!$G:$G)</f>
        <v>-2.2067560685792298E-3</v>
      </c>
      <c r="E321" s="5">
        <f ca="1">$E$36+$F$36*_xlfn.XLOOKUP(C321,Data!$A:$A,Data!$F:$F)</f>
        <v>-9.8588608494428742E-3</v>
      </c>
      <c r="F321" s="5">
        <f t="shared" ca="1" si="59"/>
        <v>7.6521047808636444E-3</v>
      </c>
      <c r="G321" s="13">
        <f t="shared" ca="1" si="60"/>
        <v>0.47214991969582532</v>
      </c>
      <c r="H321" t="str">
        <f t="shared" ca="1" si="61"/>
        <v>No</v>
      </c>
      <c r="I321" s="5">
        <f t="shared" ca="1" si="62"/>
        <v>-8.7833810263051593E-3</v>
      </c>
    </row>
    <row r="322" spans="1:9" x14ac:dyDescent="0.2">
      <c r="A322">
        <v>-7</v>
      </c>
      <c r="B322" t="str">
        <f t="shared" ca="1" si="58"/>
        <v>Wed</v>
      </c>
      <c r="C322" s="2">
        <f ca="1">OFFSET(Data!$A$1,$C$36-A322,0,1,1)</f>
        <v>46106</v>
      </c>
      <c r="D322" s="5">
        <f ca="1">_xlfn.XLOOKUP(C322,Data!$A:$A,Data!$G:$G)</f>
        <v>-9.583053127101504E-3</v>
      </c>
      <c r="E322" s="5">
        <f ca="1">$E$36+$F$36*_xlfn.XLOOKUP(C322,Data!$A:$A,Data!$F:$F)</f>
        <v>7.5712780961128129E-3</v>
      </c>
      <c r="F322" s="5">
        <f t="shared" ca="1" si="59"/>
        <v>-1.7154331223214317E-2</v>
      </c>
      <c r="G322" s="13">
        <f t="shared" ca="1" si="60"/>
        <v>-1.0584559858264382</v>
      </c>
      <c r="H322" t="str">
        <f t="shared" ca="1" si="61"/>
        <v>No</v>
      </c>
      <c r="I322" s="5">
        <f t="shared" ca="1" si="62"/>
        <v>-1.6310674814442261E-2</v>
      </c>
    </row>
    <row r="323" spans="1:9" x14ac:dyDescent="0.2">
      <c r="A323">
        <v>-8</v>
      </c>
      <c r="B323" t="str">
        <f t="shared" ca="1" si="58"/>
        <v>Tue</v>
      </c>
      <c r="C323" s="2">
        <f ca="1">OFFSET(Data!$A$1,$C$36-A323,0,1,1)</f>
        <v>46105</v>
      </c>
      <c r="D323" s="5">
        <f ca="1">_xlfn.XLOOKUP(C323,Data!$A:$A,Data!$G:$G)</f>
        <v>-2.1388614675880269E-2</v>
      </c>
      <c r="E323" s="5">
        <f ca="1">$E$36+$F$36*_xlfn.XLOOKUP(C323,Data!$A:$A,Data!$F:$F)</f>
        <v>-1.3372067270552455E-2</v>
      </c>
      <c r="F323" s="5">
        <f t="shared" ca="1" si="59"/>
        <v>-8.0165474053278136E-3</v>
      </c>
      <c r="G323" s="13">
        <f t="shared" ca="1" si="60"/>
        <v>-0.49463674662804524</v>
      </c>
      <c r="H323" t="str">
        <f t="shared" ca="1" si="61"/>
        <v>No</v>
      </c>
      <c r="I323" s="5">
        <f t="shared" ca="1" si="62"/>
        <v>8.5838136705840284E-4</v>
      </c>
    </row>
    <row r="324" spans="1:9" x14ac:dyDescent="0.2">
      <c r="A324">
        <v>-9</v>
      </c>
      <c r="B324" t="str">
        <f t="shared" ca="1" si="58"/>
        <v>Mon</v>
      </c>
      <c r="C324" s="2">
        <f ca="1">OFFSET(Data!$A$1,$C$36-A324,0,1,1)</f>
        <v>46104</v>
      </c>
      <c r="D324" s="5">
        <f ca="1">_xlfn.XLOOKUP(C324,Data!$A:$A,Data!$G:$G)</f>
        <v>1.3337779259753324E-2</v>
      </c>
      <c r="E324" s="5">
        <f ca="1">$E$36+$F$36*_xlfn.XLOOKUP(C324,Data!$A:$A,Data!$F:$F)</f>
        <v>-5.9254338123675594E-3</v>
      </c>
      <c r="F324" s="5">
        <f t="shared" ca="1" si="59"/>
        <v>1.9263213072120883E-2</v>
      </c>
      <c r="G324" s="13">
        <f t="shared" ca="1" si="60"/>
        <v>1.1885781449086403</v>
      </c>
      <c r="H324" t="str">
        <f t="shared" ca="1" si="61"/>
        <v>No</v>
      </c>
      <c r="I324" s="5">
        <f t="shared" ca="1" si="62"/>
        <v>8.9466500163613016E-3</v>
      </c>
    </row>
    <row r="325" spans="1:9" x14ac:dyDescent="0.2">
      <c r="A325">
        <v>-10</v>
      </c>
      <c r="B325" t="str">
        <f t="shared" ca="1" si="58"/>
        <v>Fri</v>
      </c>
      <c r="C325" s="2">
        <f ca="1">OFFSET(Data!$A$1,$C$36-A325,0,1,1)</f>
        <v>46101</v>
      </c>
      <c r="D325" s="5">
        <f ca="1">_xlfn.XLOOKUP(C325,Data!$A:$A,Data!$G:$G)</f>
        <v>-8.2671957671958118E-3</v>
      </c>
      <c r="E325" s="5">
        <f ca="1">$E$36+$F$36*_xlfn.XLOOKUP(C325,Data!$A:$A,Data!$F:$F)</f>
        <v>1.8543929681268871E-3</v>
      </c>
      <c r="F325" s="5">
        <f t="shared" ca="1" si="59"/>
        <v>-1.0121588735322699E-2</v>
      </c>
      <c r="G325" s="13">
        <f t="shared" ca="1" si="60"/>
        <v>-0.62452193813757706</v>
      </c>
      <c r="H325" t="str">
        <f t="shared" ca="1" si="61"/>
        <v>No</v>
      </c>
      <c r="I325" s="5">
        <f ca="1">F325</f>
        <v>-1.0121588735322699E-2</v>
      </c>
    </row>
  </sheetData>
  <pageMargins left="0.7" right="0.7" top="0.75" bottom="0.75" header="0.3" footer="0.3"/>
  <pageSetup paperSize="9" orientation="portrait" horizontalDpi="0" verticalDpi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BE94B-21CD-A442-8654-783A5B7BA542}">
  <dimension ref="A1:L325"/>
  <sheetViews>
    <sheetView zoomScale="108" zoomScaleNormal="131" workbookViewId="0">
      <pane ySplit="1" topLeftCell="A30" activePane="bottomLeft" state="frozen"/>
      <selection pane="bottomLeft" activeCell="H34" sqref="H34"/>
    </sheetView>
  </sheetViews>
  <sheetFormatPr baseColWidth="10" defaultRowHeight="16" x14ac:dyDescent="0.2"/>
  <sheetData>
    <row r="1" spans="1:5" ht="18" x14ac:dyDescent="0.25">
      <c r="A1" s="8" t="s">
        <v>152</v>
      </c>
    </row>
    <row r="3" spans="1:5" x14ac:dyDescent="0.2">
      <c r="A3" s="9" t="s">
        <v>9</v>
      </c>
    </row>
    <row r="4" spans="1:5" x14ac:dyDescent="0.2">
      <c r="A4" t="s">
        <v>10</v>
      </c>
      <c r="B4" s="6">
        <v>252</v>
      </c>
    </row>
    <row r="5" spans="1:5" x14ac:dyDescent="0.2">
      <c r="A5" t="s">
        <v>11</v>
      </c>
      <c r="B5" s="6">
        <v>10</v>
      </c>
    </row>
    <row r="6" spans="1:5" x14ac:dyDescent="0.2">
      <c r="A6" t="s">
        <v>12</v>
      </c>
      <c r="B6" s="6">
        <v>1.96</v>
      </c>
    </row>
    <row r="8" spans="1:5" x14ac:dyDescent="0.2">
      <c r="A8" s="9" t="s">
        <v>13</v>
      </c>
    </row>
    <row r="9" spans="1:5" x14ac:dyDescent="0.2">
      <c r="A9" s="7" t="s">
        <v>14</v>
      </c>
      <c r="B9" s="7" t="s">
        <v>15</v>
      </c>
      <c r="C9" s="7" t="s">
        <v>16</v>
      </c>
      <c r="D9" s="7" t="s">
        <v>17</v>
      </c>
      <c r="E9" s="7" t="s">
        <v>18</v>
      </c>
    </row>
    <row r="10" spans="1:5" x14ac:dyDescent="0.2">
      <c r="A10">
        <v>1</v>
      </c>
      <c r="B10" s="1">
        <v>45206</v>
      </c>
      <c r="C10" s="1">
        <f>IF(WEEKDAY(B10)=6,B10+2,IF(WEEKDAY(B10)=7,B10+1,B10))</f>
        <v>45207</v>
      </c>
      <c r="D10" t="s">
        <v>19</v>
      </c>
      <c r="E10" t="s">
        <v>20</v>
      </c>
    </row>
    <row r="11" spans="1:5" x14ac:dyDescent="0.2">
      <c r="A11">
        <v>2</v>
      </c>
      <c r="B11" s="1">
        <v>45252</v>
      </c>
      <c r="C11" s="1">
        <f>IF(WEEKDAY(B11)=6,B11+2,IF(WEEKDAY(B11)=7,B11+1,B11))</f>
        <v>45252</v>
      </c>
      <c r="D11" t="s">
        <v>21</v>
      </c>
      <c r="E11" t="s">
        <v>22</v>
      </c>
    </row>
    <row r="12" spans="1:5" x14ac:dyDescent="0.2">
      <c r="A12">
        <v>3</v>
      </c>
      <c r="B12" s="1">
        <v>45396</v>
      </c>
      <c r="C12" s="1">
        <f>IF(WEEKDAY(B12)=6,B12+2,IF(WEEKDAY(B12)=7,B12+1,B12))</f>
        <v>45396</v>
      </c>
      <c r="D12" t="s">
        <v>19</v>
      </c>
      <c r="E12" t="s">
        <v>23</v>
      </c>
    </row>
    <row r="13" spans="1:5" x14ac:dyDescent="0.2">
      <c r="A13">
        <v>4</v>
      </c>
      <c r="B13" s="1">
        <v>45504</v>
      </c>
      <c r="C13" s="1">
        <f>IF(WEEKDAY(B13)=6,B13+2,IF(WEEKDAY(B13)=7,B13+1,B13))</f>
        <v>45504</v>
      </c>
      <c r="D13" t="s">
        <v>19</v>
      </c>
      <c r="E13" t="s">
        <v>24</v>
      </c>
    </row>
    <row r="14" spans="1:5" x14ac:dyDescent="0.2">
      <c r="A14">
        <v>5</v>
      </c>
      <c r="B14" s="1">
        <v>45566</v>
      </c>
      <c r="C14" s="1">
        <v>45571</v>
      </c>
      <c r="D14" t="s">
        <v>19</v>
      </c>
      <c r="E14" t="s">
        <v>25</v>
      </c>
    </row>
    <row r="15" spans="1:5" x14ac:dyDescent="0.2">
      <c r="A15">
        <v>6</v>
      </c>
      <c r="B15" s="1">
        <v>45623</v>
      </c>
      <c r="C15" s="1">
        <f>IF(WEEKDAY(B15)=6,B15+2,IF(WEEKDAY(B15)=7,B15+1,B15))</f>
        <v>45623</v>
      </c>
      <c r="D15" t="s">
        <v>21</v>
      </c>
      <c r="E15" t="s">
        <v>26</v>
      </c>
    </row>
    <row r="16" spans="1:5" x14ac:dyDescent="0.2">
      <c r="A16">
        <v>7</v>
      </c>
      <c r="B16" s="1">
        <v>45672</v>
      </c>
      <c r="C16" s="1">
        <f>IF(WEEKDAY(B16)=6,B16+2,IF(WEEKDAY(B16)=7,B16+1,B16))</f>
        <v>45672</v>
      </c>
      <c r="D16" t="s">
        <v>21</v>
      </c>
      <c r="E16" t="s">
        <v>27</v>
      </c>
    </row>
    <row r="17" spans="1:9" x14ac:dyDescent="0.2">
      <c r="A17">
        <v>8</v>
      </c>
      <c r="B17" s="1">
        <v>45789</v>
      </c>
      <c r="C17" s="1">
        <v>45789</v>
      </c>
      <c r="D17" t="s">
        <v>21</v>
      </c>
      <c r="E17" t="s">
        <v>28</v>
      </c>
    </row>
    <row r="18" spans="1:9" x14ac:dyDescent="0.2">
      <c r="A18">
        <v>9</v>
      </c>
      <c r="B18" s="1">
        <v>45821</v>
      </c>
      <c r="C18" s="1">
        <f>IF(WEEKDAY(B18)=6,B18+2,IF(WEEKDAY(B18)=7,B18+1,B18))</f>
        <v>45823</v>
      </c>
      <c r="D18" t="s">
        <v>19</v>
      </c>
      <c r="E18" t="s">
        <v>29</v>
      </c>
    </row>
    <row r="19" spans="1:9" x14ac:dyDescent="0.2">
      <c r="A19">
        <v>10</v>
      </c>
      <c r="B19" s="1">
        <v>45939</v>
      </c>
      <c r="C19" s="1">
        <f>IF(WEEKDAY(B19)=6,B19+2,IF(WEEKDAY(B19)=7,B19+1,B19))</f>
        <v>45939</v>
      </c>
      <c r="D19" t="s">
        <v>21</v>
      </c>
      <c r="E19" t="s">
        <v>30</v>
      </c>
    </row>
    <row r="20" spans="1:9" x14ac:dyDescent="0.2">
      <c r="A20">
        <v>11</v>
      </c>
      <c r="B20" s="1">
        <v>46081</v>
      </c>
      <c r="C20" s="1">
        <f>IF(WEEKDAY(B20)=7, B20+2, IF(WEEKDAY(B20)=1, B20+1, B20))</f>
        <v>46083</v>
      </c>
      <c r="D20" t="s">
        <v>19</v>
      </c>
      <c r="E20" t="s">
        <v>31</v>
      </c>
    </row>
    <row r="21" spans="1:9" x14ac:dyDescent="0.2">
      <c r="A21">
        <v>12</v>
      </c>
      <c r="B21" s="1">
        <v>46120</v>
      </c>
      <c r="C21" s="1">
        <v>46121</v>
      </c>
      <c r="D21" t="s">
        <v>21</v>
      </c>
      <c r="E21" t="s">
        <v>32</v>
      </c>
    </row>
    <row r="23" spans="1:9" x14ac:dyDescent="0.2">
      <c r="A23" s="9" t="s">
        <v>151</v>
      </c>
    </row>
    <row r="24" spans="1:9" x14ac:dyDescent="0.2">
      <c r="A24" s="7" t="s">
        <v>14</v>
      </c>
      <c r="B24" s="7" t="s">
        <v>33</v>
      </c>
      <c r="C24" s="7" t="s">
        <v>34</v>
      </c>
      <c r="D24" s="7" t="s">
        <v>35</v>
      </c>
      <c r="E24" s="7" t="s">
        <v>36</v>
      </c>
      <c r="F24" s="7" t="s">
        <v>37</v>
      </c>
      <c r="G24" s="7" t="s">
        <v>121</v>
      </c>
      <c r="H24" s="7" t="s">
        <v>38</v>
      </c>
      <c r="I24" s="7" t="s">
        <v>39</v>
      </c>
    </row>
    <row r="25" spans="1:9" x14ac:dyDescent="0.2">
      <c r="A25">
        <f t="shared" ref="A25:A36" si="0">A10</f>
        <v>1</v>
      </c>
      <c r="B25" s="2">
        <f t="shared" ref="B25:B36" si="1">IF(WEEKDAY(C10)=6,C10+2,IF(WEEKDAY(C10)=7,C10+1,C10))</f>
        <v>45207</v>
      </c>
      <c r="C25">
        <f>IFERROR(MATCH(B25,Data!$A$2:$A$718,0),MATCH(B25,Data!$A$2:$A$718,-1))</f>
        <v>630</v>
      </c>
      <c r="D25">
        <f>MIN($B$4,COUNTA(Data!$A:$A)-1-(C25+11)+1)</f>
        <v>252</v>
      </c>
      <c r="E25" s="10">
        <f ca="1">INTERCEPT(OFFSET(Data!$H$1,C25+11,0,D25,1),OFFSET(Data!$F$1,C25+11,0,D25,1))</f>
        <v>-1.211010685407E-3</v>
      </c>
      <c r="F25" s="10">
        <f ca="1">SLOPE(OFFSET(Data!$H$1,C25+11,0,D25,1),OFFSET(Data!$F$1,C25+11,0,D25,1))</f>
        <v>0.20242167467609223</v>
      </c>
      <c r="H25" s="11">
        <f ca="1">RSQ(OFFSET(Data!$H$1,C25+11,0,D25,1),OFFSET(Data!$F$1,C25+11,0,D25,1))</f>
        <v>1.3944920346810382E-2</v>
      </c>
      <c r="I25" s="10">
        <f ca="1">STEYX(OFFSET(Data!$H$1,C25+11,0,D25,1),OFFSET(Data!$F$1,C25+11,0,D25,1))</f>
        <v>1.7755405362645301E-2</v>
      </c>
    </row>
    <row r="26" spans="1:9" x14ac:dyDescent="0.2">
      <c r="A26">
        <f t="shared" si="0"/>
        <v>2</v>
      </c>
      <c r="B26" s="2">
        <f t="shared" si="1"/>
        <v>45252</v>
      </c>
      <c r="C26">
        <f>IFERROR(MATCH(B26,Data!$A$2:$A$718,0),MATCH(B26,Data!$A$2:$A$718,-1))</f>
        <v>597</v>
      </c>
      <c r="D26">
        <f>MIN($B$4,COUNTA(Data!$A:$A)-1-(C26+11)+1)</f>
        <v>252</v>
      </c>
      <c r="E26" s="10">
        <f ca="1">INTERCEPT(OFFSET(Data!$H$1,C26+11,0,D26,1),OFFSET(Data!$F$1,C26+11,0,D26,1))</f>
        <v>-9.835942916420952E-4</v>
      </c>
      <c r="F26" s="10">
        <f ca="1">SLOPE(OFFSET(Data!$H$1,C26+11,0,D26,1),OFFSET(Data!$F$1,C26+11,0,D26,1))</f>
        <v>0.32767132744187832</v>
      </c>
      <c r="H26" s="11">
        <f ca="1">RSQ(OFFSET(Data!$H$1,C26+11,0,D26,1),OFFSET(Data!$F$1,C26+11,0,D26,1))</f>
        <v>4.2126226474574702E-2</v>
      </c>
      <c r="I26" s="10">
        <f ca="1">STEYX(OFFSET(Data!$H$1,C26+11,0,D26,1),OFFSET(Data!$F$1,C26+11,0,D26,1))</f>
        <v>1.8130911184039238E-2</v>
      </c>
    </row>
    <row r="27" spans="1:9" x14ac:dyDescent="0.2">
      <c r="A27">
        <f t="shared" si="0"/>
        <v>3</v>
      </c>
      <c r="B27" s="2">
        <f t="shared" si="1"/>
        <v>45396</v>
      </c>
      <c r="C27">
        <f>IFERROR(MATCH(B27,Data!$A$2:$A$718,0),MATCH(B27,Data!$A$2:$A$718,-1))</f>
        <v>497</v>
      </c>
      <c r="D27">
        <f>MIN($B$4,COUNTA(Data!$A:$A)-1-(C27+11)+1)</f>
        <v>252</v>
      </c>
      <c r="E27" s="10">
        <f ca="1">INTERCEPT(OFFSET(Data!$H$1,C27+11,0,D27,1),OFFSET(Data!$F$1,C27+11,0,D27,1))</f>
        <v>6.793219535985997E-4</v>
      </c>
      <c r="F27" s="10">
        <f ca="1">SLOPE(OFFSET(Data!$H$1,C27+11,0,D27,1),OFFSET(Data!$F$1,C27+11,0,D27,1))</f>
        <v>0.4361716317300528</v>
      </c>
      <c r="H27" s="11">
        <f ca="1">RSQ(OFFSET(Data!$H$1,C27+11,0,D27,1),OFFSET(Data!$F$1,C27+11,0,D27,1))</f>
        <v>5.9081343915192999E-2</v>
      </c>
      <c r="I27" s="10">
        <f ca="1">STEYX(OFFSET(Data!$H$1,C27+11,0,D27,1),OFFSET(Data!$F$1,C27+11,0,D27,1))</f>
        <v>1.8851354750825708E-2</v>
      </c>
    </row>
    <row r="28" spans="1:9" x14ac:dyDescent="0.2">
      <c r="A28">
        <f t="shared" si="0"/>
        <v>4</v>
      </c>
      <c r="B28" s="2">
        <f t="shared" si="1"/>
        <v>45504</v>
      </c>
      <c r="C28">
        <f>IFERROR(MATCH(B28,Data!$A$2:$A$718,0),MATCH(B28,Data!$A$2:$A$718,-1))</f>
        <v>427</v>
      </c>
      <c r="D28">
        <f>MIN($B$4,COUNTA(Data!$A:$A)-1-(C28+11)+1)</f>
        <v>252</v>
      </c>
      <c r="E28" s="10">
        <f ca="1">INTERCEPT(OFFSET(Data!$H$1,C28+11,0,D28,1),OFFSET(Data!$F$1,C28+11,0,D28,1))</f>
        <v>5.7920211038198623E-5</v>
      </c>
      <c r="F28" s="10">
        <f ca="1">SLOPE(OFFSET(Data!$H$1,C28+11,0,D28,1),OFFSET(Data!$F$1,C28+11,0,D28,1))</f>
        <v>0.52546814201719272</v>
      </c>
      <c r="H28" s="11">
        <f ca="1">RSQ(OFFSET(Data!$H$1,C28+11,0,D28,1),OFFSET(Data!$F$1,C28+11,0,D28,1))</f>
        <v>0.12261700256992743</v>
      </c>
      <c r="I28" s="10">
        <f ca="1">STEYX(OFFSET(Data!$H$1,C28+11,0,D28,1),OFFSET(Data!$F$1,C28+11,0,D28,1))</f>
        <v>1.5338251010987297E-2</v>
      </c>
    </row>
    <row r="29" spans="1:9" x14ac:dyDescent="0.2">
      <c r="A29">
        <f t="shared" si="0"/>
        <v>5</v>
      </c>
      <c r="B29" s="2">
        <f t="shared" si="1"/>
        <v>45571</v>
      </c>
      <c r="C29">
        <f>IFERROR(MATCH(B29,Data!$A$2:$A$718,0),MATCH(B29,Data!$A$2:$A$718,-1))</f>
        <v>383</v>
      </c>
      <c r="D29">
        <f>MIN($B$4,COUNTA(Data!$A:$A)-1-(C29+11)+1)</f>
        <v>252</v>
      </c>
      <c r="E29" s="10">
        <f ca="1">INTERCEPT(OFFSET(Data!$H$1,C29+11,0,D29,1),OFFSET(Data!$F$1,C29+11,0,D29,1))</f>
        <v>-7.0571050576716628E-5</v>
      </c>
      <c r="F29" s="10">
        <f ca="1">SLOPE(OFFSET(Data!$H$1,C29+11,0,D29,1),OFFSET(Data!$F$1,C29+11,0,D29,1))</f>
        <v>0.67927324895374963</v>
      </c>
      <c r="H29" s="11">
        <f ca="1">RSQ(OFFSET(Data!$H$1,C29+11,0,D29,1),OFFSET(Data!$F$1,C29+11,0,D29,1))</f>
        <v>0.17818153237436918</v>
      </c>
      <c r="I29" s="10">
        <f ca="1">STEYX(OFFSET(Data!$H$1,C29+11,0,D29,1),OFFSET(Data!$F$1,C29+11,0,D29,1))</f>
        <v>1.6012594729731988E-2</v>
      </c>
    </row>
    <row r="30" spans="1:9" x14ac:dyDescent="0.2">
      <c r="A30">
        <f t="shared" si="0"/>
        <v>6</v>
      </c>
      <c r="B30" s="2">
        <f t="shared" si="1"/>
        <v>45623</v>
      </c>
      <c r="C30">
        <f>IFERROR(MATCH(B30,Data!$A$2:$A$718,0),MATCH(B30,Data!$A$2:$A$718,-1))</f>
        <v>349</v>
      </c>
      <c r="D30">
        <f>MIN($B$4,COUNTA(Data!$A:$A)-1-(C30+11)+1)</f>
        <v>252</v>
      </c>
      <c r="E30" s="10">
        <f ca="1">INTERCEPT(OFFSET(Data!$H$1,C30+11,0,D30,1),OFFSET(Data!$F$1,C30+11,0,D30,1))</f>
        <v>-1.5956978423853948E-4</v>
      </c>
      <c r="F30" s="10">
        <f ca="1">SLOPE(OFFSET(Data!$H$1,C30+11,0,D30,1),OFFSET(Data!$F$1,C30+11,0,D30,1))</f>
        <v>0.73853276348458885</v>
      </c>
      <c r="H30" s="11">
        <f ca="1">RSQ(OFFSET(Data!$H$1,C30+11,0,D30,1),OFFSET(Data!$F$1,C30+11,0,D30,1))</f>
        <v>0.16363620613517776</v>
      </c>
      <c r="I30" s="10">
        <f ca="1">STEYX(OFFSET(Data!$H$1,C30+11,0,D30,1),OFFSET(Data!$F$1,C30+11,0,D30,1))</f>
        <v>1.5991545117874956E-2</v>
      </c>
    </row>
    <row r="31" spans="1:9" x14ac:dyDescent="0.2">
      <c r="A31">
        <f t="shared" si="0"/>
        <v>7</v>
      </c>
      <c r="B31" s="2">
        <f t="shared" si="1"/>
        <v>45672</v>
      </c>
      <c r="C31">
        <f>IFERROR(MATCH(B31,Data!$A$2:$A$718,0),MATCH(B31,Data!$A$2:$A$718,-1))</f>
        <v>314</v>
      </c>
      <c r="D31">
        <f>MIN($B$4,COUNTA(Data!$A:$A)-1-(C31+11)+1)</f>
        <v>252</v>
      </c>
      <c r="E31" s="10">
        <f ca="1">INTERCEPT(OFFSET(Data!$H$1,C31+11,0,D31,1),OFFSET(Data!$F$1,C31+11,0,D31,1))</f>
        <v>1.8442854531771681E-4</v>
      </c>
      <c r="F31" s="10">
        <f ca="1">SLOPE(OFFSET(Data!$H$1,C31+11,0,D31,1),OFFSET(Data!$F$1,C31+11,0,D31,1))</f>
        <v>0.73870749276569092</v>
      </c>
      <c r="H31" s="11">
        <f ca="1">RSQ(OFFSET(Data!$H$1,C31+11,0,D31,1),OFFSET(Data!$F$1,C31+11,0,D31,1))</f>
        <v>0.14475234126449638</v>
      </c>
      <c r="I31" s="10">
        <f ca="1">STEYX(OFFSET(Data!$H$1,C31+11,0,D31,1),OFFSET(Data!$F$1,C31+11,0,D31,1))</f>
        <v>1.6174780423995658E-2</v>
      </c>
    </row>
    <row r="32" spans="1:9" x14ac:dyDescent="0.2">
      <c r="A32">
        <f t="shared" si="0"/>
        <v>8</v>
      </c>
      <c r="B32" s="2">
        <f t="shared" si="1"/>
        <v>45789</v>
      </c>
      <c r="C32">
        <f>IFERROR(MATCH(B32,Data!$A$2:$A$718,0),MATCH(B32,Data!$A$2:$A$718,-1))</f>
        <v>234</v>
      </c>
      <c r="D32">
        <f>MIN($B$4,COUNTA(Data!$A:$A)-1-(C32+11)+1)</f>
        <v>252</v>
      </c>
      <c r="E32" s="10">
        <f ca="1">INTERCEPT(OFFSET(Data!$H$1,C32+11,0,D32,1),OFFSET(Data!$F$1,C32+11,0,D32,1))</f>
        <v>-1.1976949587322937E-3</v>
      </c>
      <c r="F32" s="10">
        <f ca="1">SLOPE(OFFSET(Data!$H$1,C32+11,0,D32,1),OFFSET(Data!$F$1,C32+11,0,D32,1))</f>
        <v>0.8003972398508814</v>
      </c>
      <c r="H32" s="11">
        <f ca="1">RSQ(OFFSET(Data!$H$1,C32+11,0,D32,1),OFFSET(Data!$F$1,C32+11,0,D32,1))</f>
        <v>0.20671224616916267</v>
      </c>
      <c r="I32" s="10">
        <f ca="1">STEYX(OFFSET(Data!$H$1,C32+11,0,D32,1),OFFSET(Data!$F$1,C32+11,0,D32,1))</f>
        <v>1.5805793930191568E-2</v>
      </c>
    </row>
    <row r="33" spans="1:12" x14ac:dyDescent="0.2">
      <c r="A33">
        <f t="shared" si="0"/>
        <v>9</v>
      </c>
      <c r="B33" s="2">
        <f t="shared" si="1"/>
        <v>45823</v>
      </c>
      <c r="C33">
        <f>IFERROR(MATCH(B33,Data!$A$2:$A$718,0),MATCH(B33,Data!$A$2:$A$718,-1))</f>
        <v>212</v>
      </c>
      <c r="D33">
        <f>MIN($B$4,COUNTA(Data!$A:$A)-1-(C33+11)+1)</f>
        <v>252</v>
      </c>
      <c r="E33" s="10">
        <f ca="1">INTERCEPT(OFFSET(Data!$H$1,C33+11,0,D33,1),OFFSET(Data!$F$1,C33+11,0,D33,1))</f>
        <v>-8.7320991624750799E-4</v>
      </c>
      <c r="F33" s="10">
        <f ca="1">SLOPE(OFFSET(Data!$H$1,C33+11,0,D33,1),OFFSET(Data!$F$1,C33+11,0,D33,1))</f>
        <v>0.87301138030999059</v>
      </c>
      <c r="H33" s="11">
        <f ca="1">RSQ(OFFSET(Data!$H$1,C33+11,0,D33,1),OFFSET(Data!$F$1,C33+11,0,D33,1))</f>
        <v>0.22455777352579911</v>
      </c>
      <c r="I33" s="10">
        <f ca="1">STEYX(OFFSET(Data!$H$1,C33+11,0,D33,1),OFFSET(Data!$F$1,C33+11,0,D33,1))</f>
        <v>1.6170578449677106E-2</v>
      </c>
    </row>
    <row r="34" spans="1:12" x14ac:dyDescent="0.2">
      <c r="A34">
        <f t="shared" si="0"/>
        <v>10</v>
      </c>
      <c r="B34" s="2">
        <f t="shared" si="1"/>
        <v>45939</v>
      </c>
      <c r="C34">
        <f>IFERROR(MATCH(B34,Data!$A$2:$A$718,0),MATCH(B34,Data!$A$2:$A$718,-1))</f>
        <v>136</v>
      </c>
      <c r="D34">
        <f>MIN($B$4,COUNTA(Data!$A:$A)-1-(C34+11)+1)</f>
        <v>252</v>
      </c>
      <c r="E34" s="10">
        <f ca="1">INTERCEPT(OFFSET(Data!$H$1,C34+11,0,D34,1),OFFSET(Data!$F$1,C34+11,0,D34,1))</f>
        <v>5.8771904308495921E-4</v>
      </c>
      <c r="F34" s="10">
        <f ca="1">SLOPE(OFFSET(Data!$H$1,C34+11,0,D34,1),OFFSET(Data!$F$1,C34+11,0,D34,1))</f>
        <v>0.9953578990699018</v>
      </c>
      <c r="H34" s="11">
        <f ca="1">RSQ(OFFSET(Data!$H$1,C34+11,0,D34,1),OFFSET(Data!$F$1,C34+11,0,D34,1))</f>
        <v>0.19613102779566591</v>
      </c>
      <c r="I34" s="10">
        <f ca="1">STEYX(OFFSET(Data!$H$1,C34+11,0,D34,1),OFFSET(Data!$F$1,C34+11,0,D34,1))</f>
        <v>2.0178646347266595E-2</v>
      </c>
    </row>
    <row r="35" spans="1:12" x14ac:dyDescent="0.2">
      <c r="A35">
        <f t="shared" si="0"/>
        <v>11</v>
      </c>
      <c r="B35" s="2">
        <f t="shared" si="1"/>
        <v>46083</v>
      </c>
      <c r="C35">
        <f>IFERROR(MATCH(B35,Data!$A$2:$A$718,0),MATCH(B35,Data!$A$2:$A$718,-1))</f>
        <v>37</v>
      </c>
      <c r="D35">
        <f>MIN($B$4,COUNTA(Data!$A:$A)-1-(C35+11)+1)</f>
        <v>252</v>
      </c>
      <c r="E35" s="10">
        <f ca="1">INTERCEPT(OFFSET(Data!$H$1,C35+11,0,D35,1),OFFSET(Data!$F$1,C35+11,0,D35,1))</f>
        <v>1.198401597354978E-3</v>
      </c>
      <c r="F35" s="10">
        <f ca="1">SLOPE(OFFSET(Data!$H$1,C35+11,0,D35,1),OFFSET(Data!$F$1,C35+11,0,D35,1))</f>
        <v>0.82484742251924714</v>
      </c>
      <c r="H35" s="11">
        <f ca="1">RSQ(OFFSET(Data!$H$1,C35+11,0,D35,1),OFFSET(Data!$F$1,C35+11,0,D35,1))</f>
        <v>0.13151678663601948</v>
      </c>
      <c r="I35" s="10">
        <f ca="1">STEYX(OFFSET(Data!$H$1,C35+11,0,D35,1),OFFSET(Data!$F$1,C35+11,0,D35,1))</f>
        <v>2.3125207492923312E-2</v>
      </c>
    </row>
    <row r="36" spans="1:12" x14ac:dyDescent="0.2">
      <c r="A36">
        <f t="shared" si="0"/>
        <v>12</v>
      </c>
      <c r="B36" s="2">
        <f t="shared" si="1"/>
        <v>46121</v>
      </c>
      <c r="C36">
        <f>IFERROR(MATCH(B36,Data!$A$2:$A$718,0),MATCH(B36,Data!$A$2:$A$718,-1))</f>
        <v>14</v>
      </c>
      <c r="D36">
        <f>MIN($B$4,COUNTA(Data!$A:$A)-1-(C36+11)+1)</f>
        <v>252</v>
      </c>
      <c r="E36" s="10">
        <f ca="1">INTERCEPT(OFFSET(Data!$H$1,C36+11,0,D36,1),OFFSET(Data!$F$1,C36+11,0,D36,1))</f>
        <v>9.2044387398620888E-4</v>
      </c>
      <c r="F36" s="10">
        <f ca="1">SLOPE(OFFSET(Data!$H$1,C36+11,0,D36,1),OFFSET(Data!$F$1,C36+11,0,D36,1))</f>
        <v>0.86729297462373089</v>
      </c>
      <c r="H36" s="11">
        <f ca="1">RSQ(OFFSET(Data!$H$1,C36+11,0,D36,1),OFFSET(Data!$F$1,C36+11,0,D36,1))</f>
        <v>0.14898329630446561</v>
      </c>
      <c r="I36" s="10">
        <f ca="1">STEYX(OFFSET(Data!$H$1,C36+11,0,D36,1),OFFSET(Data!$F$1,C36+11,0,D36,1))</f>
        <v>2.3560232000095452E-2</v>
      </c>
    </row>
    <row r="38" spans="1:12" x14ac:dyDescent="0.2">
      <c r="A38" s="9" t="s">
        <v>61</v>
      </c>
    </row>
    <row r="39" spans="1:12" x14ac:dyDescent="0.2">
      <c r="A39" s="3" t="s">
        <v>41</v>
      </c>
      <c r="B39" t="str">
        <f>E10</f>
        <v>Hamas attack; Israel declares war</v>
      </c>
    </row>
    <row r="40" spans="1:12" x14ac:dyDescent="0.2">
      <c r="A40" s="12" t="s">
        <v>42</v>
      </c>
      <c r="B40" s="12" t="s">
        <v>43</v>
      </c>
      <c r="C40" s="12" t="s">
        <v>0</v>
      </c>
      <c r="D40" s="12" t="s">
        <v>44</v>
      </c>
      <c r="E40" s="12" t="s">
        <v>45</v>
      </c>
      <c r="F40" s="12" t="s">
        <v>46</v>
      </c>
      <c r="G40" s="12" t="s">
        <v>47</v>
      </c>
      <c r="H40" s="12" t="s">
        <v>48</v>
      </c>
      <c r="I40" s="12" t="s">
        <v>49</v>
      </c>
      <c r="L40" s="12" t="s">
        <v>154</v>
      </c>
    </row>
    <row r="41" spans="1:12" x14ac:dyDescent="0.2">
      <c r="A41">
        <v>10</v>
      </c>
      <c r="B41" t="str">
        <f t="shared" ref="B41:B61" ca="1" si="2">TEXT(WEEKDAY(C41),"ddd")</f>
        <v>Sun</v>
      </c>
      <c r="C41" s="2">
        <f ca="1">OFFSET(Data!$A$1,$C$25-A41,0,1,1)</f>
        <v>45221</v>
      </c>
      <c r="D41" s="5">
        <f ca="1">_xlfn.XLOOKUP(C41,Data!$A:$A,Data!$H:$H)</f>
        <v>1.3783701908512525E-2</v>
      </c>
      <c r="E41" s="5">
        <f ca="1">$E$25+$F$25*_xlfn.XLOOKUP(C41,Data!$A:$A,Data!$F:$F)</f>
        <v>-6.3162717036650551E-3</v>
      </c>
      <c r="F41" s="5">
        <f t="shared" ref="F41:F61" ca="1" si="3">D41-E41</f>
        <v>2.009997361217758E-2</v>
      </c>
      <c r="G41" s="13">
        <f t="shared" ref="G41:G61" ca="1" si="4">F41/$I$25</f>
        <v>1.1320481398000013</v>
      </c>
      <c r="H41" t="str">
        <f t="shared" ref="H41:H61" ca="1" si="5">IF(ABS(G41)&lt;$B$6,"No","Yes")</f>
        <v>No</v>
      </c>
      <c r="I41" s="5">
        <f t="shared" ref="I41:I60" ca="1" si="6">(1+I42)*(1+F41)-1</f>
        <v>7.4946264904263149E-3</v>
      </c>
    </row>
    <row r="42" spans="1:12" x14ac:dyDescent="0.2">
      <c r="A42">
        <v>9</v>
      </c>
      <c r="B42" t="str">
        <f t="shared" ca="1" si="2"/>
        <v>Thu</v>
      </c>
      <c r="C42" s="2">
        <f ca="1">OFFSET(Data!$A$1,$C$25-A42,0,1,1)</f>
        <v>45218</v>
      </c>
      <c r="D42" s="5">
        <f ca="1">_xlfn.XLOOKUP(C42,Data!$A:$A,Data!$H:$H)</f>
        <v>2.1823247175359883E-2</v>
      </c>
      <c r="E42" s="5">
        <f ca="1">$E$25+$F$25*_xlfn.XLOOKUP(C42,Data!$A:$A,Data!$F:$F)</f>
        <v>-4.832054662121007E-3</v>
      </c>
      <c r="F42" s="5">
        <f t="shared" ca="1" si="3"/>
        <v>2.6655301837480889E-2</v>
      </c>
      <c r="G42" s="13">
        <f t="shared" ca="1" si="4"/>
        <v>1.5012499739127123</v>
      </c>
      <c r="H42" t="str">
        <f t="shared" ca="1" si="5"/>
        <v>No</v>
      </c>
      <c r="I42" s="5">
        <f t="shared" ca="1" si="6"/>
        <v>-1.2356972304504277E-2</v>
      </c>
    </row>
    <row r="43" spans="1:12" x14ac:dyDescent="0.2">
      <c r="A43">
        <v>8</v>
      </c>
      <c r="B43" t="str">
        <f t="shared" ca="1" si="2"/>
        <v>Wed</v>
      </c>
      <c r="C43" s="2">
        <f ca="1">OFFSET(Data!$A$1,$C$25-A43,0,1,1)</f>
        <v>45217</v>
      </c>
      <c r="D43" s="5">
        <f ca="1">_xlfn.XLOOKUP(C43,Data!$A:$A,Data!$H:$H)</f>
        <v>4.664904369460432E-3</v>
      </c>
      <c r="E43" s="5">
        <f ca="1">$E$25+$F$25*_xlfn.XLOOKUP(C43,Data!$A:$A,Data!$F:$F)</f>
        <v>-1.0032445440078452E-4</v>
      </c>
      <c r="F43" s="5">
        <f t="shared" ca="1" si="3"/>
        <v>4.7652288238612169E-3</v>
      </c>
      <c r="G43" s="13">
        <f t="shared" ca="1" si="4"/>
        <v>0.26838186605902792</v>
      </c>
      <c r="H43" t="str">
        <f t="shared" ca="1" si="5"/>
        <v>No</v>
      </c>
      <c r="I43" s="5">
        <f t="shared" ca="1" si="6"/>
        <v>-3.7999388959626512E-2</v>
      </c>
    </row>
    <row r="44" spans="1:12" x14ac:dyDescent="0.2">
      <c r="A44">
        <v>7</v>
      </c>
      <c r="B44" t="str">
        <f t="shared" ca="1" si="2"/>
        <v>Tue</v>
      </c>
      <c r="C44" s="2">
        <f ca="1">OFFSET(Data!$A$1,$C$25-A44,0,1,1)</f>
        <v>45216</v>
      </c>
      <c r="D44" s="5">
        <f ca="1">_xlfn.XLOOKUP(C44,Data!$A:$A,Data!$H:$H)</f>
        <v>1.7241379310344751E-2</v>
      </c>
      <c r="E44" s="5">
        <f ca="1">$E$25+$F$25*_xlfn.XLOOKUP(C44,Data!$A:$A,Data!$F:$F)</f>
        <v>-2.0085007555606998E-3</v>
      </c>
      <c r="F44" s="5">
        <f t="shared" ca="1" si="3"/>
        <v>1.9249880065905452E-2</v>
      </c>
      <c r="G44" s="13">
        <f t="shared" ca="1" si="4"/>
        <v>1.0841701258144352</v>
      </c>
      <c r="H44" t="str">
        <f t="shared" ca="1" si="5"/>
        <v>No</v>
      </c>
      <c r="I44" s="5">
        <f t="shared" ca="1" si="6"/>
        <v>-4.2561801062270477E-2</v>
      </c>
    </row>
    <row r="45" spans="1:12" x14ac:dyDescent="0.2">
      <c r="A45">
        <v>6</v>
      </c>
      <c r="B45" t="str">
        <f t="shared" ca="1" si="2"/>
        <v>Mon</v>
      </c>
      <c r="C45" s="2">
        <f ca="1">OFFSET(Data!$A$1,$C$25-A45,0,1,1)</f>
        <v>45215</v>
      </c>
      <c r="D45" s="5">
        <f ca="1">_xlfn.XLOOKUP(C45,Data!$A:$A,Data!$H:$H)</f>
        <v>-2.2095959595959114E-3</v>
      </c>
      <c r="E45" s="5">
        <f ca="1">$E$25+$F$25*_xlfn.XLOOKUP(C45,Data!$A:$A,Data!$F:$F)</f>
        <v>3.5657305022848943E-3</v>
      </c>
      <c r="F45" s="5">
        <f t="shared" ca="1" si="3"/>
        <v>-5.7753264618808052E-3</v>
      </c>
      <c r="G45" s="13">
        <f t="shared" ca="1" si="4"/>
        <v>-0.3252714508017498</v>
      </c>
      <c r="H45" t="str">
        <f t="shared" ca="1" si="5"/>
        <v>No</v>
      </c>
      <c r="I45" s="5">
        <f t="shared" ca="1" si="6"/>
        <v>-6.0644285897957895E-2</v>
      </c>
    </row>
    <row r="46" spans="1:12" x14ac:dyDescent="0.2">
      <c r="A46">
        <v>5</v>
      </c>
      <c r="B46" t="str">
        <f t="shared" ca="1" si="2"/>
        <v>Sun</v>
      </c>
      <c r="C46" s="2">
        <f ca="1">OFFSET(Data!$A$1,$C$25-A46,0,1,1)</f>
        <v>45214</v>
      </c>
      <c r="D46" s="5">
        <f ca="1">_xlfn.XLOOKUP(C46,Data!$A:$A,Data!$H:$H)</f>
        <v>-2.0559591899829921E-2</v>
      </c>
      <c r="E46" s="5">
        <f ca="1">$E$25+$F$25*_xlfn.XLOOKUP(C46,Data!$A:$A,Data!$F:$F)</f>
        <v>-9.0274499598257899E-3</v>
      </c>
      <c r="F46" s="5">
        <f t="shared" ca="1" si="3"/>
        <v>-1.1532141940004131E-2</v>
      </c>
      <c r="G46" s="13">
        <f t="shared" ca="1" si="4"/>
        <v>-0.64950034676572466</v>
      </c>
      <c r="H46" t="str">
        <f t="shared" ca="1" si="5"/>
        <v>No</v>
      </c>
      <c r="I46" s="5">
        <f t="shared" ca="1" si="6"/>
        <v>-5.5187686341374387E-2</v>
      </c>
    </row>
    <row r="47" spans="1:12" x14ac:dyDescent="0.2">
      <c r="A47">
        <v>4</v>
      </c>
      <c r="B47" t="str">
        <f t="shared" ca="1" si="2"/>
        <v>Thu</v>
      </c>
      <c r="C47" s="2">
        <f ca="1">OFFSET(Data!$A$1,$C$25-A47,0,1,1)</f>
        <v>45211</v>
      </c>
      <c r="D47" s="5">
        <f ca="1">_xlfn.XLOOKUP(C47,Data!$A:$A,Data!$H:$H)</f>
        <v>-1.1007491209295228E-2</v>
      </c>
      <c r="E47" s="5">
        <f ca="1">$E$25+$F$25*_xlfn.XLOOKUP(C47,Data!$A:$A,Data!$F:$F)</f>
        <v>-2.1220890461622183E-3</v>
      </c>
      <c r="F47" s="5">
        <f t="shared" ca="1" si="3"/>
        <v>-8.8854021631330094E-3</v>
      </c>
      <c r="G47" s="13">
        <f t="shared" ca="1" si="4"/>
        <v>-0.50043364156734815</v>
      </c>
      <c r="H47" t="str">
        <f t="shared" ca="1" si="5"/>
        <v>No</v>
      </c>
      <c r="I47" s="5">
        <f t="shared" ca="1" si="6"/>
        <v>-4.4164859833733194E-2</v>
      </c>
    </row>
    <row r="48" spans="1:12" x14ac:dyDescent="0.2">
      <c r="A48">
        <v>3</v>
      </c>
      <c r="B48" t="str">
        <f t="shared" ca="1" si="2"/>
        <v>Wed</v>
      </c>
      <c r="C48" s="2">
        <f ca="1">OFFSET(Data!$A$1,$C$25-A48,0,1,1)</f>
        <v>45210</v>
      </c>
      <c r="D48" s="5">
        <f ca="1">_xlfn.XLOOKUP(C48,Data!$A:$A,Data!$H:$H)</f>
        <v>-4.1190266783934337E-2</v>
      </c>
      <c r="E48" s="5">
        <f ca="1">$E$25+$F$25*_xlfn.XLOOKUP(C48,Data!$A:$A,Data!$F:$F)</f>
        <v>-4.1253856090662268E-3</v>
      </c>
      <c r="F48" s="5">
        <f t="shared" ca="1" si="3"/>
        <v>-3.7064881174868114E-2</v>
      </c>
      <c r="G48" s="13">
        <f t="shared" ca="1" si="4"/>
        <v>-2.0875266105074144</v>
      </c>
      <c r="H48" t="str">
        <f t="shared" ca="1" si="5"/>
        <v>Yes</v>
      </c>
      <c r="I48" s="5">
        <f t="shared" ca="1" si="6"/>
        <v>-3.5595740137011833E-2</v>
      </c>
    </row>
    <row r="49" spans="1:9" x14ac:dyDescent="0.2">
      <c r="A49">
        <v>2</v>
      </c>
      <c r="B49" t="str">
        <f t="shared" ca="1" si="2"/>
        <v>Tue</v>
      </c>
      <c r="C49" s="2">
        <f ca="1">OFFSET(Data!$A$1,$C$25-A49,0,1,1)</f>
        <v>45209</v>
      </c>
      <c r="D49" s="5">
        <f ca="1">_xlfn.XLOOKUP(C49,Data!$A:$A,Data!$H:$H)</f>
        <v>5.2940268559962922E-2</v>
      </c>
      <c r="E49" s="5">
        <f ca="1">$E$25+$F$25*_xlfn.XLOOKUP(C49,Data!$A:$A,Data!$F:$F)</f>
        <v>1.6765726090547735E-3</v>
      </c>
      <c r="F49" s="5">
        <f t="shared" ca="1" si="3"/>
        <v>5.1263695950908149E-2</v>
      </c>
      <c r="G49" s="13">
        <f t="shared" ca="1" si="4"/>
        <v>2.8872163098432688</v>
      </c>
      <c r="H49" t="str">
        <f t="shared" ca="1" si="5"/>
        <v>Yes</v>
      </c>
      <c r="I49" s="5">
        <f t="shared" ca="1" si="6"/>
        <v>1.5256905778333607E-3</v>
      </c>
    </row>
    <row r="50" spans="1:9" x14ac:dyDescent="0.2">
      <c r="A50">
        <v>1</v>
      </c>
      <c r="B50" t="str">
        <f t="shared" ca="1" si="2"/>
        <v>Mon</v>
      </c>
      <c r="C50" s="2">
        <f ca="1">OFFSET(Data!$A$1,$C$25-A50,0,1,1)</f>
        <v>45208</v>
      </c>
      <c r="D50" s="5">
        <f ca="1">_xlfn.XLOOKUP(C50,Data!$A:$A,Data!$H:$H)</f>
        <v>2.4756305121460542E-3</v>
      </c>
      <c r="E50" s="5">
        <f ca="1">$E$25+$F$25*_xlfn.XLOOKUP(C50,Data!$A:$A,Data!$F:$F)</f>
        <v>2.3139910329701805E-4</v>
      </c>
      <c r="F50" s="5">
        <f t="shared" ca="1" si="3"/>
        <v>2.2442314088490364E-3</v>
      </c>
      <c r="G50" s="13">
        <f t="shared" ca="1" si="4"/>
        <v>0.12639708094587135</v>
      </c>
      <c r="H50" t="str">
        <f t="shared" ca="1" si="5"/>
        <v>No</v>
      </c>
      <c r="I50" s="5">
        <f t="shared" ca="1" si="6"/>
        <v>-4.7312587283901864E-2</v>
      </c>
    </row>
    <row r="51" spans="1:9" x14ac:dyDescent="0.2">
      <c r="A51">
        <v>0</v>
      </c>
      <c r="B51" t="str">
        <f t="shared" ca="1" si="2"/>
        <v>Sun</v>
      </c>
      <c r="C51" s="2">
        <f ca="1">OFFSET(Data!$A$1,$C$25-A51,0,1,1)</f>
        <v>45207</v>
      </c>
      <c r="D51" s="5">
        <f ca="1">_xlfn.XLOOKUP(C51,Data!$A:$A,Data!$H:$H)</f>
        <v>-6.6040462427745639E-2</v>
      </c>
      <c r="E51" s="5">
        <f ca="1">$E$25+$F$25*_xlfn.XLOOKUP(C51,Data!$A:$A,Data!$F:$F)</f>
        <v>-1.4760015505225481E-2</v>
      </c>
      <c r="F51" s="5">
        <f t="shared" ca="1" si="3"/>
        <v>-5.1280446922520158E-2</v>
      </c>
      <c r="G51" s="13">
        <f t="shared" ca="1" si="4"/>
        <v>-2.8881597392536302</v>
      </c>
      <c r="H51" t="str">
        <f t="shared" ca="1" si="5"/>
        <v>Yes</v>
      </c>
      <c r="I51" s="5">
        <f t="shared" ca="1" si="6"/>
        <v>-4.9445850761434929E-2</v>
      </c>
    </row>
    <row r="52" spans="1:9" x14ac:dyDescent="0.2">
      <c r="A52">
        <v>-1</v>
      </c>
      <c r="B52" t="str">
        <f t="shared" ca="1" si="2"/>
        <v>Thu</v>
      </c>
      <c r="C52" s="2">
        <f ca="1">OFFSET(Data!$A$1,$C$25-A52,0,1,1)</f>
        <v>45204</v>
      </c>
      <c r="D52" s="5">
        <f ca="1">_xlfn.XLOOKUP(C52,Data!$A:$A,Data!$H:$H)</f>
        <v>5.3755629812581862E-3</v>
      </c>
      <c r="E52" s="5">
        <f ca="1">$E$25+$F$25*_xlfn.XLOOKUP(C52,Data!$A:$A,Data!$F:$F)</f>
        <v>-1.8427643032828331E-3</v>
      </c>
      <c r="F52" s="5">
        <f t="shared" ca="1" si="3"/>
        <v>7.2183272845410193E-3</v>
      </c>
      <c r="G52" s="13">
        <f t="shared" ca="1" si="4"/>
        <v>0.40654252252259432</v>
      </c>
      <c r="H52" t="str">
        <f t="shared" ca="1" si="5"/>
        <v>No</v>
      </c>
      <c r="I52" s="5">
        <f t="shared" ca="1" si="6"/>
        <v>1.9337602509974516E-3</v>
      </c>
    </row>
    <row r="53" spans="1:9" x14ac:dyDescent="0.2">
      <c r="A53">
        <v>-2</v>
      </c>
      <c r="B53" t="str">
        <f t="shared" ca="1" si="2"/>
        <v>Wed</v>
      </c>
      <c r="C53" s="2">
        <f ca="1">OFFSET(Data!$A$1,$C$25-A53,0,1,1)</f>
        <v>45203</v>
      </c>
      <c r="D53" s="5">
        <f ca="1">_xlfn.XLOOKUP(C53,Data!$A:$A,Data!$H:$H)</f>
        <v>1.3092813500146239E-3</v>
      </c>
      <c r="E53" s="5">
        <f ca="1">$E$25+$F$25*_xlfn.XLOOKUP(C53,Data!$A:$A,Data!$F:$F)</f>
        <v>-3.5457870195558065E-3</v>
      </c>
      <c r="F53" s="5">
        <f t="shared" ca="1" si="3"/>
        <v>4.8550683695704304E-3</v>
      </c>
      <c r="G53" s="13">
        <f t="shared" ca="1" si="4"/>
        <v>0.2734417080549883</v>
      </c>
      <c r="H53" t="str">
        <f t="shared" ca="1" si="5"/>
        <v>No</v>
      </c>
      <c r="I53" s="5">
        <f t="shared" ca="1" si="6"/>
        <v>-5.2466946742230069E-3</v>
      </c>
    </row>
    <row r="54" spans="1:9" x14ac:dyDescent="0.2">
      <c r="A54">
        <v>-3</v>
      </c>
      <c r="B54" t="str">
        <f t="shared" ca="1" si="2"/>
        <v>Tue</v>
      </c>
      <c r="C54" s="2">
        <f ca="1">OFFSET(Data!$A$1,$C$25-A54,0,1,1)</f>
        <v>45202</v>
      </c>
      <c r="D54" s="5">
        <f ca="1">_xlfn.XLOOKUP(C54,Data!$A:$A,Data!$H:$H)</f>
        <v>-2.3222060957910351E-3</v>
      </c>
      <c r="E54" s="5">
        <f ca="1">$E$25+$F$25*_xlfn.XLOOKUP(C54,Data!$A:$A,Data!$F:$F)</f>
        <v>-2.9966307331184515E-3</v>
      </c>
      <c r="F54" s="5">
        <f t="shared" ca="1" si="3"/>
        <v>6.7442463732741639E-4</v>
      </c>
      <c r="G54" s="13">
        <f t="shared" ca="1" si="4"/>
        <v>3.7984186987152897E-2</v>
      </c>
      <c r="H54" t="str">
        <f t="shared" ca="1" si="5"/>
        <v>No</v>
      </c>
      <c r="I54" s="5">
        <f t="shared" ca="1" si="6"/>
        <v>-1.0052955258696317E-2</v>
      </c>
    </row>
    <row r="55" spans="1:9" x14ac:dyDescent="0.2">
      <c r="A55">
        <v>-4</v>
      </c>
      <c r="B55" t="str">
        <f t="shared" ca="1" si="2"/>
        <v>Mon</v>
      </c>
      <c r="C55" s="2">
        <f ca="1">OFFSET(Data!$A$1,$C$25-A55,0,1,1)</f>
        <v>45201</v>
      </c>
      <c r="D55" s="5">
        <f ca="1">_xlfn.XLOOKUP(C55,Data!$A:$A,Data!$H:$H)</f>
        <v>-7.2516316171133965E-4</v>
      </c>
      <c r="E55" s="5">
        <f ca="1">$E$25+$F$25*_xlfn.XLOOKUP(C55,Data!$A:$A,Data!$F:$F)</f>
        <v>-6.7465168185610182E-4</v>
      </c>
      <c r="F55" s="5">
        <f t="shared" ca="1" si="3"/>
        <v>-5.0511479855237839E-5</v>
      </c>
      <c r="G55" s="13">
        <f t="shared" ca="1" si="4"/>
        <v>-2.8448508397057714E-3</v>
      </c>
      <c r="H55" t="str">
        <f t="shared" ca="1" si="5"/>
        <v>No</v>
      </c>
      <c r="I55" s="5">
        <f t="shared" ca="1" si="6"/>
        <v>-1.0720149962772929E-2</v>
      </c>
    </row>
    <row r="56" spans="1:9" x14ac:dyDescent="0.2">
      <c r="A56">
        <v>-5</v>
      </c>
      <c r="B56" t="str">
        <f t="shared" ca="1" si="2"/>
        <v>Sun</v>
      </c>
      <c r="C56" s="2">
        <f ca="1">OFFSET(Data!$A$1,$C$25-A56,0,1,1)</f>
        <v>45200</v>
      </c>
      <c r="D56" s="5">
        <f ca="1">_xlfn.XLOOKUP(C56,Data!$A:$A,Data!$H:$H)</f>
        <v>0</v>
      </c>
      <c r="E56" s="5">
        <f ca="1">$E$25+$F$25*_xlfn.XLOOKUP(C56,Data!$A:$A,Data!$F:$F)</f>
        <v>1.3678019686470229E-3</v>
      </c>
      <c r="F56" s="5">
        <f t="shared" ca="1" si="3"/>
        <v>-1.3678019686470229E-3</v>
      </c>
      <c r="G56" s="13">
        <f t="shared" ca="1" si="4"/>
        <v>-7.7035806319841749E-2</v>
      </c>
      <c r="H56" t="str">
        <f t="shared" ca="1" si="5"/>
        <v>No</v>
      </c>
      <c r="I56" s="5">
        <f t="shared" ca="1" si="6"/>
        <v>-1.0670177449370932E-2</v>
      </c>
    </row>
    <row r="57" spans="1:9" x14ac:dyDescent="0.2">
      <c r="A57">
        <v>-6</v>
      </c>
      <c r="B57" t="str">
        <f t="shared" ca="1" si="2"/>
        <v>Thu</v>
      </c>
      <c r="C57" s="2">
        <f ca="1">OFFSET(Data!$A$1,$C$25-A57,0,1,1)</f>
        <v>45197</v>
      </c>
      <c r="D57" s="5">
        <f ca="1">_xlfn.XLOOKUP(C57,Data!$A:$A,Data!$H:$H)</f>
        <v>-8.1990794016110202E-3</v>
      </c>
      <c r="E57" s="5">
        <f ca="1">$E$25+$F$25*_xlfn.XLOOKUP(C57,Data!$A:$A,Data!$F:$F)</f>
        <v>-7.651098237012547E-4</v>
      </c>
      <c r="F57" s="5">
        <f t="shared" ca="1" si="3"/>
        <v>-7.4339695779097655E-3</v>
      </c>
      <c r="G57" s="13">
        <f t="shared" ca="1" si="4"/>
        <v>-0.41868768558501729</v>
      </c>
      <c r="H57" t="str">
        <f t="shared" ca="1" si="5"/>
        <v>No</v>
      </c>
      <c r="I57" s="5">
        <f t="shared" ca="1" si="6"/>
        <v>-9.3151167157058401E-3</v>
      </c>
    </row>
    <row r="58" spans="1:9" x14ac:dyDescent="0.2">
      <c r="A58">
        <v>-7</v>
      </c>
      <c r="B58" t="str">
        <f t="shared" ca="1" si="2"/>
        <v>Wed</v>
      </c>
      <c r="C58" s="2">
        <f ca="1">OFFSET(Data!$A$1,$C$25-A58,0,1,1)</f>
        <v>45196</v>
      </c>
      <c r="D58" s="5">
        <f ca="1">_xlfn.XLOOKUP(C58,Data!$A:$A,Data!$H:$H)</f>
        <v>6.8066618392468303E-3</v>
      </c>
      <c r="E58" s="5">
        <f ca="1">$E$25+$F$25*_xlfn.XLOOKUP(C58,Data!$A:$A,Data!$F:$F)</f>
        <v>-2.7267022461348951E-4</v>
      </c>
      <c r="F58" s="5">
        <f t="shared" ca="1" si="3"/>
        <v>7.0793320638603196E-3</v>
      </c>
      <c r="G58" s="13">
        <f t="shared" ca="1" si="4"/>
        <v>0.39871418980690626</v>
      </c>
      <c r="H58" t="str">
        <f t="shared" ca="1" si="5"/>
        <v>No</v>
      </c>
      <c r="I58" s="5">
        <f t="shared" ca="1" si="6"/>
        <v>-1.895236266544531E-3</v>
      </c>
    </row>
    <row r="59" spans="1:9" x14ac:dyDescent="0.2">
      <c r="A59">
        <v>-8</v>
      </c>
      <c r="B59" t="str">
        <f t="shared" ca="1" si="2"/>
        <v>Tue</v>
      </c>
      <c r="C59" s="2">
        <f ca="1">OFFSET(Data!$A$1,$C$25-A59,0,1,1)</f>
        <v>45195</v>
      </c>
      <c r="D59" s="5">
        <f ca="1">_xlfn.XLOOKUP(C59,Data!$A:$A,Data!$H:$H)</f>
        <v>-2.4717514124293793E-2</v>
      </c>
      <c r="E59" s="5">
        <f ca="1">$E$25+$F$25*_xlfn.XLOOKUP(C59,Data!$A:$A,Data!$F:$F)</f>
        <v>-3.459304118678579E-3</v>
      </c>
      <c r="F59" s="5">
        <f t="shared" ca="1" si="3"/>
        <v>-2.1258210005615216E-2</v>
      </c>
      <c r="G59" s="13">
        <f t="shared" ca="1" si="4"/>
        <v>-1.1972810291529186</v>
      </c>
      <c r="H59" t="str">
        <f t="shared" ca="1" si="5"/>
        <v>No</v>
      </c>
      <c r="I59" s="5">
        <f t="shared" ca="1" si="6"/>
        <v>-8.9114809972444808E-3</v>
      </c>
    </row>
    <row r="60" spans="1:9" x14ac:dyDescent="0.2">
      <c r="A60">
        <v>-9</v>
      </c>
      <c r="B60" t="str">
        <f t="shared" ca="1" si="2"/>
        <v>Thu</v>
      </c>
      <c r="C60" s="2">
        <f ca="1">OFFSET(Data!$A$1,$C$25-A60,0,1,1)</f>
        <v>45190</v>
      </c>
      <c r="D60" s="5">
        <f ca="1">_xlfn.XLOOKUP(C60,Data!$A:$A,Data!$H:$H)</f>
        <v>-2.8240609997176591E-4</v>
      </c>
      <c r="E60" s="5">
        <f ca="1">$E$25+$F$25*_xlfn.XLOOKUP(C60,Data!$A:$A,Data!$F:$F)</f>
        <v>-1.2421873795612605E-3</v>
      </c>
      <c r="F60" s="5">
        <f t="shared" ca="1" si="3"/>
        <v>9.5978127958949461E-4</v>
      </c>
      <c r="G60" s="13">
        <f t="shared" ca="1" si="4"/>
        <v>5.4055723312785069E-2</v>
      </c>
      <c r="H60" t="str">
        <f t="shared" ca="1" si="5"/>
        <v>No</v>
      </c>
      <c r="I60" s="5">
        <f t="shared" ca="1" si="6"/>
        <v>1.2614899184433037E-2</v>
      </c>
    </row>
    <row r="61" spans="1:9" x14ac:dyDescent="0.2">
      <c r="A61">
        <v>-10</v>
      </c>
      <c r="B61" t="str">
        <f t="shared" ca="1" si="2"/>
        <v>Wed</v>
      </c>
      <c r="C61" s="2">
        <f ca="1">OFFSET(Data!$A$1,$C$25-A61,0,1,1)</f>
        <v>45189</v>
      </c>
      <c r="D61" s="5">
        <f ca="1">_xlfn.XLOOKUP(C61,Data!$A:$A,Data!$H:$H)</f>
        <v>1.272701272701271E-2</v>
      </c>
      <c r="E61" s="5">
        <f ca="1">$E$25+$F$25*_xlfn.XLOOKUP(C61,Data!$A:$A,Data!$F:$F)</f>
        <v>1.0830704599775727E-3</v>
      </c>
      <c r="F61" s="5">
        <f t="shared" ca="1" si="3"/>
        <v>1.1643942267035138E-2</v>
      </c>
      <c r="G61" s="13">
        <f t="shared" ca="1" si="4"/>
        <v>0.65579703922346033</v>
      </c>
      <c r="H61" t="str">
        <f t="shared" ca="1" si="5"/>
        <v>No</v>
      </c>
      <c r="I61" s="5">
        <f ca="1">F61</f>
        <v>1.1643942267035138E-2</v>
      </c>
    </row>
    <row r="63" spans="1:9" x14ac:dyDescent="0.2">
      <c r="A63" s="3" t="s">
        <v>50</v>
      </c>
      <c r="B63" t="str">
        <f>E11</f>
        <v>First hostage truce (105 freed)</v>
      </c>
    </row>
    <row r="64" spans="1:9" x14ac:dyDescent="0.2">
      <c r="A64" s="12" t="s">
        <v>42</v>
      </c>
      <c r="B64" s="12" t="s">
        <v>43</v>
      </c>
      <c r="C64" s="12" t="s">
        <v>0</v>
      </c>
      <c r="D64" s="12" t="s">
        <v>44</v>
      </c>
      <c r="E64" s="12" t="s">
        <v>45</v>
      </c>
      <c r="F64" s="12" t="s">
        <v>46</v>
      </c>
      <c r="G64" s="12" t="s">
        <v>47</v>
      </c>
      <c r="H64" s="12" t="s">
        <v>48</v>
      </c>
      <c r="I64" s="12" t="s">
        <v>49</v>
      </c>
    </row>
    <row r="65" spans="1:9" x14ac:dyDescent="0.2">
      <c r="A65">
        <v>10</v>
      </c>
      <c r="B65" t="str">
        <f t="shared" ref="B65:B85" ca="1" si="7">TEXT(WEEKDAY(C65),"ddd")</f>
        <v>Wed</v>
      </c>
      <c r="C65" s="2">
        <f ca="1">OFFSET(Data!$A$1,$C$26-A65,0,1,1)</f>
        <v>45266</v>
      </c>
      <c r="D65" s="5">
        <f ca="1">_xlfn.XLOOKUP(C65,Data!$A:$A,Data!$H:$H)</f>
        <v>1.0834075393291842E-2</v>
      </c>
      <c r="E65" s="5">
        <f ca="1">$E$26+$F$26*_xlfn.XLOOKUP(C65,Data!$A:$A,Data!$F:$F)</f>
        <v>-5.6884308881316567E-4</v>
      </c>
      <c r="F65" s="5">
        <f t="shared" ref="F65:F85" ca="1" si="8">D65-E65</f>
        <v>1.1402918482105008E-2</v>
      </c>
      <c r="G65" s="13">
        <f t="shared" ref="G65:G85" ca="1" si="9">F65/$I$26</f>
        <v>0.62892142410046514</v>
      </c>
      <c r="H65" t="str">
        <f t="shared" ref="H65:H85" ca="1" si="10">IF(ABS(G65)&lt;$B$6,"No","Yes")</f>
        <v>No</v>
      </c>
      <c r="I65" s="5">
        <f t="shared" ref="I65:I84" ca="1" si="11">(1+I66)*(1+F65)-1</f>
        <v>-5.7178438065959014E-3</v>
      </c>
    </row>
    <row r="66" spans="1:9" x14ac:dyDescent="0.2">
      <c r="A66">
        <v>9</v>
      </c>
      <c r="B66" t="str">
        <f t="shared" ca="1" si="7"/>
        <v>Tue</v>
      </c>
      <c r="C66" s="2">
        <f ca="1">OFFSET(Data!$A$1,$C$26-A66,0,1,1)</f>
        <v>45265</v>
      </c>
      <c r="D66" s="5">
        <f ca="1">_xlfn.XLOOKUP(C66,Data!$A:$A,Data!$H:$H)</f>
        <v>1.0194902548725571E-2</v>
      </c>
      <c r="E66" s="5">
        <f ca="1">$E$26+$F$26*_xlfn.XLOOKUP(C66,Data!$A:$A,Data!$F:$F)</f>
        <v>2.9935089360943763E-3</v>
      </c>
      <c r="F66" s="5">
        <f t="shared" ca="1" si="8"/>
        <v>7.2013936126311944E-3</v>
      </c>
      <c r="G66" s="13">
        <f t="shared" ca="1" si="9"/>
        <v>0.39718873141746064</v>
      </c>
      <c r="H66" t="str">
        <f t="shared" ca="1" si="10"/>
        <v>No</v>
      </c>
      <c r="I66" s="5">
        <f t="shared" ca="1" si="11"/>
        <v>-1.6927736687170514E-2</v>
      </c>
    </row>
    <row r="67" spans="1:9" x14ac:dyDescent="0.2">
      <c r="A67">
        <v>8</v>
      </c>
      <c r="B67" t="str">
        <f t="shared" ca="1" si="7"/>
        <v>Mon</v>
      </c>
      <c r="C67" s="2">
        <f ca="1">OFFSET(Data!$A$1,$C$26-A67,0,1,1)</f>
        <v>45264</v>
      </c>
      <c r="D67" s="5">
        <f ca="1">_xlfn.XLOOKUP(C67,Data!$A:$A,Data!$H:$H)</f>
        <v>2.018966044661985E-2</v>
      </c>
      <c r="E67" s="5">
        <f ca="1">$E$26+$F$26*_xlfn.XLOOKUP(C67,Data!$A:$A,Data!$F:$F)</f>
        <v>-5.2154178857197957E-4</v>
      </c>
      <c r="F67" s="5">
        <f t="shared" ca="1" si="8"/>
        <v>2.0711202235191829E-2</v>
      </c>
      <c r="G67" s="13">
        <f t="shared" ca="1" si="9"/>
        <v>1.142314471951307</v>
      </c>
      <c r="H67" t="str">
        <f t="shared" ca="1" si="10"/>
        <v>No</v>
      </c>
      <c r="I67" s="5">
        <f t="shared" ca="1" si="11"/>
        <v>-2.3956609326418077E-2</v>
      </c>
    </row>
    <row r="68" spans="1:9" x14ac:dyDescent="0.2">
      <c r="A68">
        <v>7</v>
      </c>
      <c r="B68" t="str">
        <f t="shared" ca="1" si="7"/>
        <v>Sun</v>
      </c>
      <c r="C68" s="2">
        <f ca="1">OFFSET(Data!$A$1,$C$26-A68,0,1,1)</f>
        <v>45263</v>
      </c>
      <c r="D68" s="5">
        <f ca="1">_xlfn.XLOOKUP(C68,Data!$A:$A,Data!$H:$H)</f>
        <v>5.8461538461538343E-3</v>
      </c>
      <c r="E68" s="5">
        <f ca="1">$E$26+$F$26*_xlfn.XLOOKUP(C68,Data!$A:$A,Data!$F:$F)</f>
        <v>1.8916455672591565E-3</v>
      </c>
      <c r="F68" s="5">
        <f t="shared" ca="1" si="8"/>
        <v>3.954508278894678E-3</v>
      </c>
      <c r="G68" s="13">
        <f t="shared" ca="1" si="9"/>
        <v>0.21810863440640854</v>
      </c>
      <c r="H68" t="str">
        <f t="shared" ca="1" si="10"/>
        <v>No</v>
      </c>
      <c r="I68" s="5">
        <f t="shared" ca="1" si="11"/>
        <v>-4.3761459131431812E-2</v>
      </c>
    </row>
    <row r="69" spans="1:9" x14ac:dyDescent="0.2">
      <c r="A69">
        <v>6</v>
      </c>
      <c r="B69" t="str">
        <f t="shared" ca="1" si="7"/>
        <v>Thu</v>
      </c>
      <c r="C69" s="2">
        <f ca="1">OFFSET(Data!$A$1,$C$26-A69,0,1,1)</f>
        <v>45260</v>
      </c>
      <c r="D69" s="5">
        <f ca="1">_xlfn.XLOOKUP(C69,Data!$A:$A,Data!$H:$H)</f>
        <v>-2.7237354085603127E-2</v>
      </c>
      <c r="E69" s="5">
        <f ca="1">$E$26+$F$26*_xlfn.XLOOKUP(C69,Data!$A:$A,Data!$F:$F)</f>
        <v>-6.7989914609173493E-3</v>
      </c>
      <c r="F69" s="5">
        <f t="shared" ca="1" si="8"/>
        <v>-2.0438362624685777E-2</v>
      </c>
      <c r="G69" s="13">
        <f t="shared" ca="1" si="9"/>
        <v>-1.127266159831934</v>
      </c>
      <c r="H69" t="str">
        <f t="shared" ca="1" si="10"/>
        <v>No</v>
      </c>
      <c r="I69" s="5">
        <f t="shared" ca="1" si="11"/>
        <v>-4.7528017471755057E-2</v>
      </c>
    </row>
    <row r="70" spans="1:9" x14ac:dyDescent="0.2">
      <c r="A70">
        <v>5</v>
      </c>
      <c r="B70" t="str">
        <f t="shared" ca="1" si="7"/>
        <v>Wed</v>
      </c>
      <c r="C70" s="2">
        <f ca="1">OFFSET(Data!$A$1,$C$26-A70,0,1,1)</f>
        <v>45259</v>
      </c>
      <c r="D70" s="5">
        <f ca="1">_xlfn.XLOOKUP(C70,Data!$A:$A,Data!$H:$H)</f>
        <v>4.1134309753817488E-2</v>
      </c>
      <c r="E70" s="5">
        <f ca="1">$E$26+$F$26*_xlfn.XLOOKUP(C70,Data!$A:$A,Data!$F:$F)</f>
        <v>1.9675020096660972E-3</v>
      </c>
      <c r="F70" s="5">
        <f t="shared" ca="1" si="8"/>
        <v>3.9166807744151391E-2</v>
      </c>
      <c r="G70" s="13">
        <f t="shared" ca="1" si="9"/>
        <v>2.1602228010818449</v>
      </c>
      <c r="H70" t="str">
        <f t="shared" ca="1" si="10"/>
        <v>Yes</v>
      </c>
      <c r="I70" s="5">
        <f t="shared" ca="1" si="11"/>
        <v>-2.7654875215055053E-2</v>
      </c>
    </row>
    <row r="71" spans="1:9" x14ac:dyDescent="0.2">
      <c r="A71">
        <v>4</v>
      </c>
      <c r="B71" t="str">
        <f t="shared" ca="1" si="7"/>
        <v>Tue</v>
      </c>
      <c r="C71" s="2">
        <f ca="1">OFFSET(Data!$A$1,$C$26-A71,0,1,1)</f>
        <v>45258</v>
      </c>
      <c r="D71" s="5">
        <f ca="1">_xlfn.XLOOKUP(C71,Data!$A:$A,Data!$H:$H)</f>
        <v>-3.7492501499700071E-2</v>
      </c>
      <c r="E71" s="5">
        <f ca="1">$E$26+$F$26*_xlfn.XLOOKUP(C71,Data!$A:$A,Data!$F:$F)</f>
        <v>5.6719378415133058E-4</v>
      </c>
      <c r="F71" s="5">
        <f t="shared" ca="1" si="8"/>
        <v>-3.8059695283851398E-2</v>
      </c>
      <c r="G71" s="13">
        <f t="shared" ca="1" si="9"/>
        <v>-2.0991606487684744</v>
      </c>
      <c r="H71" t="str">
        <f t="shared" ca="1" si="10"/>
        <v>Yes</v>
      </c>
      <c r="I71" s="5">
        <f t="shared" ca="1" si="11"/>
        <v>-6.4303134454673949E-2</v>
      </c>
    </row>
    <row r="72" spans="1:9" x14ac:dyDescent="0.2">
      <c r="A72">
        <v>3</v>
      </c>
      <c r="B72" t="str">
        <f t="shared" ca="1" si="7"/>
        <v>Mon</v>
      </c>
      <c r="C72" s="2">
        <f ca="1">OFFSET(Data!$A$1,$C$26-A72,0,1,1)</f>
        <v>45257</v>
      </c>
      <c r="D72" s="5">
        <f ca="1">_xlfn.XLOOKUP(C72,Data!$A:$A,Data!$H:$H)</f>
        <v>-1.7243920412674973E-2</v>
      </c>
      <c r="E72" s="5">
        <f ca="1">$E$26+$F$26*_xlfn.XLOOKUP(C72,Data!$A:$A,Data!$F:$F)</f>
        <v>-4.0828785030890859E-3</v>
      </c>
      <c r="F72" s="5">
        <f t="shared" ca="1" si="8"/>
        <v>-1.3161041909585888E-2</v>
      </c>
      <c r="G72" s="13">
        <f t="shared" ca="1" si="9"/>
        <v>-0.72588971265667224</v>
      </c>
      <c r="H72" t="str">
        <f t="shared" ca="1" si="10"/>
        <v>No</v>
      </c>
      <c r="I72" s="5">
        <f t="shared" ca="1" si="11"/>
        <v>-2.7281775222597116E-2</v>
      </c>
    </row>
    <row r="73" spans="1:9" x14ac:dyDescent="0.2">
      <c r="A73">
        <v>2</v>
      </c>
      <c r="B73" t="str">
        <f t="shared" ca="1" si="7"/>
        <v>Sun</v>
      </c>
      <c r="C73" s="2">
        <f ca="1">OFFSET(Data!$A$1,$C$26-A73,0,1,1)</f>
        <v>45256</v>
      </c>
      <c r="D73" s="5">
        <f ca="1">_xlfn.XLOOKUP(C73,Data!$A:$A,Data!$H:$H)</f>
        <v>9.973206311402194E-3</v>
      </c>
      <c r="E73" s="5">
        <f ca="1">$E$26+$F$26*_xlfn.XLOOKUP(C73,Data!$A:$A,Data!$F:$F)</f>
        <v>9.2689147285149103E-5</v>
      </c>
      <c r="F73" s="5">
        <f t="shared" ca="1" si="8"/>
        <v>9.8805171641170447E-3</v>
      </c>
      <c r="G73" s="13">
        <f t="shared" ca="1" si="9"/>
        <v>0.54495425319908519</v>
      </c>
      <c r="H73" t="str">
        <f t="shared" ca="1" si="10"/>
        <v>No</v>
      </c>
      <c r="I73" s="5">
        <f t="shared" ca="1" si="11"/>
        <v>-1.4309055390694714E-2</v>
      </c>
    </row>
    <row r="74" spans="1:9" x14ac:dyDescent="0.2">
      <c r="A74">
        <v>1</v>
      </c>
      <c r="B74" t="str">
        <f t="shared" ca="1" si="7"/>
        <v>Thu</v>
      </c>
      <c r="C74" s="2">
        <f ca="1">OFFSET(Data!$A$1,$C$26-A74,0,1,1)</f>
        <v>45253</v>
      </c>
      <c r="D74" s="5">
        <f ca="1">_xlfn.XLOOKUP(C74,Data!$A:$A,Data!$H:$H)</f>
        <v>1.4190821256038655E-2</v>
      </c>
      <c r="E74" s="5">
        <f ca="1">$E$26+$F$26*_xlfn.XLOOKUP(C74,Data!$A:$A,Data!$F:$F)</f>
        <v>-2.9840796567160658E-4</v>
      </c>
      <c r="F74" s="5">
        <f t="shared" ca="1" si="8"/>
        <v>1.4489229221710261E-2</v>
      </c>
      <c r="G74" s="13">
        <f t="shared" ca="1" si="9"/>
        <v>0.79914512153505146</v>
      </c>
      <c r="H74" t="str">
        <f t="shared" ca="1" si="10"/>
        <v>No</v>
      </c>
      <c r="I74" s="5">
        <f t="shared" ca="1" si="11"/>
        <v>-2.3952905461271157E-2</v>
      </c>
    </row>
    <row r="75" spans="1:9" x14ac:dyDescent="0.2">
      <c r="A75">
        <v>0</v>
      </c>
      <c r="B75" t="str">
        <f t="shared" ca="1" si="7"/>
        <v>Wed</v>
      </c>
      <c r="C75" s="2">
        <f ca="1">OFFSET(Data!$A$1,$C$26-A75,0,1,1)</f>
        <v>45252</v>
      </c>
      <c r="D75" s="5">
        <f ca="1">_xlfn.XLOOKUP(C75,Data!$A:$A,Data!$H:$H)</f>
        <v>1.1143336895130584E-2</v>
      </c>
      <c r="E75" s="5">
        <f ca="1">$E$26+$F$26*_xlfn.XLOOKUP(C75,Data!$A:$A,Data!$F:$F)</f>
        <v>6.5031754713314408E-3</v>
      </c>
      <c r="F75" s="5">
        <f t="shared" ca="1" si="8"/>
        <v>4.6401614237991436E-3</v>
      </c>
      <c r="G75" s="13">
        <f t="shared" ca="1" si="9"/>
        <v>0.25592544007848367</v>
      </c>
      <c r="H75" t="str">
        <f t="shared" ca="1" si="10"/>
        <v>No</v>
      </c>
      <c r="I75" s="5">
        <f t="shared" ca="1" si="11"/>
        <v>-3.7893092972976383E-2</v>
      </c>
    </row>
    <row r="76" spans="1:9" x14ac:dyDescent="0.2">
      <c r="A76">
        <v>-1</v>
      </c>
      <c r="B76" t="str">
        <f t="shared" ca="1" si="7"/>
        <v>Tue</v>
      </c>
      <c r="C76" s="2">
        <f ca="1">OFFSET(Data!$A$1,$C$26-A76,0,1,1)</f>
        <v>45251</v>
      </c>
      <c r="D76" s="5">
        <f ca="1">_xlfn.XLOOKUP(C76,Data!$A:$A,Data!$H:$H)</f>
        <v>8.6220169361046484E-3</v>
      </c>
      <c r="E76" s="5">
        <f ca="1">$E$26+$F$26*_xlfn.XLOOKUP(C76,Data!$A:$A,Data!$F:$F)</f>
        <v>1.1062177164150179E-3</v>
      </c>
      <c r="F76" s="5">
        <f t="shared" ca="1" si="8"/>
        <v>7.5157992196896303E-3</v>
      </c>
      <c r="G76" s="13">
        <f t="shared" ca="1" si="9"/>
        <v>0.41452959221960328</v>
      </c>
      <c r="H76" t="str">
        <f t="shared" ca="1" si="10"/>
        <v>No</v>
      </c>
      <c r="I76" s="5">
        <f t="shared" ca="1" si="11"/>
        <v>-4.2336804788389526E-2</v>
      </c>
    </row>
    <row r="77" spans="1:9" x14ac:dyDescent="0.2">
      <c r="A77">
        <v>-2</v>
      </c>
      <c r="B77" t="str">
        <f t="shared" ca="1" si="7"/>
        <v>Mon</v>
      </c>
      <c r="C77" s="2">
        <f ca="1">OFFSET(Data!$A$1,$C$26-A77,0,1,1)</f>
        <v>45250</v>
      </c>
      <c r="D77" s="5">
        <f ca="1">_xlfn.XLOOKUP(C77,Data!$A:$A,Data!$H:$H)</f>
        <v>-3.0783438510084693E-4</v>
      </c>
      <c r="E77" s="5">
        <f ca="1">$E$26+$F$26*_xlfn.XLOOKUP(C77,Data!$A:$A,Data!$F:$F)</f>
        <v>2.9325403035684325E-3</v>
      </c>
      <c r="F77" s="5">
        <f t="shared" ca="1" si="8"/>
        <v>-3.2403746886692794E-3</v>
      </c>
      <c r="G77" s="13">
        <f t="shared" ca="1" si="9"/>
        <v>-0.1787210061191962</v>
      </c>
      <c r="H77" t="str">
        <f t="shared" ca="1" si="10"/>
        <v>No</v>
      </c>
      <c r="I77" s="5">
        <f t="shared" ca="1" si="11"/>
        <v>-4.9480716874801933E-2</v>
      </c>
    </row>
    <row r="78" spans="1:9" x14ac:dyDescent="0.2">
      <c r="A78">
        <v>-3</v>
      </c>
      <c r="B78" t="str">
        <f t="shared" ca="1" si="7"/>
        <v>Sun</v>
      </c>
      <c r="C78" s="2">
        <f ca="1">OFFSET(Data!$A$1,$C$26-A78,0,1,1)</f>
        <v>45249</v>
      </c>
      <c r="D78" s="5">
        <f ca="1">_xlfn.XLOOKUP(C78,Data!$A:$A,Data!$H:$H)</f>
        <v>-3.068896731625026E-3</v>
      </c>
      <c r="E78" s="5">
        <f ca="1">$E$26+$F$26*_xlfn.XLOOKUP(C78,Data!$A:$A,Data!$F:$F)</f>
        <v>-2.4778707273666453E-3</v>
      </c>
      <c r="F78" s="5">
        <f t="shared" ca="1" si="8"/>
        <v>-5.9102600425838068E-4</v>
      </c>
      <c r="G78" s="13">
        <f t="shared" ca="1" si="9"/>
        <v>-3.2597700041609869E-2</v>
      </c>
      <c r="H78" t="str">
        <f t="shared" ca="1" si="10"/>
        <v>No</v>
      </c>
      <c r="I78" s="5">
        <f t="shared" ca="1" si="11"/>
        <v>-4.6390665323838509E-2</v>
      </c>
    </row>
    <row r="79" spans="1:9" x14ac:dyDescent="0.2">
      <c r="A79">
        <v>-4</v>
      </c>
      <c r="B79" t="str">
        <f t="shared" ca="1" si="7"/>
        <v>Thu</v>
      </c>
      <c r="C79" s="2">
        <f ca="1">OFFSET(Data!$A$1,$C$26-A79,0,1,1)</f>
        <v>45246</v>
      </c>
      <c r="D79" s="5">
        <f ca="1">_xlfn.XLOOKUP(C79,Data!$A:$A,Data!$H:$H)</f>
        <v>7.575757575757569E-3</v>
      </c>
      <c r="E79" s="5">
        <f ca="1">$E$26+$F$26*_xlfn.XLOOKUP(C79,Data!$A:$A,Data!$F:$F)</f>
        <v>2.7153841763330475E-3</v>
      </c>
      <c r="F79" s="5">
        <f t="shared" ca="1" si="8"/>
        <v>4.8603733994245215E-3</v>
      </c>
      <c r="G79" s="13">
        <f t="shared" ca="1" si="9"/>
        <v>0.26807110520199012</v>
      </c>
      <c r="H79" t="str">
        <f t="shared" ca="1" si="10"/>
        <v>No</v>
      </c>
      <c r="I79" s="5">
        <f t="shared" ca="1" si="11"/>
        <v>-4.5826724105216265E-2</v>
      </c>
    </row>
    <row r="80" spans="1:9" x14ac:dyDescent="0.2">
      <c r="A80">
        <v>-5</v>
      </c>
      <c r="B80" t="str">
        <f t="shared" ca="1" si="7"/>
        <v>Wed</v>
      </c>
      <c r="C80" s="2">
        <f ca="1">OFFSET(Data!$A$1,$C$26-A80,0,1,1)</f>
        <v>45245</v>
      </c>
      <c r="D80" s="5">
        <f ca="1">_xlfn.XLOOKUP(C80,Data!$A:$A,Data!$H:$H)</f>
        <v>-2.3845457289465744E-2</v>
      </c>
      <c r="E80" s="5">
        <f ca="1">$E$26+$F$26*_xlfn.XLOOKUP(C80,Data!$A:$A,Data!$F:$F)</f>
        <v>-8.7770635197481563E-5</v>
      </c>
      <c r="F80" s="5">
        <f t="shared" ca="1" si="8"/>
        <v>-2.3757686654268261E-2</v>
      </c>
      <c r="G80" s="13">
        <f t="shared" ca="1" si="9"/>
        <v>-1.3103415715357047</v>
      </c>
      <c r="H80" t="str">
        <f t="shared" ca="1" si="10"/>
        <v>No</v>
      </c>
      <c r="I80" s="5">
        <f t="shared" ca="1" si="11"/>
        <v>-5.0441930885549158E-2</v>
      </c>
    </row>
    <row r="81" spans="1:9" x14ac:dyDescent="0.2">
      <c r="A81">
        <v>-6</v>
      </c>
      <c r="B81" t="str">
        <f t="shared" ca="1" si="7"/>
        <v>Tue</v>
      </c>
      <c r="C81" s="2">
        <f ca="1">OFFSET(Data!$A$1,$C$26-A81,0,1,1)</f>
        <v>45244</v>
      </c>
      <c r="D81" s="5">
        <f ca="1">_xlfn.XLOOKUP(C81,Data!$A:$A,Data!$H:$H)</f>
        <v>0</v>
      </c>
      <c r="E81" s="5">
        <f ca="1">$E$26+$F$26*_xlfn.XLOOKUP(C81,Data!$A:$A,Data!$F:$F)</f>
        <v>5.7843683064385115E-3</v>
      </c>
      <c r="F81" s="5">
        <f t="shared" ca="1" si="8"/>
        <v>-5.7843683064385115E-3</v>
      </c>
      <c r="G81" s="13">
        <f t="shared" ca="1" si="9"/>
        <v>-0.31903351396539459</v>
      </c>
      <c r="H81" t="str">
        <f t="shared" ca="1" si="10"/>
        <v>No</v>
      </c>
      <c r="I81" s="5">
        <f t="shared" ca="1" si="11"/>
        <v>-2.7333628000439703E-2</v>
      </c>
    </row>
    <row r="82" spans="1:9" x14ac:dyDescent="0.2">
      <c r="A82">
        <v>-7</v>
      </c>
      <c r="B82" t="str">
        <f t="shared" ca="1" si="7"/>
        <v>Mon</v>
      </c>
      <c r="C82" s="2">
        <f ca="1">OFFSET(Data!$A$1,$C$26-A82,0,1,1)</f>
        <v>45243</v>
      </c>
      <c r="D82" s="5">
        <f ca="1">_xlfn.XLOOKUP(C82,Data!$A:$A,Data!$H:$H)</f>
        <v>-2.2569700545803206E-2</v>
      </c>
      <c r="E82" s="5">
        <f ca="1">$E$26+$F$26*_xlfn.XLOOKUP(C82,Data!$A:$A,Data!$F:$F)</f>
        <v>-2.8540344469893805E-3</v>
      </c>
      <c r="F82" s="5">
        <f t="shared" ca="1" si="8"/>
        <v>-1.9715666098813825E-2</v>
      </c>
      <c r="G82" s="13">
        <f t="shared" ca="1" si="9"/>
        <v>-1.0874062477438893</v>
      </c>
      <c r="H82" t="str">
        <f t="shared" ca="1" si="10"/>
        <v>No</v>
      </c>
      <c r="I82" s="5">
        <f t="shared" ca="1" si="11"/>
        <v>-2.1674633758567929E-2</v>
      </c>
    </row>
    <row r="83" spans="1:9" x14ac:dyDescent="0.2">
      <c r="A83">
        <v>-8</v>
      </c>
      <c r="B83" t="str">
        <f t="shared" ca="1" si="7"/>
        <v>Sun</v>
      </c>
      <c r="C83" s="2">
        <f ca="1">OFFSET(Data!$A$1,$C$26-A83,0,1,1)</f>
        <v>45242</v>
      </c>
      <c r="D83" s="5">
        <f ca="1">_xlfn.XLOOKUP(C83,Data!$A:$A,Data!$H:$H)</f>
        <v>-7.7576112412177656E-3</v>
      </c>
      <c r="E83" s="5">
        <f ca="1">$E$26+$F$26*_xlfn.XLOOKUP(C83,Data!$A:$A,Data!$F:$F)</f>
        <v>-6.4761318800950493E-3</v>
      </c>
      <c r="F83" s="5">
        <f t="shared" ca="1" si="8"/>
        <v>-1.2814793611227162E-3</v>
      </c>
      <c r="G83" s="13">
        <f t="shared" ca="1" si="9"/>
        <v>-7.067925864921841E-2</v>
      </c>
      <c r="H83" t="str">
        <f t="shared" ca="1" si="10"/>
        <v>No</v>
      </c>
      <c r="I83" s="5">
        <f t="shared" ca="1" si="11"/>
        <v>-1.9983667921715798E-3</v>
      </c>
    </row>
    <row r="84" spans="1:9" x14ac:dyDescent="0.2">
      <c r="A84">
        <v>-9</v>
      </c>
      <c r="B84" t="str">
        <f t="shared" ca="1" si="7"/>
        <v>Thu</v>
      </c>
      <c r="C84" s="2">
        <f ca="1">OFFSET(Data!$A$1,$C$26-A84,0,1,1)</f>
        <v>45239</v>
      </c>
      <c r="D84" s="5">
        <f ca="1">_xlfn.XLOOKUP(C84,Data!$A:$A,Data!$H:$H)</f>
        <v>-8.9933275311865346E-3</v>
      </c>
      <c r="E84" s="5">
        <f ca="1">$E$26+$F$26*_xlfn.XLOOKUP(C84,Data!$A:$A,Data!$F:$F)</f>
        <v>-3.0398202720477979E-3</v>
      </c>
      <c r="F84" s="5">
        <f t="shared" ca="1" si="8"/>
        <v>-5.9535072591387368E-3</v>
      </c>
      <c r="G84" s="13">
        <f t="shared" ca="1" si="9"/>
        <v>-0.32836227582316152</v>
      </c>
      <c r="H84" t="str">
        <f t="shared" ca="1" si="10"/>
        <v>No</v>
      </c>
      <c r="I84" s="5">
        <f t="shared" ca="1" si="11"/>
        <v>-7.1780728627157675E-4</v>
      </c>
    </row>
    <row r="85" spans="1:9" x14ac:dyDescent="0.2">
      <c r="A85">
        <v>-10</v>
      </c>
      <c r="B85" t="str">
        <f t="shared" ca="1" si="7"/>
        <v>Wed</v>
      </c>
      <c r="C85" s="2">
        <f ca="1">OFFSET(Data!$A$1,$C$26-A85,0,1,1)</f>
        <v>45238</v>
      </c>
      <c r="D85" s="5">
        <f ca="1">_xlfn.XLOOKUP(C85,Data!$A:$A,Data!$H:$H)</f>
        <v>2.0348837209303028E-3</v>
      </c>
      <c r="E85" s="5">
        <f ca="1">$E$26+$F$26*_xlfn.XLOOKUP(C85,Data!$A:$A,Data!$F:$F)</f>
        <v>-3.232173716625735E-3</v>
      </c>
      <c r="F85" s="5">
        <f t="shared" ca="1" si="8"/>
        <v>5.2670574375560377E-3</v>
      </c>
      <c r="G85" s="13">
        <f t="shared" ca="1" si="9"/>
        <v>0.29050152990615624</v>
      </c>
      <c r="H85" t="str">
        <f t="shared" ca="1" si="10"/>
        <v>No</v>
      </c>
      <c r="I85" s="5">
        <f ca="1">F85</f>
        <v>5.2670574375560377E-3</v>
      </c>
    </row>
    <row r="87" spans="1:9" x14ac:dyDescent="0.2">
      <c r="A87" s="3" t="s">
        <v>51</v>
      </c>
      <c r="B87" t="str">
        <f>E12</f>
        <v>Iran first direct attack</v>
      </c>
    </row>
    <row r="88" spans="1:9" x14ac:dyDescent="0.2">
      <c r="A88" s="12" t="s">
        <v>42</v>
      </c>
      <c r="B88" s="12" t="s">
        <v>43</v>
      </c>
      <c r="C88" s="12" t="s">
        <v>0</v>
      </c>
      <c r="D88" s="12" t="s">
        <v>44</v>
      </c>
      <c r="E88" s="12" t="s">
        <v>45</v>
      </c>
      <c r="F88" s="12" t="s">
        <v>46</v>
      </c>
      <c r="G88" s="12" t="s">
        <v>47</v>
      </c>
      <c r="H88" s="12" t="s">
        <v>48</v>
      </c>
      <c r="I88" s="12" t="s">
        <v>49</v>
      </c>
    </row>
    <row r="89" spans="1:9" x14ac:dyDescent="0.2">
      <c r="A89">
        <v>10</v>
      </c>
      <c r="B89" t="str">
        <f t="shared" ref="B89:B109" ca="1" si="12">TEXT(WEEKDAY(C89),"ddd")</f>
        <v>Thu</v>
      </c>
      <c r="C89" s="2">
        <f ca="1">OFFSET(Data!$A$1,$C$27-A89,0,1,1)</f>
        <v>45414</v>
      </c>
      <c r="D89" s="5">
        <f ca="1">_xlfn.XLOOKUP(C89,Data!$A:$A,Data!$H:$H)</f>
        <v>-2.9111398051414494E-2</v>
      </c>
      <c r="E89" s="5">
        <f ca="1">$E$27+$F$27*_xlfn.XLOOKUP(C89,Data!$A:$A,Data!$F:$F)</f>
        <v>2.1849773254804753E-3</v>
      </c>
      <c r="F89" s="5">
        <f t="shared" ref="F89:F109" ca="1" si="13">D89-E89</f>
        <v>-3.1296375376894968E-2</v>
      </c>
      <c r="G89" s="13">
        <f t="shared" ref="G89:G109" ca="1" si="14">F89/$I$27</f>
        <v>-1.6601658496466498</v>
      </c>
      <c r="H89" t="str">
        <f t="shared" ref="H89:H109" ca="1" si="15">IF(ABS(G89)&lt;$B$6,"No","Yes")</f>
        <v>No</v>
      </c>
      <c r="I89" s="5">
        <f t="shared" ref="I89:I108" ca="1" si="16">(1+I90)*(1+F89)-1</f>
        <v>-5.6053722299910014E-2</v>
      </c>
    </row>
    <row r="90" spans="1:9" x14ac:dyDescent="0.2">
      <c r="A90">
        <v>9</v>
      </c>
      <c r="B90" t="str">
        <f t="shared" ca="1" si="12"/>
        <v>Wed</v>
      </c>
      <c r="C90" s="2">
        <f ca="1">OFFSET(Data!$A$1,$C$27-A90,0,1,1)</f>
        <v>45413</v>
      </c>
      <c r="D90" s="5">
        <f ca="1">_xlfn.XLOOKUP(C90,Data!$A:$A,Data!$H:$H)</f>
        <v>-1.6054516054516021E-2</v>
      </c>
      <c r="E90" s="5">
        <f ca="1">$E$27+$F$27*_xlfn.XLOOKUP(C90,Data!$A:$A,Data!$F:$F)</f>
        <v>-2.7135888532707928E-3</v>
      </c>
      <c r="F90" s="5">
        <f t="shared" ca="1" si="13"/>
        <v>-1.3340927201245228E-2</v>
      </c>
      <c r="G90" s="13">
        <f t="shared" ca="1" si="14"/>
        <v>-0.7076906343116206</v>
      </c>
      <c r="H90" t="str">
        <f t="shared" ca="1" si="15"/>
        <v>No</v>
      </c>
      <c r="I90" s="5">
        <f t="shared" ca="1" si="16"/>
        <v>-2.5557194474881251E-2</v>
      </c>
    </row>
    <row r="91" spans="1:9" x14ac:dyDescent="0.2">
      <c r="A91">
        <v>8</v>
      </c>
      <c r="B91" t="str">
        <f t="shared" ca="1" si="12"/>
        <v>Tue</v>
      </c>
      <c r="C91" s="2">
        <f ca="1">OFFSET(Data!$A$1,$C$27-A91,0,1,1)</f>
        <v>45412</v>
      </c>
      <c r="D91" s="5">
        <f ca="1">_xlfn.XLOOKUP(C91,Data!$A:$A,Data!$H:$H)</f>
        <v>1.1551345731786178E-4</v>
      </c>
      <c r="E91" s="5">
        <f ca="1">$E$27+$F$27*_xlfn.XLOOKUP(C91,Data!$A:$A,Data!$F:$F)</f>
        <v>5.6872051999192225E-3</v>
      </c>
      <c r="F91" s="5">
        <f t="shared" ca="1" si="13"/>
        <v>-5.5716917426013608E-3</v>
      </c>
      <c r="G91" s="13">
        <f t="shared" ca="1" si="14"/>
        <v>-0.29555922193641365</v>
      </c>
      <c r="H91" t="str">
        <f t="shared" ca="1" si="15"/>
        <v>No</v>
      </c>
      <c r="I91" s="5">
        <f t="shared" ca="1" si="16"/>
        <v>-1.238144726018009E-2</v>
      </c>
    </row>
    <row r="92" spans="1:9" x14ac:dyDescent="0.2">
      <c r="A92">
        <v>7</v>
      </c>
      <c r="B92" t="str">
        <f t="shared" ca="1" si="12"/>
        <v>Thu</v>
      </c>
      <c r="C92" s="2">
        <f ca="1">OFFSET(Data!$A$1,$C$27-A92,0,1,1)</f>
        <v>45407</v>
      </c>
      <c r="D92" s="5">
        <f ca="1">_xlfn.XLOOKUP(C92,Data!$A:$A,Data!$H:$H)</f>
        <v>2.4497041420118437E-2</v>
      </c>
      <c r="E92" s="5">
        <f ca="1">$E$27+$F$27*_xlfn.XLOOKUP(C92,Data!$A:$A,Data!$F:$F)</f>
        <v>-2.4037521672210221E-3</v>
      </c>
      <c r="F92" s="5">
        <f t="shared" ca="1" si="13"/>
        <v>2.6900793587339461E-2</v>
      </c>
      <c r="G92" s="13">
        <f t="shared" ca="1" si="14"/>
        <v>1.4269952447932783</v>
      </c>
      <c r="H92" t="str">
        <f t="shared" ca="1" si="15"/>
        <v>No</v>
      </c>
      <c r="I92" s="5">
        <f t="shared" ca="1" si="16"/>
        <v>-6.8479099609622951E-3</v>
      </c>
    </row>
    <row r="93" spans="1:9" x14ac:dyDescent="0.2">
      <c r="A93">
        <v>6</v>
      </c>
      <c r="B93" t="str">
        <f t="shared" ca="1" si="12"/>
        <v>Wed</v>
      </c>
      <c r="C93" s="2">
        <f ca="1">OFFSET(Data!$A$1,$C$27-A93,0,1,1)</f>
        <v>45406</v>
      </c>
      <c r="D93" s="5">
        <f ca="1">_xlfn.XLOOKUP(C93,Data!$A:$A,Data!$H:$H)</f>
        <v>-5.1801271485755196E-3</v>
      </c>
      <c r="E93" s="5">
        <f ca="1">$E$27+$F$27*_xlfn.XLOOKUP(C93,Data!$A:$A,Data!$F:$F)</f>
        <v>1.7645366542798047E-3</v>
      </c>
      <c r="F93" s="5">
        <f t="shared" ca="1" si="13"/>
        <v>-6.9446638028553241E-3</v>
      </c>
      <c r="G93" s="13">
        <f t="shared" ca="1" si="14"/>
        <v>-0.36839070160467596</v>
      </c>
      <c r="H93" t="str">
        <f t="shared" ca="1" si="15"/>
        <v>No</v>
      </c>
      <c r="I93" s="5">
        <f t="shared" ca="1" si="16"/>
        <v>-3.286461921059125E-2</v>
      </c>
    </row>
    <row r="94" spans="1:9" x14ac:dyDescent="0.2">
      <c r="A94">
        <v>5</v>
      </c>
      <c r="B94" t="str">
        <f t="shared" ca="1" si="12"/>
        <v>Sun</v>
      </c>
      <c r="C94" s="2">
        <f ca="1">OFFSET(Data!$A$1,$C$27-A94,0,1,1)</f>
        <v>45403</v>
      </c>
      <c r="D94" s="5">
        <f ca="1">_xlfn.XLOOKUP(C94,Data!$A:$A,Data!$H:$H)</f>
        <v>-4.45382090951707E-3</v>
      </c>
      <c r="E94" s="5">
        <f ca="1">$E$27+$F$27*_xlfn.XLOOKUP(C94,Data!$A:$A,Data!$F:$F)</f>
        <v>5.952226921513799E-3</v>
      </c>
      <c r="F94" s="5">
        <f t="shared" ca="1" si="13"/>
        <v>-1.0406047831030869E-2</v>
      </c>
      <c r="G94" s="13">
        <f t="shared" ca="1" si="14"/>
        <v>-0.55200530511342027</v>
      </c>
      <c r="H94" t="str">
        <f t="shared" ca="1" si="15"/>
        <v>No</v>
      </c>
      <c r="I94" s="5">
        <f t="shared" ca="1" si="16"/>
        <v>-2.6101219602721382E-2</v>
      </c>
    </row>
    <row r="95" spans="1:9" x14ac:dyDescent="0.2">
      <c r="A95">
        <v>4</v>
      </c>
      <c r="B95" t="str">
        <f t="shared" ca="1" si="12"/>
        <v>Thu</v>
      </c>
      <c r="C95" s="2">
        <f ca="1">OFFSET(Data!$A$1,$C$27-A95,0,1,1)</f>
        <v>45400</v>
      </c>
      <c r="D95" s="5">
        <f ca="1">_xlfn.XLOOKUP(C95,Data!$A:$A,Data!$H:$H)</f>
        <v>-7.7916036748458817E-3</v>
      </c>
      <c r="E95" s="5">
        <f ca="1">$E$27+$F$27*_xlfn.XLOOKUP(C95,Data!$A:$A,Data!$F:$F)</f>
        <v>5.5412311211896033E-3</v>
      </c>
      <c r="F95" s="5">
        <f t="shared" ca="1" si="13"/>
        <v>-1.3332834796035486E-2</v>
      </c>
      <c r="G95" s="13">
        <f t="shared" ca="1" si="14"/>
        <v>-0.70726135984743987</v>
      </c>
      <c r="H95" t="str">
        <f t="shared" ca="1" si="15"/>
        <v>No</v>
      </c>
      <c r="I95" s="5">
        <f t="shared" ca="1" si="16"/>
        <v>-1.5860213916314092E-2</v>
      </c>
    </row>
    <row r="96" spans="1:9" x14ac:dyDescent="0.2">
      <c r="A96">
        <v>3</v>
      </c>
      <c r="B96" t="str">
        <f t="shared" ca="1" si="12"/>
        <v>Wed</v>
      </c>
      <c r="C96" s="2">
        <f ca="1">OFFSET(Data!$A$1,$C$27-A96,0,1,1)</f>
        <v>45399</v>
      </c>
      <c r="D96" s="5">
        <f ca="1">_xlfn.XLOOKUP(C96,Data!$A:$A,Data!$H:$H)</f>
        <v>0</v>
      </c>
      <c r="E96" s="5">
        <f ca="1">$E$27+$F$27*_xlfn.XLOOKUP(C96,Data!$A:$A,Data!$F:$F)</f>
        <v>-3.7494810224419414E-3</v>
      </c>
      <c r="F96" s="5">
        <f t="shared" ca="1" si="13"/>
        <v>3.7494810224419414E-3</v>
      </c>
      <c r="G96" s="13">
        <f t="shared" ca="1" si="14"/>
        <v>0.19889716532323548</v>
      </c>
      <c r="H96" t="str">
        <f t="shared" ca="1" si="15"/>
        <v>No</v>
      </c>
      <c r="I96" s="5">
        <f t="shared" ca="1" si="16"/>
        <v>-2.5615315978981812E-3</v>
      </c>
    </row>
    <row r="97" spans="1:9" x14ac:dyDescent="0.2">
      <c r="A97">
        <v>2</v>
      </c>
      <c r="B97" t="str">
        <f t="shared" ca="1" si="12"/>
        <v>Tue</v>
      </c>
      <c r="C97" s="2">
        <f ca="1">OFFSET(Data!$A$1,$C$27-A97,0,1,1)</f>
        <v>45398</v>
      </c>
      <c r="D97" s="5">
        <f ca="1">_xlfn.XLOOKUP(C97,Data!$A:$A,Data!$H:$H)</f>
        <v>-1.3536767236434599E-2</v>
      </c>
      <c r="E97" s="5">
        <f ca="1">$E$27+$F$27*_xlfn.XLOOKUP(C97,Data!$A:$A,Data!$F:$F)</f>
        <v>-7.583320704256664E-4</v>
      </c>
      <c r="F97" s="5">
        <f t="shared" ca="1" si="13"/>
        <v>-1.2778435166008933E-2</v>
      </c>
      <c r="G97" s="13">
        <f t="shared" ca="1" si="14"/>
        <v>-0.67785235251854914</v>
      </c>
      <c r="H97" t="str">
        <f t="shared" ca="1" si="15"/>
        <v>No</v>
      </c>
      <c r="I97" s="5">
        <f t="shared" ca="1" si="16"/>
        <v>-6.2874379909133582E-3</v>
      </c>
    </row>
    <row r="98" spans="1:9" x14ac:dyDescent="0.2">
      <c r="A98">
        <v>1</v>
      </c>
      <c r="B98" t="str">
        <f t="shared" ca="1" si="12"/>
        <v>Mon</v>
      </c>
      <c r="C98" s="2">
        <f ca="1">OFFSET(Data!$A$1,$C$27-A98,0,1,1)</f>
        <v>45397</v>
      </c>
      <c r="D98" s="5">
        <f ca="1">_xlfn.XLOOKUP(C98,Data!$A:$A,Data!$H:$H)</f>
        <v>-5.7032052013231693E-3</v>
      </c>
      <c r="E98" s="5">
        <f ca="1">$E$27+$F$27*_xlfn.XLOOKUP(C98,Data!$A:$A,Data!$F:$F)</f>
        <v>-3.8559688716735393E-3</v>
      </c>
      <c r="F98" s="5">
        <f t="shared" ca="1" si="13"/>
        <v>-1.84723632964963E-3</v>
      </c>
      <c r="G98" s="13">
        <f t="shared" ca="1" si="14"/>
        <v>-9.7989579744592062E-2</v>
      </c>
      <c r="H98" t="str">
        <f t="shared" ca="1" si="15"/>
        <v>No</v>
      </c>
      <c r="I98" s="5">
        <f t="shared" ca="1" si="16"/>
        <v>6.5750155854700232E-3</v>
      </c>
    </row>
    <row r="99" spans="1:9" x14ac:dyDescent="0.2">
      <c r="A99">
        <v>0</v>
      </c>
      <c r="B99" t="str">
        <f t="shared" ca="1" si="12"/>
        <v>Sun</v>
      </c>
      <c r="C99" s="2">
        <f ca="1">OFFSET(Data!$A$1,$C$27-A99,0,1,1)</f>
        <v>45396</v>
      </c>
      <c r="D99" s="5">
        <f ca="1">_xlfn.XLOOKUP(C99,Data!$A:$A,Data!$H:$H)</f>
        <v>-3.7500000000000311E-3</v>
      </c>
      <c r="E99" s="5">
        <f ca="1">$E$27+$F$27*_xlfn.XLOOKUP(C99,Data!$A:$A,Data!$F:$F)</f>
        <v>2.0372215116636356E-3</v>
      </c>
      <c r="F99" s="5">
        <f t="shared" ca="1" si="13"/>
        <v>-5.7872215116636667E-3</v>
      </c>
      <c r="G99" s="13">
        <f t="shared" ca="1" si="14"/>
        <v>-0.30699234024070238</v>
      </c>
      <c r="H99" t="str">
        <f t="shared" ca="1" si="15"/>
        <v>No</v>
      </c>
      <c r="I99" s="5">
        <f t="shared" ca="1" si="16"/>
        <v>8.4378385971199954E-3</v>
      </c>
    </row>
    <row r="100" spans="1:9" x14ac:dyDescent="0.2">
      <c r="A100">
        <v>-1</v>
      </c>
      <c r="B100" t="str">
        <f t="shared" ca="1" si="12"/>
        <v>Thu</v>
      </c>
      <c r="C100" s="2">
        <f ca="1">OFFSET(Data!$A$1,$C$27-A100,0,1,1)</f>
        <v>45393</v>
      </c>
      <c r="D100" s="5">
        <f ca="1">_xlfn.XLOOKUP(C100,Data!$A:$A,Data!$H:$H)</f>
        <v>-6.7720090293453827E-3</v>
      </c>
      <c r="E100" s="5">
        <f ca="1">$E$27+$F$27*_xlfn.XLOOKUP(C100,Data!$A:$A,Data!$F:$F)</f>
        <v>-6.484140886148685E-3</v>
      </c>
      <c r="F100" s="5">
        <f t="shared" ca="1" si="13"/>
        <v>-2.8786814319669771E-4</v>
      </c>
      <c r="G100" s="13">
        <f t="shared" ca="1" si="14"/>
        <v>-1.5270422046674857E-2</v>
      </c>
      <c r="H100" t="str">
        <f t="shared" ca="1" si="15"/>
        <v>No</v>
      </c>
      <c r="I100" s="5">
        <f t="shared" ca="1" si="16"/>
        <v>1.4307862880632349E-2</v>
      </c>
    </row>
    <row r="101" spans="1:9" x14ac:dyDescent="0.2">
      <c r="A101">
        <v>-2</v>
      </c>
      <c r="B101" t="str">
        <f t="shared" ca="1" si="12"/>
        <v>Wed</v>
      </c>
      <c r="C101" s="2">
        <f ca="1">OFFSET(Data!$A$1,$C$27-A101,0,1,1)</f>
        <v>45392</v>
      </c>
      <c r="D101" s="5">
        <f ca="1">_xlfn.XLOOKUP(C101,Data!$A:$A,Data!$H:$H)</f>
        <v>-2.9259509340535672E-3</v>
      </c>
      <c r="E101" s="5">
        <f ca="1">$E$27+$F$27*_xlfn.XLOOKUP(C101,Data!$A:$A,Data!$F:$F)</f>
        <v>-3.4850335049531481E-3</v>
      </c>
      <c r="F101" s="5">
        <f t="shared" ca="1" si="13"/>
        <v>5.5908257089958089E-4</v>
      </c>
      <c r="G101" s="13">
        <f t="shared" ca="1" si="14"/>
        <v>2.9657421351910664E-2</v>
      </c>
      <c r="H101" t="str">
        <f t="shared" ca="1" si="15"/>
        <v>No</v>
      </c>
      <c r="I101" s="5">
        <f t="shared" ca="1" si="16"/>
        <v>1.4599933879685834E-2</v>
      </c>
    </row>
    <row r="102" spans="1:9" x14ac:dyDescent="0.2">
      <c r="A102">
        <v>-3</v>
      </c>
      <c r="B102" t="str">
        <f t="shared" ca="1" si="12"/>
        <v>Tue</v>
      </c>
      <c r="C102" s="2">
        <f ca="1">OFFSET(Data!$A$1,$C$27-A102,0,1,1)</f>
        <v>45391</v>
      </c>
      <c r="D102" s="5">
        <f ca="1">_xlfn.XLOOKUP(C102,Data!$A:$A,Data!$H:$H)</f>
        <v>1.1254924029269198E-4</v>
      </c>
      <c r="E102" s="5">
        <f ca="1">$E$27+$F$27*_xlfn.XLOOKUP(C102,Data!$A:$A,Data!$F:$F)</f>
        <v>-3.8466157078694413E-3</v>
      </c>
      <c r="F102" s="5">
        <f t="shared" ca="1" si="13"/>
        <v>3.9591649481621333E-3</v>
      </c>
      <c r="G102" s="13">
        <f t="shared" ca="1" si="14"/>
        <v>0.21002018159934727</v>
      </c>
      <c r="H102" t="str">
        <f t="shared" ca="1" si="15"/>
        <v>No</v>
      </c>
      <c r="I102" s="5">
        <f t="shared" ca="1" si="16"/>
        <v>1.4033005699882084E-2</v>
      </c>
    </row>
    <row r="103" spans="1:9" x14ac:dyDescent="0.2">
      <c r="A103">
        <v>-4</v>
      </c>
      <c r="B103" t="str">
        <f t="shared" ca="1" si="12"/>
        <v>Mon</v>
      </c>
      <c r="C103" s="2">
        <f ca="1">OFFSET(Data!$A$1,$C$27-A103,0,1,1)</f>
        <v>45390</v>
      </c>
      <c r="D103" s="5">
        <f ca="1">_xlfn.XLOOKUP(C103,Data!$A:$A,Data!$H:$H)</f>
        <v>2.1381768019312464E-2</v>
      </c>
      <c r="E103" s="5">
        <f ca="1">$E$27+$F$27*_xlfn.XLOOKUP(C103,Data!$A:$A,Data!$F:$F)</f>
        <v>6.374624713358785E-3</v>
      </c>
      <c r="F103" s="5">
        <f t="shared" ca="1" si="13"/>
        <v>1.500714330595368E-2</v>
      </c>
      <c r="G103" s="13">
        <f t="shared" ca="1" si="14"/>
        <v>0.79607770923181809</v>
      </c>
      <c r="H103" t="str">
        <f t="shared" ca="1" si="15"/>
        <v>No</v>
      </c>
      <c r="I103" s="5">
        <f t="shared" ca="1" si="16"/>
        <v>1.003411403913046E-2</v>
      </c>
    </row>
    <row r="104" spans="1:9" x14ac:dyDescent="0.2">
      <c r="A104">
        <v>-5</v>
      </c>
      <c r="B104" t="str">
        <f t="shared" ca="1" si="12"/>
        <v>Sun</v>
      </c>
      <c r="C104" s="2">
        <f ca="1">OFFSET(Data!$A$1,$C$27-A104,0,1,1)</f>
        <v>45389</v>
      </c>
      <c r="D104" s="5">
        <f ca="1">_xlfn.XLOOKUP(C104,Data!$A:$A,Data!$H:$H)</f>
        <v>7.1784184323260281E-3</v>
      </c>
      <c r="E104" s="5">
        <f ca="1">$E$27+$F$27*_xlfn.XLOOKUP(C104,Data!$A:$A,Data!$F:$F)</f>
        <v>5.9779720793926199E-3</v>
      </c>
      <c r="F104" s="5">
        <f t="shared" ca="1" si="13"/>
        <v>1.2004463529334082E-3</v>
      </c>
      <c r="G104" s="13">
        <f t="shared" ca="1" si="14"/>
        <v>6.3679579998399183E-2</v>
      </c>
      <c r="H104" t="str">
        <f t="shared" ca="1" si="15"/>
        <v>No</v>
      </c>
      <c r="I104" s="5">
        <f t="shared" ca="1" si="16"/>
        <v>-4.8995017420524478E-3</v>
      </c>
    </row>
    <row r="105" spans="1:9" x14ac:dyDescent="0.2">
      <c r="A105">
        <v>-6</v>
      </c>
      <c r="B105" t="str">
        <f t="shared" ca="1" si="12"/>
        <v>Thu</v>
      </c>
      <c r="C105" s="2">
        <f ca="1">OFFSET(Data!$A$1,$C$27-A105,0,1,1)</f>
        <v>45386</v>
      </c>
      <c r="D105" s="5">
        <f ca="1">_xlfn.XLOOKUP(C105,Data!$A:$A,Data!$H:$H)</f>
        <v>9.4670406732118018E-3</v>
      </c>
      <c r="E105" s="5">
        <f ca="1">$E$27+$F$27*_xlfn.XLOOKUP(C105,Data!$A:$A,Data!$F:$F)</f>
        <v>-6.2344494775028693E-3</v>
      </c>
      <c r="F105" s="5">
        <f t="shared" ca="1" si="13"/>
        <v>1.5701490150714672E-2</v>
      </c>
      <c r="G105" s="13">
        <f t="shared" ca="1" si="14"/>
        <v>0.83291043844087287</v>
      </c>
      <c r="H105" t="str">
        <f t="shared" ca="1" si="15"/>
        <v>No</v>
      </c>
      <c r="I105" s="5">
        <f t="shared" ca="1" si="16"/>
        <v>-6.0926342144632661E-3</v>
      </c>
    </row>
    <row r="106" spans="1:9" x14ac:dyDescent="0.2">
      <c r="A106">
        <v>-7</v>
      </c>
      <c r="B106" t="str">
        <f t="shared" ca="1" si="12"/>
        <v>Wed</v>
      </c>
      <c r="C106" s="2">
        <f ca="1">OFFSET(Data!$A$1,$C$27-A106,0,1,1)</f>
        <v>45385</v>
      </c>
      <c r="D106" s="5">
        <f ca="1">_xlfn.XLOOKUP(C106,Data!$A:$A,Data!$H:$H)</f>
        <v>-2.5647003963628068E-3</v>
      </c>
      <c r="E106" s="5">
        <f ca="1">$E$27+$F$27*_xlfn.XLOOKUP(C106,Data!$A:$A,Data!$F:$F)</f>
        <v>7.4234154515965308E-4</v>
      </c>
      <c r="F106" s="5">
        <f t="shared" ca="1" si="13"/>
        <v>-3.30704194152246E-3</v>
      </c>
      <c r="G106" s="13">
        <f t="shared" ca="1" si="14"/>
        <v>-0.17542728282579312</v>
      </c>
      <c r="H106" t="str">
        <f t="shared" ca="1" si="15"/>
        <v>No</v>
      </c>
      <c r="I106" s="5">
        <f t="shared" ca="1" si="16"/>
        <v>-2.1457214128871693E-2</v>
      </c>
    </row>
    <row r="107" spans="1:9" x14ac:dyDescent="0.2">
      <c r="A107">
        <v>-8</v>
      </c>
      <c r="B107" t="str">
        <f t="shared" ca="1" si="12"/>
        <v>Tue</v>
      </c>
      <c r="C107" s="2">
        <f ca="1">OFFSET(Data!$A$1,$C$27-A107,0,1,1)</f>
        <v>45384</v>
      </c>
      <c r="D107" s="5">
        <f ca="1">_xlfn.XLOOKUP(C107,Data!$A:$A,Data!$H:$H)</f>
        <v>-1.1523392486748052E-2</v>
      </c>
      <c r="E107" s="5">
        <f ca="1">$E$27+$F$27*_xlfn.XLOOKUP(C107,Data!$A:$A,Data!$F:$F)</f>
        <v>-5.9990452760835186E-3</v>
      </c>
      <c r="F107" s="5">
        <f t="shared" ca="1" si="13"/>
        <v>-5.5243472106645333E-3</v>
      </c>
      <c r="G107" s="13">
        <f t="shared" ca="1" si="14"/>
        <v>-0.29304775617903861</v>
      </c>
      <c r="H107" t="str">
        <f t="shared" ca="1" si="15"/>
        <v>No</v>
      </c>
      <c r="I107" s="5">
        <f t="shared" ca="1" si="16"/>
        <v>-1.8210394726481449E-2</v>
      </c>
    </row>
    <row r="108" spans="1:9" x14ac:dyDescent="0.2">
      <c r="A108">
        <v>-9</v>
      </c>
      <c r="B108" t="str">
        <f t="shared" ca="1" si="12"/>
        <v>Mon</v>
      </c>
      <c r="C108" s="2">
        <f ca="1">OFFSET(Data!$A$1,$C$27-A108,0,1,1)</f>
        <v>45383</v>
      </c>
      <c r="D108" s="5">
        <f ca="1">_xlfn.XLOOKUP(C108,Data!$A:$A,Data!$H:$H)</f>
        <v>-1.921338155515373E-2</v>
      </c>
      <c r="E108" s="5">
        <f ca="1">$E$27+$F$27*_xlfn.XLOOKUP(C108,Data!$A:$A,Data!$F:$F)</f>
        <v>-4.2842229962691456E-4</v>
      </c>
      <c r="F108" s="5">
        <f t="shared" ca="1" si="13"/>
        <v>-1.8784959255526815E-2</v>
      </c>
      <c r="G108" s="13">
        <f t="shared" ca="1" si="14"/>
        <v>-0.99647794568737913</v>
      </c>
      <c r="H108" t="str">
        <f t="shared" ca="1" si="15"/>
        <v>No</v>
      </c>
      <c r="I108" s="5">
        <f t="shared" ca="1" si="16"/>
        <v>-1.2756518955727825E-2</v>
      </c>
    </row>
    <row r="109" spans="1:9" x14ac:dyDescent="0.2">
      <c r="A109">
        <v>-10</v>
      </c>
      <c r="B109" t="str">
        <f t="shared" ca="1" si="12"/>
        <v>Sun</v>
      </c>
      <c r="C109" s="2">
        <f ca="1">OFFSET(Data!$A$1,$C$27-A109,0,1,1)</f>
        <v>45382</v>
      </c>
      <c r="D109" s="5">
        <f ca="1">_xlfn.XLOOKUP(C109,Data!$A:$A,Data!$H:$H)</f>
        <v>9.009009009008917E-3</v>
      </c>
      <c r="E109" s="5">
        <f ca="1">$E$27+$F$27*_xlfn.XLOOKUP(C109,Data!$A:$A,Data!$F:$F)</f>
        <v>2.8651566937967551E-3</v>
      </c>
      <c r="F109" s="5">
        <f t="shared" ca="1" si="13"/>
        <v>6.1438523152121619E-3</v>
      </c>
      <c r="G109" s="13">
        <f t="shared" ca="1" si="14"/>
        <v>0.32591038662317123</v>
      </c>
      <c r="H109" t="str">
        <f t="shared" ca="1" si="15"/>
        <v>No</v>
      </c>
      <c r="I109" s="5">
        <f ca="1">F109</f>
        <v>6.1438523152121619E-3</v>
      </c>
    </row>
    <row r="111" spans="1:9" x14ac:dyDescent="0.2">
      <c r="A111" s="3" t="s">
        <v>52</v>
      </c>
      <c r="B111" t="str">
        <f>E13</f>
        <v>Haniyeh assassinated in Tehran</v>
      </c>
    </row>
    <row r="112" spans="1:9" x14ac:dyDescent="0.2">
      <c r="A112" s="12" t="s">
        <v>42</v>
      </c>
      <c r="B112" s="12" t="s">
        <v>43</v>
      </c>
      <c r="C112" s="12" t="s">
        <v>0</v>
      </c>
      <c r="D112" s="12" t="s">
        <v>44</v>
      </c>
      <c r="E112" s="12" t="s">
        <v>45</v>
      </c>
      <c r="F112" s="12" t="s">
        <v>46</v>
      </c>
      <c r="G112" s="12" t="s">
        <v>47</v>
      </c>
      <c r="H112" s="12" t="s">
        <v>48</v>
      </c>
      <c r="I112" s="12" t="s">
        <v>49</v>
      </c>
    </row>
    <row r="113" spans="1:9" x14ac:dyDescent="0.2">
      <c r="A113">
        <v>10</v>
      </c>
      <c r="B113" t="str">
        <f t="shared" ref="B113:B133" ca="1" si="17">TEXT(WEEKDAY(C113),"ddd")</f>
        <v>Thu</v>
      </c>
      <c r="C113" s="2">
        <f ca="1">OFFSET(Data!$A$1,$C$28-A113,0,1,1)</f>
        <v>45519</v>
      </c>
      <c r="D113" s="5">
        <f ca="1">_xlfn.XLOOKUP(C113,Data!$A:$A,Data!$H:$H)</f>
        <v>3.4288074910493016E-2</v>
      </c>
      <c r="E113" s="5">
        <f ca="1">$E$28+$F$28*_xlfn.XLOOKUP(C113,Data!$A:$A,Data!$F:$F)</f>
        <v>8.2517991220135822E-3</v>
      </c>
      <c r="F113" s="5">
        <f t="shared" ref="F113:F133" ca="1" si="18">D113-E113</f>
        <v>2.6036275788479432E-2</v>
      </c>
      <c r="G113" s="13">
        <f t="shared" ref="G113:G133" ca="1" si="19">F113/$I$28</f>
        <v>1.69747357569183</v>
      </c>
      <c r="H113" t="str">
        <f t="shared" ref="H113:H133" ca="1" si="20">IF(ABS(G113)&lt;$B$6,"No","Yes")</f>
        <v>No</v>
      </c>
      <c r="I113" s="5">
        <f t="shared" ref="I113:I132" ca="1" si="21">(1+I114)*(1+F113)-1</f>
        <v>-9.3958510644729931E-2</v>
      </c>
    </row>
    <row r="114" spans="1:9" x14ac:dyDescent="0.2">
      <c r="A114">
        <v>9</v>
      </c>
      <c r="B114" t="str">
        <f t="shared" ca="1" si="17"/>
        <v>Wed</v>
      </c>
      <c r="C114" s="2">
        <f ca="1">OFFSET(Data!$A$1,$C$28-A114,0,1,1)</f>
        <v>45518</v>
      </c>
      <c r="D114" s="5">
        <f ca="1">_xlfn.XLOOKUP(C114,Data!$A:$A,Data!$H:$H)</f>
        <v>3.2413989195337001E-2</v>
      </c>
      <c r="E114" s="5">
        <f ca="1">$E$28+$F$28*_xlfn.XLOOKUP(C114,Data!$A:$A,Data!$F:$F)</f>
        <v>9.420636631805401E-3</v>
      </c>
      <c r="F114" s="5">
        <f t="shared" ca="1" si="18"/>
        <v>2.2993352563531598E-2</v>
      </c>
      <c r="G114" s="13">
        <f t="shared" ca="1" si="19"/>
        <v>1.4990856876094085</v>
      </c>
      <c r="H114" t="str">
        <f t="shared" ca="1" si="20"/>
        <v>No</v>
      </c>
      <c r="I114" s="5">
        <f t="shared" ca="1" si="21"/>
        <v>-0.11694984793885255</v>
      </c>
    </row>
    <row r="115" spans="1:9" x14ac:dyDescent="0.2">
      <c r="A115">
        <v>8</v>
      </c>
      <c r="B115" t="str">
        <f t="shared" ca="1" si="17"/>
        <v>Mon</v>
      </c>
      <c r="C115" s="2">
        <f ca="1">OFFSET(Data!$A$1,$C$28-A115,0,1,1)</f>
        <v>45516</v>
      </c>
      <c r="D115" s="5">
        <f ca="1">_xlfn.XLOOKUP(C115,Data!$A:$A,Data!$H:$H)</f>
        <v>-2.7378318584070804E-2</v>
      </c>
      <c r="E115" s="5">
        <f ca="1">$E$28+$F$28*_xlfn.XLOOKUP(C115,Data!$A:$A,Data!$F:$F)</f>
        <v>-7.5650927295343468E-3</v>
      </c>
      <c r="F115" s="5">
        <f t="shared" ca="1" si="18"/>
        <v>-1.9813225854536459E-2</v>
      </c>
      <c r="G115" s="13">
        <f t="shared" ca="1" si="19"/>
        <v>-1.2917526151021776</v>
      </c>
      <c r="H115" t="str">
        <f t="shared" ca="1" si="20"/>
        <v>No</v>
      </c>
      <c r="I115" s="5">
        <f t="shared" ca="1" si="21"/>
        <v>-0.13679776134585697</v>
      </c>
    </row>
    <row r="116" spans="1:9" x14ac:dyDescent="0.2">
      <c r="A116">
        <v>7</v>
      </c>
      <c r="B116" t="str">
        <f t="shared" ca="1" si="17"/>
        <v>Sun</v>
      </c>
      <c r="C116" s="2">
        <f ca="1">OFFSET(Data!$A$1,$C$28-A116,0,1,1)</f>
        <v>45515</v>
      </c>
      <c r="D116" s="5">
        <f ca="1">_xlfn.XLOOKUP(C116,Data!$A:$A,Data!$H:$H)</f>
        <v>-1.4579643003133969E-2</v>
      </c>
      <c r="E116" s="5">
        <f ca="1">$E$28+$F$28*_xlfn.XLOOKUP(C116,Data!$A:$A,Data!$F:$F)</f>
        <v>1.5769262177412085E-3</v>
      </c>
      <c r="F116" s="5">
        <f t="shared" ca="1" si="18"/>
        <v>-1.6156569220875178E-2</v>
      </c>
      <c r="G116" s="13">
        <f t="shared" ca="1" si="19"/>
        <v>-1.0533514681238227</v>
      </c>
      <c r="H116" t="str">
        <f t="shared" ca="1" si="20"/>
        <v>No</v>
      </c>
      <c r="I116" s="5">
        <f t="shared" ca="1" si="21"/>
        <v>-0.11934922871542386</v>
      </c>
    </row>
    <row r="117" spans="1:9" x14ac:dyDescent="0.2">
      <c r="A117">
        <v>6</v>
      </c>
      <c r="B117" t="str">
        <f t="shared" ca="1" si="17"/>
        <v>Thu</v>
      </c>
      <c r="C117" s="2">
        <f ca="1">OFFSET(Data!$A$1,$C$28-A117,0,1,1)</f>
        <v>45512</v>
      </c>
      <c r="D117" s="5">
        <f ca="1">_xlfn.XLOOKUP(C117,Data!$A:$A,Data!$H:$H)</f>
        <v>6.1694543460377727E-3</v>
      </c>
      <c r="E117" s="5">
        <f ca="1">$E$28+$F$28*_xlfn.XLOOKUP(C117,Data!$A:$A,Data!$F:$F)</f>
        <v>6.9254425973946983E-3</v>
      </c>
      <c r="F117" s="5">
        <f t="shared" ca="1" si="18"/>
        <v>-7.559882513569257E-4</v>
      </c>
      <c r="G117" s="13">
        <f t="shared" ca="1" si="19"/>
        <v>-4.9287774128574782E-2</v>
      </c>
      <c r="H117" t="str">
        <f t="shared" ca="1" si="20"/>
        <v>No</v>
      </c>
      <c r="I117" s="5">
        <f t="shared" ca="1" si="21"/>
        <v>-0.10488727806296216</v>
      </c>
    </row>
    <row r="118" spans="1:9" x14ac:dyDescent="0.2">
      <c r="A118">
        <v>5</v>
      </c>
      <c r="B118" t="str">
        <f t="shared" ca="1" si="17"/>
        <v>Wed</v>
      </c>
      <c r="C118" s="2">
        <f ca="1">OFFSET(Data!$A$1,$C$28-A118,0,1,1)</f>
        <v>45511</v>
      </c>
      <c r="D118" s="5">
        <f ca="1">_xlfn.XLOOKUP(C118,Data!$A:$A,Data!$H:$H)</f>
        <v>1.207159705841554E-2</v>
      </c>
      <c r="E118" s="5">
        <f ca="1">$E$28+$F$28*_xlfn.XLOOKUP(C118,Data!$A:$A,Data!$F:$F)</f>
        <v>9.4120023341461544E-3</v>
      </c>
      <c r="F118" s="5">
        <f t="shared" ca="1" si="18"/>
        <v>2.6595947242693853E-3</v>
      </c>
      <c r="G118" s="13">
        <f t="shared" ca="1" si="19"/>
        <v>0.1733962185365352</v>
      </c>
      <c r="H118" t="str">
        <f t="shared" ca="1" si="20"/>
        <v>No</v>
      </c>
      <c r="I118" s="5">
        <f t="shared" ca="1" si="21"/>
        <v>-0.10421007140125771</v>
      </c>
    </row>
    <row r="119" spans="1:9" x14ac:dyDescent="0.2">
      <c r="A119">
        <v>4</v>
      </c>
      <c r="B119" t="str">
        <f t="shared" ca="1" si="17"/>
        <v>Tue</v>
      </c>
      <c r="C119" s="2">
        <f ca="1">OFFSET(Data!$A$1,$C$28-A119,0,1,1)</f>
        <v>45510</v>
      </c>
      <c r="D119" s="5">
        <f ca="1">_xlfn.XLOOKUP(C119,Data!$A:$A,Data!$H:$H)</f>
        <v>-2.4763193504736103E-2</v>
      </c>
      <c r="E119" s="5">
        <f ca="1">$E$28+$F$28*_xlfn.XLOOKUP(C119,Data!$A:$A,Data!$F:$F)</f>
        <v>8.1979393236337825E-3</v>
      </c>
      <c r="F119" s="5">
        <f t="shared" ca="1" si="18"/>
        <v>-3.2961132828369884E-2</v>
      </c>
      <c r="G119" s="13">
        <f t="shared" ca="1" si="19"/>
        <v>-2.148949890359646</v>
      </c>
      <c r="H119" t="str">
        <f t="shared" ca="1" si="20"/>
        <v>Yes</v>
      </c>
      <c r="I119" s="5">
        <f t="shared" ca="1" si="21"/>
        <v>-0.10658619005677206</v>
      </c>
    </row>
    <row r="120" spans="1:9" x14ac:dyDescent="0.2">
      <c r="A120">
        <v>3</v>
      </c>
      <c r="B120" t="str">
        <f t="shared" ca="1" si="17"/>
        <v>Mon</v>
      </c>
      <c r="C120" s="2">
        <f ca="1">OFFSET(Data!$A$1,$C$28-A120,0,1,1)</f>
        <v>45509</v>
      </c>
      <c r="D120" s="5">
        <f ca="1">_xlfn.XLOOKUP(C120,Data!$A:$A,Data!$H:$H)</f>
        <v>-1.6633399866932796E-2</v>
      </c>
      <c r="E120" s="5">
        <f ca="1">$E$28+$F$28*_xlfn.XLOOKUP(C120,Data!$A:$A,Data!$F:$F)</f>
        <v>-4.4106716698228349E-3</v>
      </c>
      <c r="F120" s="5">
        <f t="shared" ca="1" si="18"/>
        <v>-1.2222728197109962E-2</v>
      </c>
      <c r="G120" s="13">
        <f t="shared" ca="1" si="19"/>
        <v>-0.79687887415288861</v>
      </c>
      <c r="H120" t="str">
        <f t="shared" ca="1" si="20"/>
        <v>No</v>
      </c>
      <c r="I120" s="5">
        <f t="shared" ca="1" si="21"/>
        <v>-7.6134537843074335E-2</v>
      </c>
    </row>
    <row r="121" spans="1:9" x14ac:dyDescent="0.2">
      <c r="A121">
        <v>2</v>
      </c>
      <c r="B121" t="str">
        <f t="shared" ca="1" si="17"/>
        <v>Sun</v>
      </c>
      <c r="C121" s="2">
        <f ca="1">OFFSET(Data!$A$1,$C$28-A121,0,1,1)</f>
        <v>45508</v>
      </c>
      <c r="D121" s="5">
        <f ca="1">_xlfn.XLOOKUP(C121,Data!$A:$A,Data!$H:$H)</f>
        <v>6.6577896138486636E-4</v>
      </c>
      <c r="E121" s="5">
        <f ca="1">$E$28+$F$28*_xlfn.XLOOKUP(C121,Data!$A:$A,Data!$F:$F)</f>
        <v>-1.1868329129961077E-2</v>
      </c>
      <c r="F121" s="5">
        <f t="shared" ca="1" si="18"/>
        <v>1.2534108091345943E-2</v>
      </c>
      <c r="G121" s="13">
        <f t="shared" ca="1" si="19"/>
        <v>0.81717974770183033</v>
      </c>
      <c r="H121" t="str">
        <f t="shared" ca="1" si="20"/>
        <v>No</v>
      </c>
      <c r="I121" s="5">
        <f t="shared" ca="1" si="21"/>
        <v>-6.47026525821075E-2</v>
      </c>
    </row>
    <row r="122" spans="1:9" x14ac:dyDescent="0.2">
      <c r="A122">
        <v>1</v>
      </c>
      <c r="B122" t="str">
        <f t="shared" ca="1" si="17"/>
        <v>Thu</v>
      </c>
      <c r="C122" s="2">
        <f ca="1">OFFSET(Data!$A$1,$C$28-A122,0,1,1)</f>
        <v>45505</v>
      </c>
      <c r="D122" s="5">
        <f ca="1">_xlfn.XLOOKUP(C122,Data!$A:$A,Data!$H:$H)</f>
        <v>-7.6260762607626043E-2</v>
      </c>
      <c r="E122" s="5">
        <f ca="1">$E$28+$F$28*_xlfn.XLOOKUP(C122,Data!$A:$A,Data!$F:$F)</f>
        <v>-8.0291586805788396E-3</v>
      </c>
      <c r="F122" s="5">
        <f t="shared" ca="1" si="18"/>
        <v>-6.8231603927047205E-2</v>
      </c>
      <c r="G122" s="13">
        <f t="shared" ca="1" si="19"/>
        <v>-4.4484605107955693</v>
      </c>
      <c r="H122" t="str">
        <f t="shared" ca="1" si="20"/>
        <v>Yes</v>
      </c>
      <c r="I122" s="5">
        <f t="shared" ca="1" si="21"/>
        <v>-7.6280650751654022E-2</v>
      </c>
    </row>
    <row r="123" spans="1:9" x14ac:dyDescent="0.2">
      <c r="A123">
        <v>0</v>
      </c>
      <c r="B123" t="str">
        <f t="shared" ca="1" si="17"/>
        <v>Wed</v>
      </c>
      <c r="C123" s="2">
        <f ca="1">OFFSET(Data!$A$1,$C$28-A123,0,1,1)</f>
        <v>45504</v>
      </c>
      <c r="D123" s="5">
        <f ca="1">_xlfn.XLOOKUP(C123,Data!$A:$A,Data!$H:$H)</f>
        <v>2.6255995960615897E-2</v>
      </c>
      <c r="E123" s="5">
        <f ca="1">$E$28+$F$28*_xlfn.XLOOKUP(C123,Data!$A:$A,Data!$F:$F)</f>
        <v>1.0275255755313817E-3</v>
      </c>
      <c r="F123" s="5">
        <f t="shared" ca="1" si="18"/>
        <v>2.5228470385084516E-2</v>
      </c>
      <c r="G123" s="13">
        <f t="shared" ca="1" si="19"/>
        <v>1.6448075055632176</v>
      </c>
      <c r="H123" t="str">
        <f t="shared" ca="1" si="20"/>
        <v>No</v>
      </c>
      <c r="I123" s="5">
        <f t="shared" ca="1" si="21"/>
        <v>-8.6384630113346406E-3</v>
      </c>
    </row>
    <row r="124" spans="1:9" x14ac:dyDescent="0.2">
      <c r="A124">
        <v>-1</v>
      </c>
      <c r="B124" t="str">
        <f t="shared" ca="1" si="17"/>
        <v>Tue</v>
      </c>
      <c r="C124" s="2">
        <f ca="1">OFFSET(Data!$A$1,$C$28-A124,0,1,1)</f>
        <v>45503</v>
      </c>
      <c r="D124" s="5">
        <f ca="1">_xlfn.XLOOKUP(C124,Data!$A:$A,Data!$H:$H)</f>
        <v>-1.3326690746045533E-2</v>
      </c>
      <c r="E124" s="5">
        <f ca="1">$E$28+$F$28*_xlfn.XLOOKUP(C124,Data!$A:$A,Data!$F:$F)</f>
        <v>-4.3833768418182276E-3</v>
      </c>
      <c r="F124" s="5">
        <f t="shared" ca="1" si="18"/>
        <v>-8.9433139042273055E-3</v>
      </c>
      <c r="G124" s="13">
        <f t="shared" ca="1" si="19"/>
        <v>-0.58307260050842258</v>
      </c>
      <c r="H124" t="str">
        <f t="shared" ca="1" si="20"/>
        <v>No</v>
      </c>
      <c r="I124" s="5">
        <f t="shared" ca="1" si="21"/>
        <v>-3.3033547521069573E-2</v>
      </c>
    </row>
    <row r="125" spans="1:9" x14ac:dyDescent="0.2">
      <c r="A125">
        <v>-2</v>
      </c>
      <c r="B125" t="str">
        <f t="shared" ca="1" si="17"/>
        <v>Mon</v>
      </c>
      <c r="C125" s="2">
        <f ca="1">OFFSET(Data!$A$1,$C$28-A125,0,1,1)</f>
        <v>45502</v>
      </c>
      <c r="D125" s="5">
        <f ca="1">_xlfn.XLOOKUP(C125,Data!$A:$A,Data!$H:$H)</f>
        <v>-1.3272704928106172E-2</v>
      </c>
      <c r="E125" s="5">
        <f ca="1">$E$28+$F$28*_xlfn.XLOOKUP(C125,Data!$A:$A,Data!$F:$F)</f>
        <v>1.8457261339310282E-3</v>
      </c>
      <c r="F125" s="5">
        <f t="shared" ca="1" si="18"/>
        <v>-1.51184310620372E-2</v>
      </c>
      <c r="G125" s="13">
        <f t="shared" ca="1" si="19"/>
        <v>-0.98566851274029665</v>
      </c>
      <c r="H125" t="str">
        <f t="shared" ca="1" si="20"/>
        <v>No</v>
      </c>
      <c r="I125" s="5">
        <f t="shared" ca="1" si="21"/>
        <v>-2.4307624331504907E-2</v>
      </c>
    </row>
    <row r="126" spans="1:9" x14ac:dyDescent="0.2">
      <c r="A126">
        <v>-3</v>
      </c>
      <c r="B126" t="str">
        <f t="shared" ca="1" si="17"/>
        <v>Sun</v>
      </c>
      <c r="C126" s="2">
        <f ca="1">OFFSET(Data!$A$1,$C$28-A126,0,1,1)</f>
        <v>45501</v>
      </c>
      <c r="D126" s="5">
        <f ca="1">_xlfn.XLOOKUP(C126,Data!$A:$A,Data!$H:$H)</f>
        <v>-6.592601635941886E-3</v>
      </c>
      <c r="E126" s="5">
        <f ca="1">$E$28+$F$28*_xlfn.XLOOKUP(C126,Data!$A:$A,Data!$F:$F)</f>
        <v>-1.2540460959559496E-2</v>
      </c>
      <c r="F126" s="5">
        <f t="shared" ca="1" si="18"/>
        <v>5.9478593236176099E-3</v>
      </c>
      <c r="G126" s="13">
        <f t="shared" ca="1" si="19"/>
        <v>0.38777950102374525</v>
      </c>
      <c r="H126" t="str">
        <f t="shared" ca="1" si="20"/>
        <v>No</v>
      </c>
      <c r="I126" s="5">
        <f t="shared" ca="1" si="21"/>
        <v>-9.3302520417523072E-3</v>
      </c>
    </row>
    <row r="127" spans="1:9" x14ac:dyDescent="0.2">
      <c r="A127">
        <v>-4</v>
      </c>
      <c r="B127" t="str">
        <f t="shared" ca="1" si="17"/>
        <v>Thu</v>
      </c>
      <c r="C127" s="2">
        <f ca="1">OFFSET(Data!$A$1,$C$28-A127,0,1,1)</f>
        <v>45498</v>
      </c>
      <c r="D127" s="5">
        <f ca="1">_xlfn.XLOOKUP(C127,Data!$A:$A,Data!$H:$H)</f>
        <v>-3.7703721722208705E-3</v>
      </c>
      <c r="E127" s="5">
        <f ca="1">$E$28+$F$28*_xlfn.XLOOKUP(C127,Data!$A:$A,Data!$F:$F)</f>
        <v>-2.6022461887367856E-3</v>
      </c>
      <c r="F127" s="5">
        <f t="shared" ca="1" si="18"/>
        <v>-1.1681259834840849E-3</v>
      </c>
      <c r="G127" s="13">
        <f t="shared" ca="1" si="19"/>
        <v>-7.6157704202866258E-2</v>
      </c>
      <c r="H127" t="str">
        <f t="shared" ca="1" si="20"/>
        <v>No</v>
      </c>
      <c r="I127" s="5">
        <f t="shared" ca="1" si="21"/>
        <v>-1.5187776606674808E-2</v>
      </c>
    </row>
    <row r="128" spans="1:9" x14ac:dyDescent="0.2">
      <c r="A128">
        <v>-5</v>
      </c>
      <c r="B128" t="str">
        <f t="shared" ca="1" si="17"/>
        <v>Wed</v>
      </c>
      <c r="C128" s="2">
        <f ca="1">OFFSET(Data!$A$1,$C$28-A128,0,1,1)</f>
        <v>45497</v>
      </c>
      <c r="D128" s="5">
        <f ca="1">_xlfn.XLOOKUP(C128,Data!$A:$A,Data!$H:$H)</f>
        <v>0</v>
      </c>
      <c r="E128" s="5">
        <f ca="1">$E$28+$F$28*_xlfn.XLOOKUP(C128,Data!$A:$A,Data!$F:$F)</f>
        <v>-1.2751365987529102E-3</v>
      </c>
      <c r="F128" s="5">
        <f t="shared" ca="1" si="18"/>
        <v>1.2751365987529102E-3</v>
      </c>
      <c r="G128" s="13">
        <f t="shared" ca="1" si="19"/>
        <v>8.3134419813542471E-2</v>
      </c>
      <c r="H128" t="str">
        <f t="shared" ca="1" si="20"/>
        <v>No</v>
      </c>
      <c r="I128" s="5">
        <f t="shared" ca="1" si="21"/>
        <v>-1.4036046493805521E-2</v>
      </c>
    </row>
    <row r="129" spans="1:9" x14ac:dyDescent="0.2">
      <c r="A129">
        <v>-6</v>
      </c>
      <c r="B129" t="str">
        <f t="shared" ca="1" si="17"/>
        <v>Tue</v>
      </c>
      <c r="C129" s="2">
        <f ca="1">OFFSET(Data!$A$1,$C$28-A129,0,1,1)</f>
        <v>45496</v>
      </c>
      <c r="D129" s="5">
        <f ca="1">_xlfn.XLOOKUP(C129,Data!$A:$A,Data!$H:$H)</f>
        <v>2.6829268292682951E-3</v>
      </c>
      <c r="E129" s="5">
        <f ca="1">$E$28+$F$28*_xlfn.XLOOKUP(C129,Data!$A:$A,Data!$F:$F)</f>
        <v>7.6907234583526943E-3</v>
      </c>
      <c r="F129" s="5">
        <f t="shared" ca="1" si="18"/>
        <v>-5.0077966290843993E-3</v>
      </c>
      <c r="G129" s="13">
        <f t="shared" ca="1" si="19"/>
        <v>-0.32649072084536551</v>
      </c>
      <c r="H129" t="str">
        <f t="shared" ca="1" si="20"/>
        <v>No</v>
      </c>
      <c r="I129" s="5">
        <f t="shared" ca="1" si="21"/>
        <v>-1.5291684106497616E-2</v>
      </c>
    </row>
    <row r="130" spans="1:9" x14ac:dyDescent="0.2">
      <c r="A130">
        <v>-7</v>
      </c>
      <c r="B130" t="str">
        <f t="shared" ca="1" si="17"/>
        <v>Mon</v>
      </c>
      <c r="C130" s="2">
        <f ca="1">OFFSET(Data!$A$1,$C$28-A130,0,1,1)</f>
        <v>45495</v>
      </c>
      <c r="D130" s="5">
        <f ca="1">_xlfn.XLOOKUP(C130,Data!$A:$A,Data!$H:$H)</f>
        <v>3.5491371925100434E-3</v>
      </c>
      <c r="E130" s="5">
        <f ca="1">$E$28+$F$28*_xlfn.XLOOKUP(C130,Data!$A:$A,Data!$F:$F)</f>
        <v>3.3395525743513551E-3</v>
      </c>
      <c r="F130" s="5">
        <f t="shared" ca="1" si="18"/>
        <v>2.0958461815868837E-4</v>
      </c>
      <c r="G130" s="13">
        <f t="shared" ca="1" si="19"/>
        <v>1.3664179703967289E-2</v>
      </c>
      <c r="H130" t="str">
        <f t="shared" ca="1" si="20"/>
        <v>No</v>
      </c>
      <c r="I130" s="5">
        <f t="shared" ca="1" si="21"/>
        <v>-1.0335646292074174E-2</v>
      </c>
    </row>
    <row r="131" spans="1:9" x14ac:dyDescent="0.2">
      <c r="A131">
        <v>-8</v>
      </c>
      <c r="B131" t="str">
        <f t="shared" ca="1" si="17"/>
        <v>Sun</v>
      </c>
      <c r="C131" s="2">
        <f ca="1">OFFSET(Data!$A$1,$C$28-A131,0,1,1)</f>
        <v>45494</v>
      </c>
      <c r="D131" s="5">
        <f ca="1">_xlfn.XLOOKUP(C131,Data!$A:$A,Data!$H:$H)</f>
        <v>-1.2448634276045478E-2</v>
      </c>
      <c r="E131" s="5">
        <f ca="1">$E$28+$F$28*_xlfn.XLOOKUP(C131,Data!$A:$A,Data!$F:$F)</f>
        <v>-4.6075868020267301E-3</v>
      </c>
      <c r="F131" s="5">
        <f t="shared" ca="1" si="18"/>
        <v>-7.8410474740187482E-3</v>
      </c>
      <c r="G131" s="13">
        <f t="shared" ca="1" si="19"/>
        <v>-0.51120870745966707</v>
      </c>
      <c r="H131" t="str">
        <f t="shared" ca="1" si="20"/>
        <v>No</v>
      </c>
      <c r="I131" s="5">
        <f t="shared" ca="1" si="21"/>
        <v>-1.0543021255148832E-2</v>
      </c>
    </row>
    <row r="132" spans="1:9" x14ac:dyDescent="0.2">
      <c r="A132">
        <v>-9</v>
      </c>
      <c r="B132" t="str">
        <f t="shared" ca="1" si="17"/>
        <v>Thu</v>
      </c>
      <c r="C132" s="2">
        <f ca="1">OFFSET(Data!$A$1,$C$28-A132,0,1,1)</f>
        <v>45491</v>
      </c>
      <c r="D132" s="5">
        <f ca="1">_xlfn.XLOOKUP(C132,Data!$A:$A,Data!$H:$H)</f>
        <v>-1.02870813397129E-2</v>
      </c>
      <c r="E132" s="5">
        <f ca="1">$E$28+$F$28*_xlfn.XLOOKUP(C132,Data!$A:$A,Data!$F:$F)</f>
        <v>-2.0658243674607536E-3</v>
      </c>
      <c r="F132" s="5">
        <f t="shared" ca="1" si="18"/>
        <v>-8.2212569722521465E-3</v>
      </c>
      <c r="G132" s="13">
        <f t="shared" ca="1" si="19"/>
        <v>-0.53599702901999635</v>
      </c>
      <c r="H132" t="str">
        <f t="shared" ca="1" si="20"/>
        <v>No</v>
      </c>
      <c r="I132" s="5">
        <f t="shared" ca="1" si="21"/>
        <v>-2.7233275215136077E-3</v>
      </c>
    </row>
    <row r="133" spans="1:9" x14ac:dyDescent="0.2">
      <c r="A133">
        <v>-10</v>
      </c>
      <c r="B133" t="str">
        <f t="shared" ca="1" si="17"/>
        <v>Wed</v>
      </c>
      <c r="C133" s="2">
        <f ca="1">OFFSET(Data!$A$1,$C$28-A133,0,1,1)</f>
        <v>45490</v>
      </c>
      <c r="D133" s="5">
        <f ca="1">_xlfn.XLOOKUP(C133,Data!$A:$A,Data!$H:$H)</f>
        <v>2.7587861341009656E-3</v>
      </c>
      <c r="E133" s="5">
        <f ca="1">$E$28+$F$28*_xlfn.XLOOKUP(C133,Data!$A:$A,Data!$F:$F)</f>
        <v>-2.7847178877278339E-3</v>
      </c>
      <c r="F133" s="5">
        <f t="shared" ca="1" si="18"/>
        <v>5.5435040218287995E-3</v>
      </c>
      <c r="G133" s="13">
        <f t="shared" ca="1" si="19"/>
        <v>0.36141695802590557</v>
      </c>
      <c r="H133" t="str">
        <f t="shared" ca="1" si="20"/>
        <v>No</v>
      </c>
      <c r="I133" s="5">
        <f ca="1">F133</f>
        <v>5.5435040218287995E-3</v>
      </c>
    </row>
    <row r="135" spans="1:9" x14ac:dyDescent="0.2">
      <c r="A135" s="3" t="s">
        <v>53</v>
      </c>
      <c r="B135" t="str">
        <f>E14</f>
        <v>Iran second attack (~180 missiles)</v>
      </c>
    </row>
    <row r="136" spans="1:9" x14ac:dyDescent="0.2">
      <c r="A136" s="12" t="s">
        <v>42</v>
      </c>
      <c r="B136" s="12" t="s">
        <v>43</v>
      </c>
      <c r="C136" s="12" t="s">
        <v>0</v>
      </c>
      <c r="D136" s="12" t="s">
        <v>44</v>
      </c>
      <c r="E136" s="12" t="s">
        <v>45</v>
      </c>
      <c r="F136" s="12" t="s">
        <v>46</v>
      </c>
      <c r="G136" s="12" t="s">
        <v>47</v>
      </c>
      <c r="H136" s="12" t="s">
        <v>48</v>
      </c>
      <c r="I136" s="12" t="s">
        <v>49</v>
      </c>
    </row>
    <row r="137" spans="1:9" x14ac:dyDescent="0.2">
      <c r="A137">
        <v>10</v>
      </c>
      <c r="B137" t="str">
        <f t="shared" ref="B137:B157" ca="1" si="22">TEXT(WEEKDAY(C137),"ddd")</f>
        <v>Tue</v>
      </c>
      <c r="C137" s="2">
        <f ca="1">OFFSET(Data!$A$1,$C$29-A137,0,1,1)</f>
        <v>45587</v>
      </c>
      <c r="D137" s="5">
        <f ca="1">_xlfn.XLOOKUP(C137,Data!$A:$A,Data!$H:$H)</f>
        <v>-6.1940812112869503E-3</v>
      </c>
      <c r="E137" s="5">
        <f ca="1">$E$29+$F$29*_xlfn.XLOOKUP(C137,Data!$A:$A,Data!$F:$F)</f>
        <v>-6.1119187388626421E-3</v>
      </c>
      <c r="F137" s="5">
        <f t="shared" ref="F137:F157" ca="1" si="23">D137-E137</f>
        <v>-8.2162472424308214E-5</v>
      </c>
      <c r="G137" s="13">
        <f t="shared" ref="G137:G157" ca="1" si="24">F137/$I$29</f>
        <v>-5.1311154632390681E-3</v>
      </c>
      <c r="H137" t="str">
        <f t="shared" ref="H137:H157" ca="1" si="25">IF(ABS(G137)&lt;$B$6,"No","Yes")</f>
        <v>No</v>
      </c>
      <c r="I137" s="5">
        <f t="shared" ref="I137:I156" ca="1" si="26">(1+I138)*(1+F137)-1</f>
        <v>-4.609679270160516E-2</v>
      </c>
    </row>
    <row r="138" spans="1:9" x14ac:dyDescent="0.2">
      <c r="A138">
        <v>9</v>
      </c>
      <c r="B138" t="str">
        <f t="shared" ca="1" si="22"/>
        <v>Mon</v>
      </c>
      <c r="C138" s="2">
        <f ca="1">OFFSET(Data!$A$1,$C$29-A138,0,1,1)</f>
        <v>45586</v>
      </c>
      <c r="D138" s="5">
        <f ca="1">_xlfn.XLOOKUP(C138,Data!$A:$A,Data!$H:$H)</f>
        <v>0</v>
      </c>
      <c r="E138" s="5">
        <f ca="1">$E$29+$F$29*_xlfn.XLOOKUP(C138,Data!$A:$A,Data!$F:$F)</f>
        <v>-1.6211382989991553E-3</v>
      </c>
      <c r="F138" s="5">
        <f t="shared" ca="1" si="23"/>
        <v>1.6211382989991553E-3</v>
      </c>
      <c r="G138" s="13">
        <f t="shared" ca="1" si="24"/>
        <v>0.10124144939414759</v>
      </c>
      <c r="H138" t="str">
        <f t="shared" ca="1" si="25"/>
        <v>No</v>
      </c>
      <c r="I138" s="5">
        <f t="shared" ca="1" si="26"/>
        <v>-4.6018411215623334E-2</v>
      </c>
    </row>
    <row r="139" spans="1:9" x14ac:dyDescent="0.2">
      <c r="A139">
        <v>8</v>
      </c>
      <c r="B139" t="str">
        <f t="shared" ca="1" si="22"/>
        <v>Sun</v>
      </c>
      <c r="C139" s="2">
        <f ca="1">OFFSET(Data!$A$1,$C$29-A139,0,1,1)</f>
        <v>45585</v>
      </c>
      <c r="D139" s="5">
        <f ca="1">_xlfn.XLOOKUP(C139,Data!$A:$A,Data!$H:$H)</f>
        <v>1.8648345485137385E-2</v>
      </c>
      <c r="E139" s="5">
        <f ca="1">$E$29+$F$29*_xlfn.XLOOKUP(C139,Data!$A:$A,Data!$F:$F)</f>
        <v>1.4268314603267078E-2</v>
      </c>
      <c r="F139" s="5">
        <f t="shared" ca="1" si="23"/>
        <v>4.3800308818703077E-3</v>
      </c>
      <c r="G139" s="13">
        <f t="shared" ca="1" si="24"/>
        <v>0.27353661013711417</v>
      </c>
      <c r="H139" t="str">
        <f t="shared" ca="1" si="25"/>
        <v>No</v>
      </c>
      <c r="I139" s="5">
        <f t="shared" ca="1" si="26"/>
        <v>-4.7562444214712118E-2</v>
      </c>
    </row>
    <row r="140" spans="1:9" x14ac:dyDescent="0.2">
      <c r="A140">
        <v>7</v>
      </c>
      <c r="B140" t="str">
        <f t="shared" ca="1" si="22"/>
        <v>Tue</v>
      </c>
      <c r="C140" s="2">
        <f ca="1">OFFSET(Data!$A$1,$C$29-A140,0,1,1)</f>
        <v>45580</v>
      </c>
      <c r="D140" s="5">
        <f ca="1">_xlfn.XLOOKUP(C140,Data!$A:$A,Data!$H:$H)</f>
        <v>-1.749552279928368E-2</v>
      </c>
      <c r="E140" s="5">
        <f ca="1">$E$29+$F$29*_xlfn.XLOOKUP(C140,Data!$A:$A,Data!$F:$F)</f>
        <v>4.3575758726551537E-3</v>
      </c>
      <c r="F140" s="5">
        <f t="shared" ca="1" si="23"/>
        <v>-2.1853098671938832E-2</v>
      </c>
      <c r="G140" s="13">
        <f t="shared" ca="1" si="24"/>
        <v>-1.3647443803322061</v>
      </c>
      <c r="H140" t="str">
        <f t="shared" ca="1" si="25"/>
        <v>No</v>
      </c>
      <c r="I140" s="5">
        <f t="shared" ca="1" si="26"/>
        <v>-5.1715957605186103E-2</v>
      </c>
    </row>
    <row r="141" spans="1:9" x14ac:dyDescent="0.2">
      <c r="A141">
        <v>6</v>
      </c>
      <c r="B141" t="str">
        <f t="shared" ca="1" si="22"/>
        <v>Mon</v>
      </c>
      <c r="C141" s="2">
        <f ca="1">OFFSET(Data!$A$1,$C$29-A141,0,1,1)</f>
        <v>45579</v>
      </c>
      <c r="D141" s="5">
        <f ca="1">_xlfn.XLOOKUP(C141,Data!$A:$A,Data!$H:$H)</f>
        <v>6.8927488282333194E-4</v>
      </c>
      <c r="E141" s="5">
        <f ca="1">$E$29+$F$29*_xlfn.XLOOKUP(C141,Data!$A:$A,Data!$F:$F)</f>
        <v>4.1787787661787812E-3</v>
      </c>
      <c r="F141" s="5">
        <f t="shared" ca="1" si="23"/>
        <v>-3.4895038833554493E-3</v>
      </c>
      <c r="G141" s="13">
        <f t="shared" ca="1" si="24"/>
        <v>-0.21792245056175572</v>
      </c>
      <c r="H141" t="str">
        <f t="shared" ca="1" si="25"/>
        <v>No</v>
      </c>
      <c r="I141" s="5">
        <f t="shared" ca="1" si="26"/>
        <v>-3.0530034796104277E-2</v>
      </c>
    </row>
    <row r="142" spans="1:9" x14ac:dyDescent="0.2">
      <c r="A142">
        <v>5</v>
      </c>
      <c r="B142" t="str">
        <f t="shared" ca="1" si="22"/>
        <v>Sun</v>
      </c>
      <c r="C142" s="2">
        <f ca="1">OFFSET(Data!$A$1,$C$29-A142,0,1,1)</f>
        <v>45578</v>
      </c>
      <c r="D142" s="5">
        <f ca="1">_xlfn.XLOOKUP(C142,Data!$A:$A,Data!$H:$H)</f>
        <v>1.7391304347825987E-2</v>
      </c>
      <c r="E142" s="5">
        <f ca="1">$E$29+$F$29*_xlfn.XLOOKUP(C142,Data!$A:$A,Data!$F:$F)</f>
        <v>5.9087521480817072E-3</v>
      </c>
      <c r="F142" s="5">
        <f t="shared" ca="1" si="23"/>
        <v>1.148255219974428E-2</v>
      </c>
      <c r="G142" s="13">
        <f t="shared" ca="1" si="24"/>
        <v>0.71709503634808291</v>
      </c>
      <c r="H142" t="str">
        <f t="shared" ca="1" si="25"/>
        <v>No</v>
      </c>
      <c r="I142" s="5">
        <f t="shared" ca="1" si="26"/>
        <v>-2.7135219366102525E-2</v>
      </c>
    </row>
    <row r="143" spans="1:9" x14ac:dyDescent="0.2">
      <c r="A143">
        <v>4</v>
      </c>
      <c r="B143" t="str">
        <f t="shared" ca="1" si="22"/>
        <v>Thu</v>
      </c>
      <c r="C143" s="2">
        <f ca="1">OFFSET(Data!$A$1,$C$29-A143,0,1,1)</f>
        <v>45575</v>
      </c>
      <c r="D143" s="5">
        <f ca="1">_xlfn.XLOOKUP(C143,Data!$A:$A,Data!$H:$H)</f>
        <v>-7.5167037861915142E-3</v>
      </c>
      <c r="E143" s="5">
        <f ca="1">$E$29+$F$29*_xlfn.XLOOKUP(C143,Data!$A:$A,Data!$F:$F)</f>
        <v>-6.6016726393515529E-3</v>
      </c>
      <c r="F143" s="5">
        <f t="shared" ca="1" si="23"/>
        <v>-9.1503114683996137E-4</v>
      </c>
      <c r="G143" s="13">
        <f t="shared" ca="1" si="24"/>
        <v>-5.7144464234827781E-2</v>
      </c>
      <c r="H143" t="str">
        <f t="shared" ca="1" si="25"/>
        <v>No</v>
      </c>
      <c r="I143" s="5">
        <f t="shared" ca="1" si="26"/>
        <v>-3.8179374900597196E-2</v>
      </c>
    </row>
    <row r="144" spans="1:9" x14ac:dyDescent="0.2">
      <c r="A144">
        <v>3</v>
      </c>
      <c r="B144" t="str">
        <f t="shared" ca="1" si="22"/>
        <v>Wed</v>
      </c>
      <c r="C144" s="2">
        <f ca="1">OFFSET(Data!$A$1,$C$29-A144,0,1,1)</f>
        <v>45574</v>
      </c>
      <c r="D144" s="5">
        <f ca="1">_xlfn.XLOOKUP(C144,Data!$A:$A,Data!$H:$H)</f>
        <v>-1.3728720483250911E-2</v>
      </c>
      <c r="E144" s="5">
        <f ca="1">$E$29+$F$29*_xlfn.XLOOKUP(C144,Data!$A:$A,Data!$F:$F)</f>
        <v>4.7243600507221439E-3</v>
      </c>
      <c r="F144" s="5">
        <f t="shared" ca="1" si="23"/>
        <v>-1.8453080533973057E-2</v>
      </c>
      <c r="G144" s="13">
        <f t="shared" ca="1" si="24"/>
        <v>-1.1524103897858355</v>
      </c>
      <c r="H144" t="str">
        <f t="shared" ca="1" si="25"/>
        <v>No</v>
      </c>
      <c r="I144" s="5">
        <f t="shared" ca="1" si="26"/>
        <v>-3.7298473018298473E-2</v>
      </c>
    </row>
    <row r="145" spans="1:9" x14ac:dyDescent="0.2">
      <c r="A145">
        <v>2</v>
      </c>
      <c r="B145" t="str">
        <f t="shared" ca="1" si="22"/>
        <v>Tue</v>
      </c>
      <c r="C145" s="2">
        <f ca="1">OFFSET(Data!$A$1,$C$29-A145,0,1,1)</f>
        <v>45573</v>
      </c>
      <c r="D145" s="5">
        <f ca="1">_xlfn.XLOOKUP(C145,Data!$A:$A,Data!$H:$H)</f>
        <v>-8.8447407810586798E-3</v>
      </c>
      <c r="E145" s="5">
        <f ca="1">$E$29+$F$29*_xlfn.XLOOKUP(C145,Data!$A:$A,Data!$F:$F)</f>
        <v>6.0860470903343906E-4</v>
      </c>
      <c r="F145" s="5">
        <f t="shared" ca="1" si="23"/>
        <v>-9.4533454900921181E-3</v>
      </c>
      <c r="G145" s="13">
        <f t="shared" ca="1" si="24"/>
        <v>-0.59036937171333403</v>
      </c>
      <c r="H145" t="str">
        <f t="shared" ca="1" si="25"/>
        <v>No</v>
      </c>
      <c r="I145" s="5">
        <f t="shared" ca="1" si="26"/>
        <v>-1.9199685833232949E-2</v>
      </c>
    </row>
    <row r="146" spans="1:9" x14ac:dyDescent="0.2">
      <c r="A146">
        <v>1</v>
      </c>
      <c r="B146" t="str">
        <f t="shared" ca="1" si="22"/>
        <v>Mon</v>
      </c>
      <c r="C146" s="2">
        <f ca="1">OFFSET(Data!$A$1,$C$29-A146,0,1,1)</f>
        <v>45572</v>
      </c>
      <c r="D146" s="5">
        <f ca="1">_xlfn.XLOOKUP(C146,Data!$A:$A,Data!$H:$H)</f>
        <v>9.3393764592775153E-3</v>
      </c>
      <c r="E146" s="5">
        <f ca="1">$E$29+$F$29*_xlfn.XLOOKUP(C146,Data!$A:$A,Data!$F:$F)</f>
        <v>1.6267243309410937E-3</v>
      </c>
      <c r="F146" s="5">
        <f t="shared" ca="1" si="23"/>
        <v>7.7126521283364217E-3</v>
      </c>
      <c r="G146" s="13">
        <f t="shared" ca="1" si="24"/>
        <v>0.48166160815996079</v>
      </c>
      <c r="H146" t="str">
        <f t="shared" ca="1" si="25"/>
        <v>No</v>
      </c>
      <c r="I146" s="5">
        <f t="shared" ca="1" si="26"/>
        <v>-9.8393551669335721E-3</v>
      </c>
    </row>
    <row r="147" spans="1:9" x14ac:dyDescent="0.2">
      <c r="A147">
        <v>0</v>
      </c>
      <c r="B147" t="str">
        <f t="shared" ca="1" si="22"/>
        <v>Sun</v>
      </c>
      <c r="C147" s="2">
        <f ca="1">OFFSET(Data!$A$1,$C$29-A147,0,1,1)</f>
        <v>45571</v>
      </c>
      <c r="D147" s="5">
        <f ca="1">_xlfn.XLOOKUP(C147,Data!$A:$A,Data!$H:$H)</f>
        <v>-2.6213722081048552E-2</v>
      </c>
      <c r="E147" s="5">
        <f ca="1">$E$29+$F$29*_xlfn.XLOOKUP(C147,Data!$A:$A,Data!$F:$F)</f>
        <v>-2.4533822544498397E-3</v>
      </c>
      <c r="F147" s="5">
        <f t="shared" ca="1" si="23"/>
        <v>-2.3760339826598711E-2</v>
      </c>
      <c r="G147" s="13">
        <f t="shared" ca="1" si="24"/>
        <v>-1.4838531935415067</v>
      </c>
      <c r="H147" t="str">
        <f t="shared" ca="1" si="25"/>
        <v>No</v>
      </c>
      <c r="I147" s="5">
        <f t="shared" ca="1" si="26"/>
        <v>-1.7417670859048218E-2</v>
      </c>
    </row>
    <row r="148" spans="1:9" x14ac:dyDescent="0.2">
      <c r="A148">
        <v>-1</v>
      </c>
      <c r="B148" t="str">
        <f t="shared" ca="1" si="22"/>
        <v>Tue</v>
      </c>
      <c r="C148" s="2">
        <f ca="1">OFFSET(Data!$A$1,$C$29-A148,0,1,1)</f>
        <v>45566</v>
      </c>
      <c r="D148" s="5">
        <f ca="1">_xlfn.XLOOKUP(C148,Data!$A:$A,Data!$H:$H)</f>
        <v>3.0855916286558482E-3</v>
      </c>
      <c r="E148" s="5">
        <f ca="1">$E$29+$F$29*_xlfn.XLOOKUP(C148,Data!$A:$A,Data!$F:$F)</f>
        <v>-8.41378893996589E-3</v>
      </c>
      <c r="F148" s="5">
        <f t="shared" ca="1" si="23"/>
        <v>1.1499380568621738E-2</v>
      </c>
      <c r="G148" s="13">
        <f t="shared" ca="1" si="24"/>
        <v>0.71814598212929415</v>
      </c>
      <c r="H148" t="str">
        <f t="shared" ca="1" si="25"/>
        <v>No</v>
      </c>
      <c r="I148" s="5">
        <f t="shared" ca="1" si="26"/>
        <v>6.4970408664035695E-3</v>
      </c>
    </row>
    <row r="149" spans="1:9" x14ac:dyDescent="0.2">
      <c r="A149">
        <v>-2</v>
      </c>
      <c r="B149" t="str">
        <f t="shared" ca="1" si="22"/>
        <v>Mon</v>
      </c>
      <c r="C149" s="2">
        <f ca="1">OFFSET(Data!$A$1,$C$29-A149,0,1,1)</f>
        <v>45565</v>
      </c>
      <c r="D149" s="5">
        <f ca="1">_xlfn.XLOOKUP(C149,Data!$A:$A,Data!$H:$H)</f>
        <v>9.2066070945031608E-3</v>
      </c>
      <c r="E149" s="5">
        <f ca="1">$E$29+$F$29*_xlfn.XLOOKUP(C149,Data!$A:$A,Data!$F:$F)</f>
        <v>1.6846819034304174E-3</v>
      </c>
      <c r="F149" s="5">
        <f t="shared" ca="1" si="23"/>
        <v>7.5219251910727432E-3</v>
      </c>
      <c r="G149" s="13">
        <f t="shared" ca="1" si="24"/>
        <v>0.46975055061539311</v>
      </c>
      <c r="H149" t="str">
        <f t="shared" ca="1" si="25"/>
        <v>No</v>
      </c>
      <c r="I149" s="5">
        <f t="shared" ca="1" si="26"/>
        <v>-4.9454698621821391E-3</v>
      </c>
    </row>
    <row r="150" spans="1:9" x14ac:dyDescent="0.2">
      <c r="A150">
        <v>-3</v>
      </c>
      <c r="B150" t="str">
        <f t="shared" ca="1" si="22"/>
        <v>Sun</v>
      </c>
      <c r="C150" s="2">
        <f ca="1">OFFSET(Data!$A$1,$C$29-A150,0,1,1)</f>
        <v>45564</v>
      </c>
      <c r="D150" s="5">
        <f ca="1">_xlfn.XLOOKUP(C150,Data!$A:$A,Data!$H:$H)</f>
        <v>1.1642240788932945E-2</v>
      </c>
      <c r="E150" s="5">
        <f ca="1">$E$29+$F$29*_xlfn.XLOOKUP(C150,Data!$A:$A,Data!$F:$F)</f>
        <v>6.9843835785602234E-3</v>
      </c>
      <c r="F150" s="5">
        <f t="shared" ca="1" si="23"/>
        <v>4.6578572103727215E-3</v>
      </c>
      <c r="G150" s="13">
        <f t="shared" ca="1" si="24"/>
        <v>0.29088709787452932</v>
      </c>
      <c r="H150" t="str">
        <f t="shared" ca="1" si="25"/>
        <v>No</v>
      </c>
      <c r="I150" s="5">
        <f t="shared" ca="1" si="26"/>
        <v>-1.2374316371219884E-2</v>
      </c>
    </row>
    <row r="151" spans="1:9" x14ac:dyDescent="0.2">
      <c r="A151">
        <v>-4</v>
      </c>
      <c r="B151" t="str">
        <f t="shared" ca="1" si="22"/>
        <v>Thu</v>
      </c>
      <c r="C151" s="2">
        <f ca="1">OFFSET(Data!$A$1,$C$29-A151,0,1,1)</f>
        <v>45561</v>
      </c>
      <c r="D151" s="5">
        <f ca="1">_xlfn.XLOOKUP(C151,Data!$A:$A,Data!$H:$H)</f>
        <v>1.290233074361824E-2</v>
      </c>
      <c r="E151" s="5">
        <f ca="1">$E$29+$F$29*_xlfn.XLOOKUP(C151,Data!$A:$A,Data!$F:$F)</f>
        <v>1.0126736961760764E-2</v>
      </c>
      <c r="F151" s="5">
        <f t="shared" ca="1" si="23"/>
        <v>2.7755937818574761E-3</v>
      </c>
      <c r="G151" s="13">
        <f t="shared" ca="1" si="24"/>
        <v>0.17333816465758595</v>
      </c>
      <c r="H151" t="str">
        <f t="shared" ca="1" si="25"/>
        <v>No</v>
      </c>
      <c r="I151" s="5">
        <f t="shared" ca="1" si="26"/>
        <v>-1.6953207959658823E-2</v>
      </c>
    </row>
    <row r="152" spans="1:9" x14ac:dyDescent="0.2">
      <c r="A152">
        <v>-5</v>
      </c>
      <c r="B152" t="str">
        <f t="shared" ca="1" si="22"/>
        <v>Wed</v>
      </c>
      <c r="C152" s="2">
        <f ca="1">OFFSET(Data!$A$1,$C$29-A152,0,1,1)</f>
        <v>45560</v>
      </c>
      <c r="D152" s="5">
        <f ca="1">_xlfn.XLOOKUP(C152,Data!$A:$A,Data!$H:$H)</f>
        <v>2.8979300499643035E-2</v>
      </c>
      <c r="E152" s="5">
        <f ca="1">$E$29+$F$29*_xlfn.XLOOKUP(C152,Data!$A:$A,Data!$F:$F)</f>
        <v>5.9329260745207462E-3</v>
      </c>
      <c r="F152" s="5">
        <f t="shared" ca="1" si="23"/>
        <v>2.3046374425122289E-2</v>
      </c>
      <c r="G152" s="13">
        <f t="shared" ca="1" si="24"/>
        <v>1.4392654541072014</v>
      </c>
      <c r="H152" t="str">
        <f t="shared" ca="1" si="25"/>
        <v>No</v>
      </c>
      <c r="I152" s="5">
        <f t="shared" ca="1" si="26"/>
        <v>-1.9674194170513526E-2</v>
      </c>
    </row>
    <row r="153" spans="1:9" x14ac:dyDescent="0.2">
      <c r="A153">
        <v>-6</v>
      </c>
      <c r="B153" t="str">
        <f t="shared" ca="1" si="22"/>
        <v>Tue</v>
      </c>
      <c r="C153" s="2">
        <f ca="1">OFFSET(Data!$A$1,$C$29-A153,0,1,1)</f>
        <v>45559</v>
      </c>
      <c r="D153" s="5">
        <f ca="1">_xlfn.XLOOKUP(C153,Data!$A:$A,Data!$H:$H)</f>
        <v>3.8693035253654084E-3</v>
      </c>
      <c r="E153" s="5">
        <f ca="1">$E$29+$F$29*_xlfn.XLOOKUP(C153,Data!$A:$A,Data!$F:$F)</f>
        <v>8.224868125801945E-3</v>
      </c>
      <c r="F153" s="5">
        <f t="shared" ca="1" si="23"/>
        <v>-4.3555646004365366E-3</v>
      </c>
      <c r="G153" s="13">
        <f t="shared" ca="1" si="24"/>
        <v>-0.2720086702968369</v>
      </c>
      <c r="H153" t="str">
        <f t="shared" ca="1" si="25"/>
        <v>No</v>
      </c>
      <c r="I153" s="5">
        <f t="shared" ca="1" si="26"/>
        <v>-4.1758193629923945E-2</v>
      </c>
    </row>
    <row r="154" spans="1:9" x14ac:dyDescent="0.2">
      <c r="A154">
        <v>-7</v>
      </c>
      <c r="B154" t="str">
        <f t="shared" ca="1" si="22"/>
        <v>Mon</v>
      </c>
      <c r="C154" s="2">
        <f ca="1">OFFSET(Data!$A$1,$C$29-A154,0,1,1)</f>
        <v>45558</v>
      </c>
      <c r="D154" s="5">
        <f ca="1">_xlfn.XLOOKUP(C154,Data!$A:$A,Data!$H:$H)</f>
        <v>-1.8979333614508653E-2</v>
      </c>
      <c r="E154" s="5">
        <f ca="1">$E$29+$F$29*_xlfn.XLOOKUP(C154,Data!$A:$A,Data!$F:$F)</f>
        <v>4.0004013882200262E-3</v>
      </c>
      <c r="F154" s="5">
        <f t="shared" ca="1" si="23"/>
        <v>-2.297973500272868E-2</v>
      </c>
      <c r="G154" s="13">
        <f t="shared" ca="1" si="24"/>
        <v>-1.4351037661660289</v>
      </c>
      <c r="H154" t="str">
        <f t="shared" ca="1" si="25"/>
        <v>No</v>
      </c>
      <c r="I154" s="5">
        <f t="shared" ca="1" si="26"/>
        <v>-3.7566251263662531E-2</v>
      </c>
    </row>
    <row r="155" spans="1:9" x14ac:dyDescent="0.2">
      <c r="A155">
        <v>-8</v>
      </c>
      <c r="B155" t="str">
        <f t="shared" ca="1" si="22"/>
        <v>Sun</v>
      </c>
      <c r="C155" s="2">
        <f ca="1">OFFSET(Data!$A$1,$C$29-A155,0,1,1)</f>
        <v>45557</v>
      </c>
      <c r="D155" s="5">
        <f ca="1">_xlfn.XLOOKUP(C155,Data!$A:$A,Data!$H:$H)</f>
        <v>0</v>
      </c>
      <c r="E155" s="5">
        <f ca="1">$E$29+$F$29*_xlfn.XLOOKUP(C155,Data!$A:$A,Data!$F:$F)</f>
        <v>4.824557270144773E-3</v>
      </c>
      <c r="F155" s="5">
        <f t="shared" ca="1" si="23"/>
        <v>-4.824557270144773E-3</v>
      </c>
      <c r="G155" s="13">
        <f t="shared" ca="1" si="24"/>
        <v>-0.30129765672434056</v>
      </c>
      <c r="H155" t="str">
        <f t="shared" ca="1" si="25"/>
        <v>No</v>
      </c>
      <c r="I155" s="5">
        <f t="shared" ca="1" si="26"/>
        <v>-1.4929594383566447E-2</v>
      </c>
    </row>
    <row r="156" spans="1:9" x14ac:dyDescent="0.2">
      <c r="A156">
        <v>-9</v>
      </c>
      <c r="B156" t="str">
        <f t="shared" ca="1" si="22"/>
        <v>Thu</v>
      </c>
      <c r="C156" s="2">
        <f ca="1">OFFSET(Data!$A$1,$C$29-A156,0,1,1)</f>
        <v>45554</v>
      </c>
      <c r="D156" s="5">
        <f ca="1">_xlfn.XLOOKUP(C156,Data!$A:$A,Data!$H:$H)</f>
        <v>-1.5501730103806177E-2</v>
      </c>
      <c r="E156" s="5">
        <f ca="1">$E$29+$F$29*_xlfn.XLOOKUP(C156,Data!$A:$A,Data!$F:$F)</f>
        <v>-2.0840387222201633E-3</v>
      </c>
      <c r="F156" s="5">
        <f t="shared" ca="1" si="23"/>
        <v>-1.3417691381586013E-2</v>
      </c>
      <c r="G156" s="13">
        <f t="shared" ca="1" si="24"/>
        <v>-0.83794610480412712</v>
      </c>
      <c r="H156" t="str">
        <f t="shared" ca="1" si="25"/>
        <v>No</v>
      </c>
      <c r="I156" s="5">
        <f t="shared" ca="1" si="26"/>
        <v>-1.0154025792379562E-2</v>
      </c>
    </row>
    <row r="157" spans="1:9" x14ac:dyDescent="0.2">
      <c r="A157">
        <v>-10</v>
      </c>
      <c r="B157" t="str">
        <f t="shared" ca="1" si="22"/>
        <v>Wed</v>
      </c>
      <c r="C157" s="2">
        <f ca="1">OFFSET(Data!$A$1,$C$29-A157,0,1,1)</f>
        <v>45553</v>
      </c>
      <c r="D157" s="5">
        <f ca="1">_xlfn.XLOOKUP(C157,Data!$A:$A,Data!$H:$H)</f>
        <v>5.1474680022258745E-3</v>
      </c>
      <c r="E157" s="5">
        <f ca="1">$E$29+$F$29*_xlfn.XLOOKUP(C157,Data!$A:$A,Data!$F:$F)</f>
        <v>1.8394159920729087E-3</v>
      </c>
      <c r="F157" s="5">
        <f t="shared" ca="1" si="23"/>
        <v>3.3080520101529658E-3</v>
      </c>
      <c r="G157" s="13">
        <f t="shared" ca="1" si="24"/>
        <v>0.20659062856381519</v>
      </c>
      <c r="H157" t="str">
        <f t="shared" ca="1" si="25"/>
        <v>No</v>
      </c>
      <c r="I157" s="5">
        <f ca="1">F157</f>
        <v>3.3080520101529658E-3</v>
      </c>
    </row>
    <row r="159" spans="1:9" x14ac:dyDescent="0.2">
      <c r="A159" s="3" t="s">
        <v>54</v>
      </c>
      <c r="B159" t="str">
        <f>E15</f>
        <v>Israel-Lebanon ceasefire</v>
      </c>
    </row>
    <row r="160" spans="1:9" x14ac:dyDescent="0.2">
      <c r="A160" s="12" t="s">
        <v>42</v>
      </c>
      <c r="B160" s="12" t="s">
        <v>43</v>
      </c>
      <c r="C160" s="12" t="s">
        <v>0</v>
      </c>
      <c r="D160" s="12" t="s">
        <v>44</v>
      </c>
      <c r="E160" s="12" t="s">
        <v>45</v>
      </c>
      <c r="F160" s="12" t="s">
        <v>46</v>
      </c>
      <c r="G160" s="12" t="s">
        <v>47</v>
      </c>
      <c r="H160" s="12" t="s">
        <v>48</v>
      </c>
      <c r="I160" s="12" t="s">
        <v>49</v>
      </c>
    </row>
    <row r="161" spans="1:9" x14ac:dyDescent="0.2">
      <c r="A161">
        <v>10</v>
      </c>
      <c r="B161" t="str">
        <f t="shared" ref="B161:B181" ca="1" si="27">TEXT(WEEKDAY(C161),"ddd")</f>
        <v>Wed</v>
      </c>
      <c r="C161" s="2">
        <f ca="1">OFFSET(Data!$A$1,$C$30-A161,0,1,1)</f>
        <v>45637</v>
      </c>
      <c r="D161" s="5">
        <f ca="1">_xlfn.XLOOKUP(C161,Data!$A:$A,Data!$H:$H)</f>
        <v>-9.6729617687701941E-3</v>
      </c>
      <c r="E161" s="5">
        <f ca="1">$E$30+$F$30*_xlfn.XLOOKUP(C161,Data!$A:$A,Data!$F:$F)</f>
        <v>-4.1434241290833965E-3</v>
      </c>
      <c r="F161" s="5">
        <f t="shared" ref="F161:F181" ca="1" si="28">D161-E161</f>
        <v>-5.5295376396867976E-3</v>
      </c>
      <c r="G161" s="13">
        <f t="shared" ref="G161:G181" ca="1" si="29">F161/$I$30</f>
        <v>-0.34577882242948599</v>
      </c>
      <c r="H161" t="str">
        <f t="shared" ref="H161:H181" ca="1" si="30">IF(ABS(G161)&lt;$B$6,"No","Yes")</f>
        <v>No</v>
      </c>
      <c r="I161" s="5">
        <f t="shared" ref="I161:I180" ca="1" si="31">(1+I162)*(1+F161)-1</f>
        <v>6.1173280675709041E-2</v>
      </c>
    </row>
    <row r="162" spans="1:9" x14ac:dyDescent="0.2">
      <c r="A162">
        <v>9</v>
      </c>
      <c r="B162" t="str">
        <f t="shared" ca="1" si="27"/>
        <v>Tue</v>
      </c>
      <c r="C162" s="2">
        <f ca="1">OFFSET(Data!$A$1,$C$30-A162,0,1,1)</f>
        <v>45636</v>
      </c>
      <c r="D162" s="5">
        <f ca="1">_xlfn.XLOOKUP(C162,Data!$A:$A,Data!$H:$H)</f>
        <v>-1.6095654173373664E-3</v>
      </c>
      <c r="E162" s="5">
        <f ca="1">$E$30+$F$30*_xlfn.XLOOKUP(C162,Data!$A:$A,Data!$F:$F)</f>
        <v>-2.48714949874359E-3</v>
      </c>
      <c r="F162" s="5">
        <f t="shared" ca="1" si="28"/>
        <v>8.7758408140622361E-4</v>
      </c>
      <c r="G162" s="13">
        <f t="shared" ca="1" si="29"/>
        <v>5.4878004278978751E-2</v>
      </c>
      <c r="H162" t="str">
        <f t="shared" ca="1" si="30"/>
        <v>No</v>
      </c>
      <c r="I162" s="5">
        <f t="shared" ca="1" si="31"/>
        <v>6.7073704891225105E-2</v>
      </c>
    </row>
    <row r="163" spans="1:9" x14ac:dyDescent="0.2">
      <c r="A163">
        <v>8</v>
      </c>
      <c r="B163" t="str">
        <f t="shared" ca="1" si="27"/>
        <v>Mon</v>
      </c>
      <c r="C163" s="2">
        <f ca="1">OFFSET(Data!$A$1,$C$30-A163,0,1,1)</f>
        <v>45635</v>
      </c>
      <c r="D163" s="5">
        <f ca="1">_xlfn.XLOOKUP(C163,Data!$A:$A,Data!$H:$H)</f>
        <v>2.934911242603544E-2</v>
      </c>
      <c r="E163" s="5">
        <f ca="1">$E$30+$F$30*_xlfn.XLOOKUP(C163,Data!$A:$A,Data!$F:$F)</f>
        <v>6.1186298232695701E-3</v>
      </c>
      <c r="F163" s="5">
        <f t="shared" ca="1" si="28"/>
        <v>2.3230482602765869E-2</v>
      </c>
      <c r="G163" s="13">
        <f t="shared" ca="1" si="29"/>
        <v>1.4526727987528489</v>
      </c>
      <c r="H163" t="str">
        <f t="shared" ca="1" si="30"/>
        <v>No</v>
      </c>
      <c r="I163" s="5">
        <f t="shared" ca="1" si="31"/>
        <v>6.6138079084439694E-2</v>
      </c>
    </row>
    <row r="164" spans="1:9" x14ac:dyDescent="0.2">
      <c r="A164">
        <v>7</v>
      </c>
      <c r="B164" t="str">
        <f t="shared" ca="1" si="27"/>
        <v>Sun</v>
      </c>
      <c r="C164" s="2">
        <f ca="1">OFFSET(Data!$A$1,$C$30-A164,0,1,1)</f>
        <v>45634</v>
      </c>
      <c r="D164" s="5">
        <f ca="1">_xlfn.XLOOKUP(C164,Data!$A:$A,Data!$H:$H)</f>
        <v>1.0040640688500968E-2</v>
      </c>
      <c r="E164" s="5">
        <f ca="1">$E$30+$F$30*_xlfn.XLOOKUP(C164,Data!$A:$A,Data!$F:$F)</f>
        <v>7.4108792307722585E-3</v>
      </c>
      <c r="F164" s="5">
        <f t="shared" ca="1" si="28"/>
        <v>2.6297614577287095E-3</v>
      </c>
      <c r="G164" s="13">
        <f t="shared" ca="1" si="29"/>
        <v>0.16444698985273329</v>
      </c>
      <c r="H164" t="str">
        <f t="shared" ca="1" si="30"/>
        <v>No</v>
      </c>
      <c r="I164" s="5">
        <f t="shared" ca="1" si="31"/>
        <v>4.193346192397529E-2</v>
      </c>
    </row>
    <row r="165" spans="1:9" x14ac:dyDescent="0.2">
      <c r="A165">
        <v>6</v>
      </c>
      <c r="B165" t="str">
        <f t="shared" ca="1" si="27"/>
        <v>Thu</v>
      </c>
      <c r="C165" s="2">
        <f ca="1">OFFSET(Data!$A$1,$C$30-A165,0,1,1)</f>
        <v>45631</v>
      </c>
      <c r="D165" s="5">
        <f ca="1">_xlfn.XLOOKUP(C165,Data!$A:$A,Data!$H:$H)</f>
        <v>-1.541720607273156E-2</v>
      </c>
      <c r="E165" s="5">
        <f ca="1">$E$30+$F$30*_xlfn.XLOOKUP(C165,Data!$A:$A,Data!$F:$F)</f>
        <v>-4.2817144649861546E-4</v>
      </c>
      <c r="F165" s="5">
        <f t="shared" ca="1" si="28"/>
        <v>-1.4989034626232944E-2</v>
      </c>
      <c r="G165" s="13">
        <f t="shared" ca="1" si="29"/>
        <v>-0.93730996696989399</v>
      </c>
      <c r="H165" t="str">
        <f t="shared" ca="1" si="30"/>
        <v>No</v>
      </c>
      <c r="I165" s="5">
        <f t="shared" ca="1" si="31"/>
        <v>3.920061220714488E-2</v>
      </c>
    </row>
    <row r="166" spans="1:9" x14ac:dyDescent="0.2">
      <c r="A166">
        <v>5</v>
      </c>
      <c r="B166" t="str">
        <f t="shared" ca="1" si="27"/>
        <v>Wed</v>
      </c>
      <c r="C166" s="2">
        <f ca="1">OFFSET(Data!$A$1,$C$30-A166,0,1,1)</f>
        <v>45630</v>
      </c>
      <c r="D166" s="5">
        <f ca="1">_xlfn.XLOOKUP(C166,Data!$A:$A,Data!$H:$H)</f>
        <v>-6.1988304093567592E-3</v>
      </c>
      <c r="E166" s="5">
        <f ca="1">$E$30+$F$30*_xlfn.XLOOKUP(C166,Data!$A:$A,Data!$F:$F)</f>
        <v>1.9483939366680206E-3</v>
      </c>
      <c r="F166" s="5">
        <f t="shared" ca="1" si="28"/>
        <v>-8.1472243460247798E-3</v>
      </c>
      <c r="G166" s="13">
        <f t="shared" ca="1" si="29"/>
        <v>-0.50947074131804893</v>
      </c>
      <c r="H166" t="str">
        <f t="shared" ca="1" si="30"/>
        <v>No</v>
      </c>
      <c r="I166" s="5">
        <f t="shared" ca="1" si="31"/>
        <v>5.5014257443129377E-2</v>
      </c>
    </row>
    <row r="167" spans="1:9" x14ac:dyDescent="0.2">
      <c r="A167">
        <v>4</v>
      </c>
      <c r="B167" t="str">
        <f t="shared" ca="1" si="27"/>
        <v>Tue</v>
      </c>
      <c r="C167" s="2">
        <f ca="1">OFFSET(Data!$A$1,$C$30-A167,0,1,1)</f>
        <v>45629</v>
      </c>
      <c r="D167" s="5">
        <f ca="1">_xlfn.XLOOKUP(C167,Data!$A:$A,Data!$H:$H)</f>
        <v>2.7767760548142784E-2</v>
      </c>
      <c r="E167" s="5">
        <f ca="1">$E$30+$F$30*_xlfn.XLOOKUP(C167,Data!$A:$A,Data!$F:$F)</f>
        <v>7.4861424544996119E-3</v>
      </c>
      <c r="F167" s="5">
        <f t="shared" ca="1" si="28"/>
        <v>2.0281618093643171E-2</v>
      </c>
      <c r="G167" s="13">
        <f t="shared" ca="1" si="29"/>
        <v>1.2682713236366934</v>
      </c>
      <c r="H167" t="str">
        <f t="shared" ca="1" si="30"/>
        <v>No</v>
      </c>
      <c r="I167" s="5">
        <f t="shared" ca="1" si="31"/>
        <v>6.3680299475402213E-2</v>
      </c>
    </row>
    <row r="168" spans="1:9" x14ac:dyDescent="0.2">
      <c r="A168">
        <v>3</v>
      </c>
      <c r="B168" t="str">
        <f t="shared" ca="1" si="27"/>
        <v>Mon</v>
      </c>
      <c r="C168" s="2">
        <f ca="1">OFFSET(Data!$A$1,$C$30-A168,0,1,1)</f>
        <v>45628</v>
      </c>
      <c r="D168" s="5">
        <f ca="1">_xlfn.XLOOKUP(C168,Data!$A:$A,Data!$H:$H)</f>
        <v>-1.7595654227680724E-2</v>
      </c>
      <c r="E168" s="5">
        <f ca="1">$E$30+$F$30*_xlfn.XLOOKUP(C168,Data!$A:$A,Data!$F:$F)</f>
        <v>-3.1776669016101512E-4</v>
      </c>
      <c r="F168" s="5">
        <f t="shared" ca="1" si="28"/>
        <v>-1.7277887537519708E-2</v>
      </c>
      <c r="G168" s="13">
        <f t="shared" ca="1" si="29"/>
        <v>-1.0804389075704079</v>
      </c>
      <c r="H168" t="str">
        <f t="shared" ca="1" si="30"/>
        <v>No</v>
      </c>
      <c r="I168" s="5">
        <f t="shared" ca="1" si="31"/>
        <v>4.2535982822907048E-2</v>
      </c>
    </row>
    <row r="169" spans="1:9" x14ac:dyDescent="0.2">
      <c r="A169">
        <v>2</v>
      </c>
      <c r="B169" t="str">
        <f t="shared" ca="1" si="27"/>
        <v>Sun</v>
      </c>
      <c r="C169" s="2">
        <f ca="1">OFFSET(Data!$A$1,$C$30-A169,0,1,1)</f>
        <v>45627</v>
      </c>
      <c r="D169" s="5">
        <f ca="1">_xlfn.XLOOKUP(C169,Data!$A:$A,Data!$H:$H)</f>
        <v>-1.5806601580660162E-2</v>
      </c>
      <c r="E169" s="5">
        <f ca="1">$E$30+$F$30*_xlfn.XLOOKUP(C169,Data!$A:$A,Data!$F:$F)</f>
        <v>1.2520374996307468E-2</v>
      </c>
      <c r="F169" s="5">
        <f t="shared" ca="1" si="28"/>
        <v>-2.832697657696763E-2</v>
      </c>
      <c r="G169" s="13">
        <f t="shared" ca="1" si="29"/>
        <v>-1.7713720824452688</v>
      </c>
      <c r="H169" t="str">
        <f t="shared" ca="1" si="30"/>
        <v>No</v>
      </c>
      <c r="I169" s="5">
        <f t="shared" ca="1" si="31"/>
        <v>6.0865497582573536E-2</v>
      </c>
    </row>
    <row r="170" spans="1:9" x14ac:dyDescent="0.2">
      <c r="A170">
        <v>1</v>
      </c>
      <c r="B170" t="str">
        <f t="shared" ca="1" si="27"/>
        <v>Thu</v>
      </c>
      <c r="C170" s="2">
        <f ca="1">OFFSET(Data!$A$1,$C$30-A170,0,1,1)</f>
        <v>45624</v>
      </c>
      <c r="D170" s="5">
        <f ca="1">_xlfn.XLOOKUP(C170,Data!$A:$A,Data!$H:$H)</f>
        <v>-5.3179190751445615E-3</v>
      </c>
      <c r="E170" s="5">
        <f ca="1">$E$30+$F$30*_xlfn.XLOOKUP(C170,Data!$A:$A,Data!$F:$F)</f>
        <v>-3.9058339973255841E-3</v>
      </c>
      <c r="F170" s="5">
        <f t="shared" ca="1" si="28"/>
        <v>-1.4120850778189774E-3</v>
      </c>
      <c r="G170" s="13">
        <f t="shared" ca="1" si="29"/>
        <v>-8.8301978790065974E-2</v>
      </c>
      <c r="H170" t="str">
        <f t="shared" ca="1" si="30"/>
        <v>No</v>
      </c>
      <c r="I170" s="5">
        <f t="shared" ca="1" si="31"/>
        <v>9.1792683350754967E-2</v>
      </c>
    </row>
    <row r="171" spans="1:9" x14ac:dyDescent="0.2">
      <c r="A171">
        <v>0</v>
      </c>
      <c r="B171" t="str">
        <f t="shared" ca="1" si="27"/>
        <v>Wed</v>
      </c>
      <c r="C171" s="2">
        <f ca="1">OFFSET(Data!$A$1,$C$30-A171,0,1,1)</f>
        <v>45623</v>
      </c>
      <c r="D171" s="5">
        <f ca="1">_xlfn.XLOOKUP(C171,Data!$A:$A,Data!$H:$H)</f>
        <v>3.3946928042074997E-2</v>
      </c>
      <c r="E171" s="5">
        <f ca="1">$E$30+$F$30*_xlfn.XLOOKUP(C171,Data!$A:$A,Data!$F:$F)</f>
        <v>-7.2377938275288555E-3</v>
      </c>
      <c r="F171" s="5">
        <f t="shared" ca="1" si="28"/>
        <v>4.1184721869603855E-2</v>
      </c>
      <c r="G171" s="13">
        <f t="shared" ca="1" si="29"/>
        <v>2.575406039005486</v>
      </c>
      <c r="H171" t="str">
        <f t="shared" ca="1" si="30"/>
        <v>Yes</v>
      </c>
      <c r="I171" s="5">
        <f t="shared" ca="1" si="31"/>
        <v>9.3336567602900766E-2</v>
      </c>
    </row>
    <row r="172" spans="1:9" x14ac:dyDescent="0.2">
      <c r="A172">
        <v>-1</v>
      </c>
      <c r="B172" t="str">
        <f t="shared" ca="1" si="27"/>
        <v>Tue</v>
      </c>
      <c r="C172" s="2">
        <f ca="1">OFFSET(Data!$A$1,$C$30-A172,0,1,1)</f>
        <v>45622</v>
      </c>
      <c r="D172" s="5">
        <f ca="1">_xlfn.XLOOKUP(C172,Data!$A:$A,Data!$H:$H)</f>
        <v>1.2832929782082392E-2</v>
      </c>
      <c r="E172" s="5">
        <f ca="1">$E$30+$F$30*_xlfn.XLOOKUP(C172,Data!$A:$A,Data!$F:$F)</f>
        <v>6.1572139179214037E-3</v>
      </c>
      <c r="F172" s="5">
        <f t="shared" ca="1" si="28"/>
        <v>6.675715864160988E-3</v>
      </c>
      <c r="G172" s="13">
        <f t="shared" ca="1" si="29"/>
        <v>0.417452836167722</v>
      </c>
      <c r="H172" t="str">
        <f t="shared" ca="1" si="30"/>
        <v>No</v>
      </c>
      <c r="I172" s="5">
        <f t="shared" ca="1" si="31"/>
        <v>5.0088946406791734E-2</v>
      </c>
    </row>
    <row r="173" spans="1:9" x14ac:dyDescent="0.2">
      <c r="A173">
        <v>-2</v>
      </c>
      <c r="B173" t="str">
        <f t="shared" ca="1" si="27"/>
        <v>Mon</v>
      </c>
      <c r="C173" s="2">
        <f ca="1">OFFSET(Data!$A$1,$C$30-A173,0,1,1)</f>
        <v>45621</v>
      </c>
      <c r="D173" s="5">
        <f ca="1">_xlfn.XLOOKUP(C173,Data!$A:$A,Data!$H:$H)</f>
        <v>1.9753086419753041E-2</v>
      </c>
      <c r="E173" s="5">
        <f ca="1">$E$30+$F$30*_xlfn.XLOOKUP(C173,Data!$A:$A,Data!$F:$F)</f>
        <v>1.1187893872957226E-3</v>
      </c>
      <c r="F173" s="5">
        <f t="shared" ca="1" si="28"/>
        <v>1.8634297032457319E-2</v>
      </c>
      <c r="G173" s="13">
        <f t="shared" ca="1" si="29"/>
        <v>1.1652593226672237</v>
      </c>
      <c r="H173" t="str">
        <f t="shared" ca="1" si="30"/>
        <v>No</v>
      </c>
      <c r="I173" s="5">
        <f t="shared" ca="1" si="31"/>
        <v>4.312533803933416E-2</v>
      </c>
    </row>
    <row r="174" spans="1:9" x14ac:dyDescent="0.2">
      <c r="A174">
        <v>-3</v>
      </c>
      <c r="B174" t="str">
        <f t="shared" ca="1" si="27"/>
        <v>Sun</v>
      </c>
      <c r="C174" s="2">
        <f ca="1">OFFSET(Data!$A$1,$C$30-A174,0,1,1)</f>
        <v>45620</v>
      </c>
      <c r="D174" s="5">
        <f ca="1">_xlfn.XLOOKUP(C174,Data!$A:$A,Data!$H:$H)</f>
        <v>-3.3222591362126463E-3</v>
      </c>
      <c r="E174" s="5">
        <f ca="1">$E$30+$F$30*_xlfn.XLOOKUP(C174,Data!$A:$A,Data!$F:$F)</f>
        <v>7.2019744001655056E-3</v>
      </c>
      <c r="F174" s="5">
        <f t="shared" ca="1" si="28"/>
        <v>-1.0524233536378151E-2</v>
      </c>
      <c r="G174" s="13">
        <f t="shared" ca="1" si="29"/>
        <v>-0.658112362426719</v>
      </c>
      <c r="H174" t="str">
        <f t="shared" ca="1" si="30"/>
        <v>No</v>
      </c>
      <c r="I174" s="5">
        <f t="shared" ca="1" si="31"/>
        <v>2.4043016299593933E-2</v>
      </c>
    </row>
    <row r="175" spans="1:9" x14ac:dyDescent="0.2">
      <c r="A175">
        <v>-4</v>
      </c>
      <c r="B175" t="str">
        <f t="shared" ca="1" si="27"/>
        <v>Thu</v>
      </c>
      <c r="C175" s="2">
        <f ca="1">OFFSET(Data!$A$1,$C$30-A175,0,1,1)</f>
        <v>45617</v>
      </c>
      <c r="D175" s="5">
        <f ca="1">_xlfn.XLOOKUP(C175,Data!$A:$A,Data!$H:$H)</f>
        <v>-4.0441176470588092E-3</v>
      </c>
      <c r="E175" s="5">
        <f ca="1">$E$30+$F$30*_xlfn.XLOOKUP(C175,Data!$A:$A,Data!$F:$F)</f>
        <v>3.2612596306044056E-4</v>
      </c>
      <c r="F175" s="5">
        <f t="shared" ca="1" si="28"/>
        <v>-4.3702436101192496E-3</v>
      </c>
      <c r="G175" s="13">
        <f t="shared" ca="1" si="29"/>
        <v>-0.27328463746972759</v>
      </c>
      <c r="H175" t="str">
        <f t="shared" ca="1" si="30"/>
        <v>No</v>
      </c>
      <c r="I175" s="5">
        <f t="shared" ca="1" si="31"/>
        <v>3.4934913019158742E-2</v>
      </c>
    </row>
    <row r="176" spans="1:9" x14ac:dyDescent="0.2">
      <c r="A176">
        <v>-5</v>
      </c>
      <c r="B176" t="str">
        <f t="shared" ca="1" si="27"/>
        <v>Wed</v>
      </c>
      <c r="C176" s="2">
        <f ca="1">OFFSET(Data!$A$1,$C$30-A176,0,1,1)</f>
        <v>45616</v>
      </c>
      <c r="D176" s="5">
        <f ca="1">_xlfn.XLOOKUP(C176,Data!$A:$A,Data!$H:$H)</f>
        <v>3.1964593066142744E-3</v>
      </c>
      <c r="E176" s="5">
        <f ca="1">$E$30+$F$30*_xlfn.XLOOKUP(C176,Data!$A:$A,Data!$F:$F)</f>
        <v>-1.4008610805548815E-3</v>
      </c>
      <c r="F176" s="5">
        <f t="shared" ca="1" si="28"/>
        <v>4.5973203871691563E-3</v>
      </c>
      <c r="G176" s="13">
        <f t="shared" ca="1" si="29"/>
        <v>0.28748443963869286</v>
      </c>
      <c r="H176" t="str">
        <f t="shared" ca="1" si="30"/>
        <v>No</v>
      </c>
      <c r="I176" s="5">
        <f t="shared" ca="1" si="31"/>
        <v>3.9477683724316481E-2</v>
      </c>
    </row>
    <row r="177" spans="1:9" x14ac:dyDescent="0.2">
      <c r="A177">
        <v>-6</v>
      </c>
      <c r="B177" t="str">
        <f t="shared" ca="1" si="27"/>
        <v>Tue</v>
      </c>
      <c r="C177" s="2">
        <f ca="1">OFFSET(Data!$A$1,$C$30-A177,0,1,1)</f>
        <v>45615</v>
      </c>
      <c r="D177" s="5">
        <f ca="1">_xlfn.XLOOKUP(C177,Data!$A:$A,Data!$H:$H)</f>
        <v>7.9306071871128037E-3</v>
      </c>
      <c r="E177" s="5">
        <f ca="1">$E$30+$F$30*_xlfn.XLOOKUP(C177,Data!$A:$A,Data!$F:$F)</f>
        <v>1.5121910873360711E-3</v>
      </c>
      <c r="F177" s="5">
        <f t="shared" ca="1" si="28"/>
        <v>6.4184160997767326E-3</v>
      </c>
      <c r="G177" s="13">
        <f t="shared" ca="1" si="29"/>
        <v>0.40136309859154168</v>
      </c>
      <c r="H177" t="str">
        <f t="shared" ca="1" si="30"/>
        <v>No</v>
      </c>
      <c r="I177" s="5">
        <f t="shared" ca="1" si="31"/>
        <v>3.4720740966842856E-2</v>
      </c>
    </row>
    <row r="178" spans="1:9" x14ac:dyDescent="0.2">
      <c r="A178">
        <v>-7</v>
      </c>
      <c r="B178" t="str">
        <f t="shared" ca="1" si="27"/>
        <v>Mon</v>
      </c>
      <c r="C178" s="2">
        <f ca="1">OFFSET(Data!$A$1,$C$30-A178,0,1,1)</f>
        <v>45614</v>
      </c>
      <c r="D178" s="5">
        <f ca="1">_xlfn.XLOOKUP(C178,Data!$A:$A,Data!$H:$H)</f>
        <v>1.6135037855280476E-3</v>
      </c>
      <c r="E178" s="5">
        <f ca="1">$E$30+$F$30*_xlfn.XLOOKUP(C178,Data!$A:$A,Data!$F:$F)</f>
        <v>-2.4044189437403478E-3</v>
      </c>
      <c r="F178" s="5">
        <f t="shared" ca="1" si="28"/>
        <v>4.0179227292683958E-3</v>
      </c>
      <c r="G178" s="13">
        <f t="shared" ca="1" si="29"/>
        <v>0.25125294020383687</v>
      </c>
      <c r="H178" t="str">
        <f t="shared" ca="1" si="30"/>
        <v>No</v>
      </c>
      <c r="I178" s="5">
        <f t="shared" ca="1" si="31"/>
        <v>2.812182727810919E-2</v>
      </c>
    </row>
    <row r="179" spans="1:9" x14ac:dyDescent="0.2">
      <c r="A179">
        <v>-8</v>
      </c>
      <c r="B179" t="str">
        <f t="shared" ca="1" si="27"/>
        <v>Sun</v>
      </c>
      <c r="C179" s="2">
        <f ca="1">OFFSET(Data!$A$1,$C$30-A179,0,1,1)</f>
        <v>45613</v>
      </c>
      <c r="D179" s="5">
        <f ca="1">_xlfn.XLOOKUP(C179,Data!$A:$A,Data!$H:$H)</f>
        <v>1.61611138736939E-3</v>
      </c>
      <c r="E179" s="5">
        <f ca="1">$E$30+$F$30*_xlfn.XLOOKUP(C179,Data!$A:$A,Data!$F:$F)</f>
        <v>1.6341957289728879E-3</v>
      </c>
      <c r="F179" s="5">
        <f t="shared" ca="1" si="28"/>
        <v>-1.8084341603497901E-5</v>
      </c>
      <c r="G179" s="13">
        <f t="shared" ca="1" si="29"/>
        <v>-1.1308689354403703E-3</v>
      </c>
      <c r="H179" t="str">
        <f t="shared" ca="1" si="30"/>
        <v>No</v>
      </c>
      <c r="I179" s="5">
        <f t="shared" ca="1" si="31"/>
        <v>2.4007444491944918E-2</v>
      </c>
    </row>
    <row r="180" spans="1:9" x14ac:dyDescent="0.2">
      <c r="A180">
        <v>-9</v>
      </c>
      <c r="B180" t="str">
        <f t="shared" ca="1" si="27"/>
        <v>Thu</v>
      </c>
      <c r="C180" s="2">
        <f ca="1">OFFSET(Data!$A$1,$C$30-A180,0,1,1)</f>
        <v>45610</v>
      </c>
      <c r="D180" s="5">
        <f ca="1">_xlfn.XLOOKUP(C180,Data!$A:$A,Data!$H:$H)</f>
        <v>6.5065065065064154E-3</v>
      </c>
      <c r="E180" s="5">
        <f ca="1">$E$30+$F$30*_xlfn.XLOOKUP(C180,Data!$A:$A,Data!$F:$F)</f>
        <v>-7.9287426135937495E-3</v>
      </c>
      <c r="F180" s="5">
        <f t="shared" ca="1" si="28"/>
        <v>1.4435249120100165E-2</v>
      </c>
      <c r="G180" s="13">
        <f t="shared" ca="1" si="29"/>
        <v>0.90268007335731426</v>
      </c>
      <c r="H180" t="str">
        <f t="shared" ca="1" si="30"/>
        <v>No</v>
      </c>
      <c r="I180" s="5">
        <f t="shared" ca="1" si="31"/>
        <v>2.4025963327276578E-2</v>
      </c>
    </row>
    <row r="181" spans="1:9" x14ac:dyDescent="0.2">
      <c r="A181">
        <v>-10</v>
      </c>
      <c r="B181" t="str">
        <f t="shared" ca="1" si="27"/>
        <v>Wed</v>
      </c>
      <c r="C181" s="2">
        <f ca="1">OFFSET(Data!$A$1,$C$30-A181,0,1,1)</f>
        <v>45609</v>
      </c>
      <c r="D181" s="5">
        <f ca="1">_xlfn.XLOOKUP(C181,Data!$A:$A,Data!$H:$H)</f>
        <v>1.2286257124762612E-2</v>
      </c>
      <c r="E181" s="5">
        <f ca="1">$E$30+$F$30*_xlfn.XLOOKUP(C181,Data!$A:$A,Data!$F:$F)</f>
        <v>2.8320172257692519E-3</v>
      </c>
      <c r="F181" s="5">
        <f t="shared" ca="1" si="28"/>
        <v>9.4542398989933604E-3</v>
      </c>
      <c r="G181" s="13">
        <f t="shared" ca="1" si="29"/>
        <v>0.59120240285134451</v>
      </c>
      <c r="H181" t="str">
        <f t="shared" ca="1" si="30"/>
        <v>No</v>
      </c>
      <c r="I181" s="5">
        <f ca="1">F181</f>
        <v>9.4542398989933604E-3</v>
      </c>
    </row>
    <row r="183" spans="1:9" x14ac:dyDescent="0.2">
      <c r="A183" s="3" t="s">
        <v>55</v>
      </c>
      <c r="B183" t="str">
        <f>E16</f>
        <v>Gaza ceasefire (33 hostages)</v>
      </c>
    </row>
    <row r="184" spans="1:9" x14ac:dyDescent="0.2">
      <c r="A184" s="12" t="s">
        <v>42</v>
      </c>
      <c r="B184" s="12" t="s">
        <v>43</v>
      </c>
      <c r="C184" s="12" t="s">
        <v>0</v>
      </c>
      <c r="D184" s="12" t="s">
        <v>44</v>
      </c>
      <c r="E184" s="12" t="s">
        <v>45</v>
      </c>
      <c r="F184" s="12" t="s">
        <v>46</v>
      </c>
      <c r="G184" s="12" t="s">
        <v>47</v>
      </c>
      <c r="H184" s="12" t="s">
        <v>48</v>
      </c>
      <c r="I184" s="12" t="s">
        <v>49</v>
      </c>
    </row>
    <row r="185" spans="1:9" x14ac:dyDescent="0.2">
      <c r="A185">
        <v>10</v>
      </c>
      <c r="B185" t="str">
        <f t="shared" ref="B185:B205" ca="1" si="32">TEXT(WEEKDAY(C185),"ddd")</f>
        <v>Wed</v>
      </c>
      <c r="C185" s="2">
        <f ca="1">OFFSET(Data!$A$1,$C$31-A185,0,1,1)</f>
        <v>45686</v>
      </c>
      <c r="D185" s="5">
        <f ca="1">_xlfn.XLOOKUP(C185,Data!$A:$A,Data!$H:$H)</f>
        <v>1.5029585798816525E-2</v>
      </c>
      <c r="E185" s="5">
        <f ca="1">$E$31+$F$31*_xlfn.XLOOKUP(C185,Data!$A:$A,Data!$F:$F)</f>
        <v>4.0780249460897573E-3</v>
      </c>
      <c r="F185" s="5">
        <f t="shared" ref="F185:F205" ca="1" si="33">D185-E185</f>
        <v>1.0951560852726767E-2</v>
      </c>
      <c r="G185" s="13">
        <f t="shared" ref="G185:G205" ca="1" si="34">F185/$I$31</f>
        <v>0.67707632287112074</v>
      </c>
      <c r="H185" t="str">
        <f t="shared" ref="H185:H205" ca="1" si="35">IF(ABS(G185)&lt;$B$6,"No","Yes")</f>
        <v>No</v>
      </c>
      <c r="I185" s="5">
        <f t="shared" ref="I185:I204" ca="1" si="36">(1+I186)*(1+F185)-1</f>
        <v>-2.9813781575676823E-2</v>
      </c>
    </row>
    <row r="186" spans="1:9" x14ac:dyDescent="0.2">
      <c r="A186">
        <v>9</v>
      </c>
      <c r="B186" t="str">
        <f t="shared" ca="1" si="32"/>
        <v>Tue</v>
      </c>
      <c r="C186" s="2">
        <f ca="1">OFFSET(Data!$A$1,$C$31-A186,0,1,1)</f>
        <v>45685</v>
      </c>
      <c r="D186" s="5">
        <f ca="1">_xlfn.XLOOKUP(C186,Data!$A:$A,Data!$H:$H)</f>
        <v>-4.1249263406010206E-3</v>
      </c>
      <c r="E186" s="5">
        <f ca="1">$E$31+$F$31*_xlfn.XLOOKUP(C186,Data!$A:$A,Data!$F:$F)</f>
        <v>1.1465524157352666E-3</v>
      </c>
      <c r="F186" s="5">
        <f t="shared" ca="1" si="33"/>
        <v>-5.2714787563362875E-3</v>
      </c>
      <c r="G186" s="13">
        <f t="shared" ca="1" si="34"/>
        <v>-0.32590728394160629</v>
      </c>
      <c r="H186" t="str">
        <f t="shared" ca="1" si="35"/>
        <v>No</v>
      </c>
      <c r="I186" s="5">
        <f t="shared" ca="1" si="36"/>
        <v>-4.0323734595175464E-2</v>
      </c>
    </row>
    <row r="187" spans="1:9" x14ac:dyDescent="0.2">
      <c r="A187">
        <v>8</v>
      </c>
      <c r="B187" t="str">
        <f t="shared" ca="1" si="32"/>
        <v>Mon</v>
      </c>
      <c r="C187" s="2">
        <f ca="1">OFFSET(Data!$A$1,$C$31-A187,0,1,1)</f>
        <v>45684</v>
      </c>
      <c r="D187" s="5">
        <f ca="1">_xlfn.XLOOKUP(C187,Data!$A:$A,Data!$H:$H)</f>
        <v>-1.5547047221255328E-2</v>
      </c>
      <c r="E187" s="5">
        <f ca="1">$E$31+$F$31*_xlfn.XLOOKUP(C187,Data!$A:$A,Data!$F:$F)</f>
        <v>-1.5856918427796771E-2</v>
      </c>
      <c r="F187" s="5">
        <f t="shared" ca="1" si="33"/>
        <v>3.0987120654144343E-4</v>
      </c>
      <c r="G187" s="13">
        <f t="shared" ca="1" si="34"/>
        <v>1.9157676235390643E-2</v>
      </c>
      <c r="H187" t="str">
        <f t="shared" ca="1" si="35"/>
        <v>No</v>
      </c>
      <c r="I187" s="5">
        <f t="shared" ca="1" si="36"/>
        <v>-3.5238012271946229E-2</v>
      </c>
    </row>
    <row r="188" spans="1:9" x14ac:dyDescent="0.2">
      <c r="A188">
        <v>7</v>
      </c>
      <c r="B188" t="str">
        <f t="shared" ca="1" si="32"/>
        <v>Sun</v>
      </c>
      <c r="C188" s="2">
        <f ca="1">OFFSET(Data!$A$1,$C$31-A188,0,1,1)</f>
        <v>45683</v>
      </c>
      <c r="D188" s="5">
        <f ca="1">_xlfn.XLOOKUP(C188,Data!$A:$A,Data!$H:$H)</f>
        <v>-1.9685039370078705E-3</v>
      </c>
      <c r="E188" s="5">
        <f ca="1">$E$31+$F$31*_xlfn.XLOOKUP(C188,Data!$A:$A,Data!$F:$F)</f>
        <v>3.7214498079132086E-4</v>
      </c>
      <c r="F188" s="5">
        <f t="shared" ca="1" si="33"/>
        <v>-2.3406489177991915E-3</v>
      </c>
      <c r="G188" s="13">
        <f t="shared" ca="1" si="34"/>
        <v>-0.14470978006766541</v>
      </c>
      <c r="H188" t="str">
        <f t="shared" ca="1" si="35"/>
        <v>No</v>
      </c>
      <c r="I188" s="5">
        <f t="shared" ca="1" si="36"/>
        <v>-3.5536871625200472E-2</v>
      </c>
    </row>
    <row r="189" spans="1:9" x14ac:dyDescent="0.2">
      <c r="A189">
        <v>6</v>
      </c>
      <c r="B189" t="str">
        <f t="shared" ca="1" si="32"/>
        <v>Thu</v>
      </c>
      <c r="C189" s="2">
        <f ca="1">OFFSET(Data!$A$1,$C$31-A189,0,1,1)</f>
        <v>45680</v>
      </c>
      <c r="D189" s="5">
        <f ca="1">_xlfn.XLOOKUP(C189,Data!$A:$A,Data!$H:$H)</f>
        <v>9.1142790371581128E-3</v>
      </c>
      <c r="E189" s="5">
        <f ca="1">$E$31+$F$31*_xlfn.XLOOKUP(C189,Data!$A:$A,Data!$F:$F)</f>
        <v>-4.6470628589305061E-3</v>
      </c>
      <c r="F189" s="5">
        <f t="shared" ca="1" si="33"/>
        <v>1.376134189608862E-2</v>
      </c>
      <c r="G189" s="13">
        <f t="shared" ca="1" si="34"/>
        <v>0.85079002838723883</v>
      </c>
      <c r="H189" t="str">
        <f t="shared" ca="1" si="35"/>
        <v>No</v>
      </c>
      <c r="I189" s="5">
        <f t="shared" ca="1" si="36"/>
        <v>-3.3274105706914914E-2</v>
      </c>
    </row>
    <row r="190" spans="1:9" x14ac:dyDescent="0.2">
      <c r="A190">
        <v>5</v>
      </c>
      <c r="B190" t="str">
        <f t="shared" ca="1" si="32"/>
        <v>Wed</v>
      </c>
      <c r="C190" s="2">
        <f ca="1">OFFSET(Data!$A$1,$C$31-A190,0,1,1)</f>
        <v>45679</v>
      </c>
      <c r="D190" s="5">
        <f ca="1">_xlfn.XLOOKUP(C190,Data!$A:$A,Data!$H:$H)</f>
        <v>-1.0978851265457057E-2</v>
      </c>
      <c r="E190" s="5">
        <f ca="1">$E$31+$F$31*_xlfn.XLOOKUP(C190,Data!$A:$A,Data!$F:$F)</f>
        <v>-4.9751420792794243E-3</v>
      </c>
      <c r="F190" s="5">
        <f t="shared" ca="1" si="33"/>
        <v>-6.0037091861776326E-3</v>
      </c>
      <c r="G190" s="13">
        <f t="shared" ca="1" si="34"/>
        <v>-0.37117716771418996</v>
      </c>
      <c r="H190" t="str">
        <f t="shared" ca="1" si="35"/>
        <v>No</v>
      </c>
      <c r="I190" s="5">
        <f t="shared" ca="1" si="36"/>
        <v>-4.6396963130425628E-2</v>
      </c>
    </row>
    <row r="191" spans="1:9" x14ac:dyDescent="0.2">
      <c r="A191">
        <v>4</v>
      </c>
      <c r="B191" t="str">
        <f t="shared" ca="1" si="32"/>
        <v>Tue</v>
      </c>
      <c r="C191" s="2">
        <f ca="1">OFFSET(Data!$A$1,$C$31-A191,0,1,1)</f>
        <v>45678</v>
      </c>
      <c r="D191" s="5">
        <f ca="1">_xlfn.XLOOKUP(C191,Data!$A:$A,Data!$H:$H)</f>
        <v>-3.9138943248532287E-3</v>
      </c>
      <c r="E191" s="5">
        <f ca="1">$E$31+$F$31*_xlfn.XLOOKUP(C191,Data!$A:$A,Data!$F:$F)</f>
        <v>-1.0890372816789077E-4</v>
      </c>
      <c r="F191" s="5">
        <f t="shared" ca="1" si="33"/>
        <v>-3.8049905966853381E-3</v>
      </c>
      <c r="G191" s="13">
        <f t="shared" ca="1" si="34"/>
        <v>-0.23524217930282054</v>
      </c>
      <c r="H191" t="str">
        <f t="shared" ca="1" si="35"/>
        <v>No</v>
      </c>
      <c r="I191" s="5">
        <f t="shared" ca="1" si="36"/>
        <v>-4.0637228043553852E-2</v>
      </c>
    </row>
    <row r="192" spans="1:9" x14ac:dyDescent="0.2">
      <c r="A192">
        <v>3</v>
      </c>
      <c r="B192" t="str">
        <f t="shared" ca="1" si="32"/>
        <v>Mon</v>
      </c>
      <c r="C192" s="2">
        <f ca="1">OFFSET(Data!$A$1,$C$31-A192,0,1,1)</f>
        <v>45677</v>
      </c>
      <c r="D192" s="5">
        <f ca="1">_xlfn.XLOOKUP(C192,Data!$A:$A,Data!$H:$H)</f>
        <v>-7.1999999999999842E-3</v>
      </c>
      <c r="E192" s="5">
        <f ca="1">$E$31+$F$31*_xlfn.XLOOKUP(C192,Data!$A:$A,Data!$F:$F)</f>
        <v>-2.5388569240072858E-4</v>
      </c>
      <c r="F192" s="5">
        <f t="shared" ca="1" si="33"/>
        <v>-6.9461143075992557E-3</v>
      </c>
      <c r="G192" s="13">
        <f t="shared" ca="1" si="34"/>
        <v>-0.42944102643239196</v>
      </c>
      <c r="H192" t="str">
        <f t="shared" ca="1" si="35"/>
        <v>No</v>
      </c>
      <c r="I192" s="5">
        <f t="shared" ca="1" si="36"/>
        <v>-3.6972919056209363E-2</v>
      </c>
    </row>
    <row r="193" spans="1:9" x14ac:dyDescent="0.2">
      <c r="A193">
        <v>2</v>
      </c>
      <c r="B193" t="str">
        <f t="shared" ca="1" si="32"/>
        <v>Sun</v>
      </c>
      <c r="C193" s="2">
        <f ca="1">OFFSET(Data!$A$1,$C$31-A193,0,1,1)</f>
        <v>45676</v>
      </c>
      <c r="D193" s="5">
        <f ca="1">_xlfn.XLOOKUP(C193,Data!$A:$A,Data!$H:$H)</f>
        <v>2.5911595732207804E-2</v>
      </c>
      <c r="E193" s="5">
        <f ca="1">$E$31+$F$31*_xlfn.XLOOKUP(C193,Data!$A:$A,Data!$F:$F)</f>
        <v>8.342506595354229E-3</v>
      </c>
      <c r="F193" s="5">
        <f t="shared" ca="1" si="33"/>
        <v>1.7569089136853573E-2</v>
      </c>
      <c r="G193" s="13">
        <f t="shared" ca="1" si="34"/>
        <v>1.0862026362218449</v>
      </c>
      <c r="H193" t="str">
        <f t="shared" ca="1" si="35"/>
        <v>No</v>
      </c>
      <c r="I193" s="5">
        <f t="shared" ca="1" si="36"/>
        <v>-3.0236833248655004E-2</v>
      </c>
    </row>
    <row r="194" spans="1:9" x14ac:dyDescent="0.2">
      <c r="A194">
        <v>1</v>
      </c>
      <c r="B194" t="str">
        <f t="shared" ca="1" si="32"/>
        <v>Thu</v>
      </c>
      <c r="C194" s="2">
        <f ca="1">OFFSET(Data!$A$1,$C$31-A194,0,1,1)</f>
        <v>45673</v>
      </c>
      <c r="D194" s="5">
        <f ca="1">_xlfn.XLOOKUP(C194,Data!$A:$A,Data!$H:$H)</f>
        <v>5.185621685326991E-3</v>
      </c>
      <c r="E194" s="5">
        <f ca="1">$E$31+$F$31*_xlfn.XLOOKUP(C194,Data!$A:$A,Data!$F:$F)</f>
        <v>2.6356423489043812E-3</v>
      </c>
      <c r="F194" s="5">
        <f t="shared" ca="1" si="33"/>
        <v>2.5499793364226098E-3</v>
      </c>
      <c r="G194" s="13">
        <f t="shared" ca="1" si="34"/>
        <v>0.15765155814045284</v>
      </c>
      <c r="H194" t="str">
        <f t="shared" ca="1" si="35"/>
        <v>No</v>
      </c>
      <c r="I194" s="5">
        <f t="shared" ca="1" si="36"/>
        <v>-4.6980517486099882E-2</v>
      </c>
    </row>
    <row r="195" spans="1:9" x14ac:dyDescent="0.2">
      <c r="A195">
        <v>0</v>
      </c>
      <c r="B195" t="str">
        <f t="shared" ca="1" si="32"/>
        <v>Wed</v>
      </c>
      <c r="C195" s="2">
        <f ca="1">OFFSET(Data!$A$1,$C$31-A195,0,1,1)</f>
        <v>45672</v>
      </c>
      <c r="D195" s="5">
        <f ca="1">_xlfn.XLOOKUP(C195,Data!$A:$A,Data!$H:$H)</f>
        <v>3.0984204131227155E-2</v>
      </c>
      <c r="E195" s="5">
        <f ca="1">$E$31+$F$31*_xlfn.XLOOKUP(C195,Data!$A:$A,Data!$F:$F)</f>
        <v>9.5167261908580495E-3</v>
      </c>
      <c r="F195" s="5">
        <f t="shared" ca="1" si="33"/>
        <v>2.1467477940369108E-2</v>
      </c>
      <c r="G195" s="13">
        <f t="shared" ca="1" si="34"/>
        <v>1.3272191261725947</v>
      </c>
      <c r="H195" t="str">
        <f t="shared" ca="1" si="35"/>
        <v>No</v>
      </c>
      <c r="I195" s="5">
        <f t="shared" ca="1" si="36"/>
        <v>-4.9404516326763237E-2</v>
      </c>
    </row>
    <row r="196" spans="1:9" x14ac:dyDescent="0.2">
      <c r="A196">
        <v>-1</v>
      </c>
      <c r="B196" t="str">
        <f t="shared" ca="1" si="32"/>
        <v>Tue</v>
      </c>
      <c r="C196" s="2">
        <f ca="1">OFFSET(Data!$A$1,$C$31-A196,0,1,1)</f>
        <v>45671</v>
      </c>
      <c r="D196" s="5">
        <f ca="1">_xlfn.XLOOKUP(C196,Data!$A:$A,Data!$H:$H)</f>
        <v>4.8840048840048667E-3</v>
      </c>
      <c r="E196" s="5">
        <f ca="1">$E$31+$F$31*_xlfn.XLOOKUP(C196,Data!$A:$A,Data!$F:$F)</f>
        <v>9.879125765456593E-3</v>
      </c>
      <c r="F196" s="5">
        <f t="shared" ca="1" si="33"/>
        <v>-4.9951208814517263E-3</v>
      </c>
      <c r="G196" s="13">
        <f t="shared" ca="1" si="34"/>
        <v>-0.3088215574191876</v>
      </c>
      <c r="H196" t="str">
        <f t="shared" ca="1" si="35"/>
        <v>No</v>
      </c>
      <c r="I196" s="5">
        <f t="shared" ca="1" si="36"/>
        <v>-6.9382526411937095E-2</v>
      </c>
    </row>
    <row r="197" spans="1:9" x14ac:dyDescent="0.2">
      <c r="A197">
        <v>-2</v>
      </c>
      <c r="B197" t="str">
        <f t="shared" ca="1" si="32"/>
        <v>Mon</v>
      </c>
      <c r="C197" s="2">
        <f ca="1">OFFSET(Data!$A$1,$C$31-A197,0,1,1)</f>
        <v>45670</v>
      </c>
      <c r="D197" s="5">
        <f ca="1">_xlfn.XLOOKUP(C197,Data!$A:$A,Data!$H:$H)</f>
        <v>9.7398594501294511E-3</v>
      </c>
      <c r="E197" s="5">
        <f ca="1">$E$31+$F$31*_xlfn.XLOOKUP(C197,Data!$A:$A,Data!$F:$F)</f>
        <v>6.2010254384346655E-4</v>
      </c>
      <c r="F197" s="5">
        <f t="shared" ca="1" si="33"/>
        <v>9.1197569062859852E-3</v>
      </c>
      <c r="G197" s="13">
        <f t="shared" ca="1" si="34"/>
        <v>0.56382570070358529</v>
      </c>
      <c r="H197" t="str">
        <f t="shared" ca="1" si="35"/>
        <v>No</v>
      </c>
      <c r="I197" s="5">
        <f t="shared" ca="1" si="36"/>
        <v>-6.4710643014660119E-2</v>
      </c>
    </row>
    <row r="198" spans="1:9" x14ac:dyDescent="0.2">
      <c r="A198">
        <v>-3</v>
      </c>
      <c r="B198" t="str">
        <f t="shared" ca="1" si="32"/>
        <v>Sun</v>
      </c>
      <c r="C198" s="2">
        <f ca="1">OFFSET(Data!$A$1,$C$31-A198,0,1,1)</f>
        <v>45669</v>
      </c>
      <c r="D198" s="5">
        <f ca="1">_xlfn.XLOOKUP(C198,Data!$A:$A,Data!$H:$H)</f>
        <v>-1.6001969473166122E-3</v>
      </c>
      <c r="E198" s="5">
        <f ca="1">$E$31+$F$31*_xlfn.XLOOKUP(C198,Data!$A:$A,Data!$F:$F)</f>
        <v>1.4015758714036944E-3</v>
      </c>
      <c r="F198" s="5">
        <f t="shared" ca="1" si="33"/>
        <v>-3.0017728187203066E-3</v>
      </c>
      <c r="G198" s="13">
        <f t="shared" ca="1" si="34"/>
        <v>-0.18558352818608331</v>
      </c>
      <c r="H198" t="str">
        <f t="shared" ca="1" si="35"/>
        <v>No</v>
      </c>
      <c r="I198" s="5">
        <f t="shared" ca="1" si="36"/>
        <v>-7.316316959970337E-2</v>
      </c>
    </row>
    <row r="199" spans="1:9" x14ac:dyDescent="0.2">
      <c r="A199">
        <v>-4</v>
      </c>
      <c r="B199" t="str">
        <f t="shared" ca="1" si="32"/>
        <v>Thu</v>
      </c>
      <c r="C199" s="2">
        <f ca="1">OFFSET(Data!$A$1,$C$31-A199,0,1,1)</f>
        <v>45666</v>
      </c>
      <c r="D199" s="5">
        <f ca="1">_xlfn.XLOOKUP(C199,Data!$A:$A,Data!$H:$H)</f>
        <v>-1.5153351921445068E-2</v>
      </c>
      <c r="E199" s="5">
        <f ca="1">$E$31+$F$31*_xlfn.XLOOKUP(C199,Data!$A:$A,Data!$F:$F)</f>
        <v>2.4893345744582194E-3</v>
      </c>
      <c r="F199" s="5">
        <f t="shared" ca="1" si="33"/>
        <v>-1.7642686495903288E-2</v>
      </c>
      <c r="G199" s="13">
        <f t="shared" ca="1" si="34"/>
        <v>-1.0907527665556411</v>
      </c>
      <c r="H199" t="str">
        <f t="shared" ca="1" si="35"/>
        <v>No</v>
      </c>
      <c r="I199" s="5">
        <f t="shared" ca="1" si="36"/>
        <v>-7.0372639457287556E-2</v>
      </c>
    </row>
    <row r="200" spans="1:9" x14ac:dyDescent="0.2">
      <c r="A200">
        <v>-5</v>
      </c>
      <c r="B200" t="str">
        <f t="shared" ca="1" si="32"/>
        <v>Wed</v>
      </c>
      <c r="C200" s="2">
        <f ca="1">OFFSET(Data!$A$1,$C$31-A200,0,1,1)</f>
        <v>45665</v>
      </c>
      <c r="D200" s="5">
        <f ca="1">_xlfn.XLOOKUP(C200,Data!$A:$A,Data!$H:$H)</f>
        <v>-1.9959605560175842E-2</v>
      </c>
      <c r="E200" s="5">
        <f ca="1">$E$31+$F$31*_xlfn.XLOOKUP(C200,Data!$A:$A,Data!$F:$F)</f>
        <v>-5.7559999213772813E-3</v>
      </c>
      <c r="F200" s="5">
        <f t="shared" ca="1" si="33"/>
        <v>-1.420360563879856E-2</v>
      </c>
      <c r="G200" s="13">
        <f t="shared" ca="1" si="34"/>
        <v>-0.87813282569988926</v>
      </c>
      <c r="H200" t="str">
        <f t="shared" ca="1" si="35"/>
        <v>No</v>
      </c>
      <c r="I200" s="5">
        <f t="shared" ca="1" si="36"/>
        <v>-5.3676958716065371E-2</v>
      </c>
    </row>
    <row r="201" spans="1:9" x14ac:dyDescent="0.2">
      <c r="A201">
        <v>-6</v>
      </c>
      <c r="B201" t="str">
        <f t="shared" ca="1" si="32"/>
        <v>Tue</v>
      </c>
      <c r="C201" s="2">
        <f ca="1">OFFSET(Data!$A$1,$C$31-A201,0,1,1)</f>
        <v>45664</v>
      </c>
      <c r="D201" s="5">
        <f ca="1">_xlfn.XLOOKUP(C201,Data!$A:$A,Data!$H:$H)</f>
        <v>-1.3709866416686145E-2</v>
      </c>
      <c r="E201" s="5">
        <f ca="1">$E$31+$F$31*_xlfn.XLOOKUP(C201,Data!$A:$A,Data!$F:$F)</f>
        <v>1.1354013071714672E-4</v>
      </c>
      <c r="F201" s="5">
        <f t="shared" ca="1" si="33"/>
        <v>-1.3823406547403291E-2</v>
      </c>
      <c r="G201" s="13">
        <f t="shared" ca="1" si="34"/>
        <v>-0.85462715320054361</v>
      </c>
      <c r="H201" t="str">
        <f t="shared" ca="1" si="35"/>
        <v>No</v>
      </c>
      <c r="I201" s="5">
        <f t="shared" ca="1" si="36"/>
        <v>-4.004209520653168E-2</v>
      </c>
    </row>
    <row r="202" spans="1:9" x14ac:dyDescent="0.2">
      <c r="A202">
        <v>-7</v>
      </c>
      <c r="B202" t="str">
        <f t="shared" ca="1" si="32"/>
        <v>Mon</v>
      </c>
      <c r="C202" s="2">
        <f ca="1">OFFSET(Data!$A$1,$C$31-A202,0,1,1)</f>
        <v>45663</v>
      </c>
      <c r="D202" s="5">
        <f ca="1">_xlfn.XLOOKUP(C202,Data!$A:$A,Data!$H:$H)</f>
        <v>-7.5590184905222069E-3</v>
      </c>
      <c r="E202" s="5">
        <f ca="1">$E$31+$F$31*_xlfn.XLOOKUP(C202,Data!$A:$A,Data!$F:$F)</f>
        <v>7.0138792685697999E-3</v>
      </c>
      <c r="F202" s="5">
        <f t="shared" ca="1" si="33"/>
        <v>-1.4572897759092006E-2</v>
      </c>
      <c r="G202" s="13">
        <f t="shared" ca="1" si="34"/>
        <v>-0.90096417862172506</v>
      </c>
      <c r="H202" t="str">
        <f t="shared" ca="1" si="35"/>
        <v>No</v>
      </c>
      <c r="I202" s="5">
        <f t="shared" ca="1" si="36"/>
        <v>-2.6586200517431546E-2</v>
      </c>
    </row>
    <row r="203" spans="1:9" x14ac:dyDescent="0.2">
      <c r="A203">
        <v>-8</v>
      </c>
      <c r="B203" t="str">
        <f t="shared" ca="1" si="32"/>
        <v>Sun</v>
      </c>
      <c r="C203" s="2">
        <f ca="1">OFFSET(Data!$A$1,$C$31-A203,0,1,1)</f>
        <v>45662</v>
      </c>
      <c r="D203" s="5">
        <f ca="1">_xlfn.XLOOKUP(C203,Data!$A:$A,Data!$H:$H)</f>
        <v>2.6256116481680358E-2</v>
      </c>
      <c r="E203" s="5">
        <f ca="1">$E$31+$F$31*_xlfn.XLOOKUP(C203,Data!$A:$A,Data!$F:$F)</f>
        <v>7.0897553775054927E-3</v>
      </c>
      <c r="F203" s="5">
        <f t="shared" ca="1" si="33"/>
        <v>1.9166361104174866E-2</v>
      </c>
      <c r="G203" s="13">
        <f t="shared" ca="1" si="34"/>
        <v>1.1849534028753261</v>
      </c>
      <c r="H203" t="str">
        <f t="shared" ca="1" si="35"/>
        <v>No</v>
      </c>
      <c r="I203" s="5">
        <f t="shared" ca="1" si="36"/>
        <v>-1.219096037750611E-2</v>
      </c>
    </row>
    <row r="204" spans="1:9" x14ac:dyDescent="0.2">
      <c r="A204">
        <v>-9</v>
      </c>
      <c r="B204" t="str">
        <f t="shared" ca="1" si="32"/>
        <v>Thu</v>
      </c>
      <c r="C204" s="2">
        <f ca="1">OFFSET(Data!$A$1,$C$31-A204,0,1,1)</f>
        <v>45659</v>
      </c>
      <c r="D204" s="5">
        <f ca="1">_xlfn.XLOOKUP(C204,Data!$A:$A,Data!$H:$H)</f>
        <v>-2.0114606478774388E-2</v>
      </c>
      <c r="E204" s="5">
        <f ca="1">$E$31+$F$31*_xlfn.XLOOKUP(C204,Data!$A:$A,Data!$F:$F)</f>
        <v>4.9966480499328177E-3</v>
      </c>
      <c r="F204" s="5">
        <f t="shared" ca="1" si="33"/>
        <v>-2.5111254528707206E-2</v>
      </c>
      <c r="G204" s="13">
        <f t="shared" ca="1" si="34"/>
        <v>-1.5524943072150819</v>
      </c>
      <c r="H204" t="str">
        <f t="shared" ca="1" si="35"/>
        <v>No</v>
      </c>
      <c r="I204" s="5">
        <f t="shared" ca="1" si="36"/>
        <v>-3.076761820092655E-2</v>
      </c>
    </row>
    <row r="205" spans="1:9" x14ac:dyDescent="0.2">
      <c r="A205">
        <v>-10</v>
      </c>
      <c r="B205" t="str">
        <f t="shared" ca="1" si="32"/>
        <v>Wed</v>
      </c>
      <c r="C205" s="2">
        <f ca="1">OFFSET(Data!$A$1,$C$31-A205,0,1,1)</f>
        <v>45658</v>
      </c>
      <c r="D205" s="5">
        <f ca="1">_xlfn.XLOOKUP(C205,Data!$A:$A,Data!$H:$H)</f>
        <v>-1.8676316096649659E-3</v>
      </c>
      <c r="E205" s="5">
        <f ca="1">$E$31+$F$31*_xlfn.XLOOKUP(C205,Data!$A:$A,Data!$F:$F)</f>
        <v>3.9344290854606721E-3</v>
      </c>
      <c r="F205" s="5">
        <f t="shared" ca="1" si="33"/>
        <v>-5.802060695125638E-3</v>
      </c>
      <c r="G205" s="13">
        <f t="shared" ca="1" si="34"/>
        <v>-0.3587103220590338</v>
      </c>
      <c r="H205" t="str">
        <f t="shared" ca="1" si="35"/>
        <v>No</v>
      </c>
      <c r="I205" s="5">
        <f ca="1">F205</f>
        <v>-5.802060695125638E-3</v>
      </c>
    </row>
    <row r="207" spans="1:9" x14ac:dyDescent="0.2">
      <c r="A207" s="3" t="s">
        <v>56</v>
      </c>
      <c r="B207" t="str">
        <f>E17</f>
        <v>Edan Alexander released</v>
      </c>
    </row>
    <row r="208" spans="1:9" x14ac:dyDescent="0.2">
      <c r="A208" s="12" t="s">
        <v>42</v>
      </c>
      <c r="B208" s="12" t="s">
        <v>43</v>
      </c>
      <c r="C208" s="12" t="s">
        <v>0</v>
      </c>
      <c r="D208" s="12" t="s">
        <v>44</v>
      </c>
      <c r="E208" s="12" t="s">
        <v>45</v>
      </c>
      <c r="F208" s="12" t="s">
        <v>46</v>
      </c>
      <c r="G208" s="12" t="s">
        <v>47</v>
      </c>
      <c r="H208" s="12" t="s">
        <v>48</v>
      </c>
      <c r="I208" s="12" t="s">
        <v>49</v>
      </c>
    </row>
    <row r="209" spans="1:9" x14ac:dyDescent="0.2">
      <c r="A209">
        <v>10</v>
      </c>
      <c r="B209" t="str">
        <f t="shared" ref="B209:B229" ca="1" si="37">TEXT(WEEKDAY(C209),"ddd")</f>
        <v>Mon</v>
      </c>
      <c r="C209" s="2">
        <f ca="1">OFFSET(Data!$A$1,$C$32-A209,0,1,1)</f>
        <v>45803</v>
      </c>
      <c r="D209" s="5">
        <f ca="1">_xlfn.XLOOKUP(C209,Data!$A:$A,Data!$H:$H)</f>
        <v>2.5615641628511376E-2</v>
      </c>
      <c r="E209" s="5">
        <f ca="1">$E$32+$F$32*_xlfn.XLOOKUP(C209,Data!$A:$A,Data!$F:$F)</f>
        <v>1.3674520277835063E-2</v>
      </c>
      <c r="F209" s="5">
        <f t="shared" ref="F209:F229" ca="1" si="38">D209-E209</f>
        <v>1.1941121350676313E-2</v>
      </c>
      <c r="G209" s="13">
        <f t="shared" ref="G209:G229" ca="1" si="39">F209/$I$32</f>
        <v>0.75549013250557961</v>
      </c>
      <c r="H209" t="str">
        <f t="shared" ref="H209:H229" ca="1" si="40">IF(ABS(G209)&lt;$B$6,"No","Yes")</f>
        <v>No</v>
      </c>
      <c r="I209" s="5">
        <f t="shared" ref="I209:I228" ca="1" si="41">(1+I210)*(1+F209)-1</f>
        <v>4.9419364270012256E-2</v>
      </c>
    </row>
    <row r="210" spans="1:9" x14ac:dyDescent="0.2">
      <c r="A210">
        <v>9</v>
      </c>
      <c r="B210" t="str">
        <f t="shared" ca="1" si="37"/>
        <v>Sun</v>
      </c>
      <c r="C210" s="2">
        <f ca="1">OFFSET(Data!$A$1,$C$32-A210,0,1,1)</f>
        <v>45802</v>
      </c>
      <c r="D210" s="5">
        <f ca="1">_xlfn.XLOOKUP(C210,Data!$A:$A,Data!$H:$H)</f>
        <v>1.5201005025125669E-2</v>
      </c>
      <c r="E210" s="5">
        <f ca="1">$E$32+$F$32*_xlfn.XLOOKUP(C210,Data!$A:$A,Data!$F:$F)</f>
        <v>1.960412109530556E-3</v>
      </c>
      <c r="F210" s="5">
        <f t="shared" ca="1" si="38"/>
        <v>1.3240592915595113E-2</v>
      </c>
      <c r="G210" s="13">
        <f t="shared" ca="1" si="39"/>
        <v>0.83770501969556144</v>
      </c>
      <c r="H210" t="str">
        <f t="shared" ca="1" si="40"/>
        <v>No</v>
      </c>
      <c r="I210" s="5">
        <f t="shared" ca="1" si="41"/>
        <v>3.703599164871596E-2</v>
      </c>
    </row>
    <row r="211" spans="1:9" x14ac:dyDescent="0.2">
      <c r="A211">
        <v>8</v>
      </c>
      <c r="B211" t="str">
        <f t="shared" ca="1" si="37"/>
        <v>Thu</v>
      </c>
      <c r="C211" s="2">
        <f ca="1">OFFSET(Data!$A$1,$C$32-A211,0,1,1)</f>
        <v>45799</v>
      </c>
      <c r="D211" s="5">
        <f ca="1">_xlfn.XLOOKUP(C211,Data!$A:$A,Data!$H:$H)</f>
        <v>-2.2113022113022129E-2</v>
      </c>
      <c r="E211" s="5">
        <f ca="1">$E$32+$F$32*_xlfn.XLOOKUP(C211,Data!$A:$A,Data!$F:$F)</f>
        <v>-1.1851290579877964E-2</v>
      </c>
      <c r="F211" s="5">
        <f t="shared" ca="1" si="38"/>
        <v>-1.0261731533144166E-2</v>
      </c>
      <c r="G211" s="13">
        <f t="shared" ca="1" si="39"/>
        <v>-0.64923860063382421</v>
      </c>
      <c r="H211" t="str">
        <f t="shared" ca="1" si="40"/>
        <v>No</v>
      </c>
      <c r="I211" s="5">
        <f t="shared" ca="1" si="41"/>
        <v>2.3484450681796609E-2</v>
      </c>
    </row>
    <row r="212" spans="1:9" x14ac:dyDescent="0.2">
      <c r="A212">
        <v>7</v>
      </c>
      <c r="B212" t="str">
        <f t="shared" ca="1" si="37"/>
        <v>Wed</v>
      </c>
      <c r="C212" s="2">
        <f ca="1">OFFSET(Data!$A$1,$C$32-A212,0,1,1)</f>
        <v>45798</v>
      </c>
      <c r="D212" s="5">
        <f ca="1">_xlfn.XLOOKUP(C212,Data!$A:$A,Data!$H:$H)</f>
        <v>2.5188916876574208E-2</v>
      </c>
      <c r="E212" s="5">
        <f ca="1">$E$32+$F$32*_xlfn.XLOOKUP(C212,Data!$A:$A,Data!$F:$F)</f>
        <v>-8.0918102203939492E-3</v>
      </c>
      <c r="F212" s="5">
        <f t="shared" ca="1" si="38"/>
        <v>3.3280727096968159E-2</v>
      </c>
      <c r="G212" s="13">
        <f t="shared" ca="1" si="39"/>
        <v>2.1056029987457134</v>
      </c>
      <c r="H212" t="str">
        <f t="shared" ca="1" si="40"/>
        <v>Yes</v>
      </c>
      <c r="I212" s="5">
        <f t="shared" ca="1" si="41"/>
        <v>3.4096066899802713E-2</v>
      </c>
    </row>
    <row r="213" spans="1:9" x14ac:dyDescent="0.2">
      <c r="A213">
        <v>6</v>
      </c>
      <c r="B213" t="str">
        <f t="shared" ca="1" si="37"/>
        <v>Tue</v>
      </c>
      <c r="C213" s="2">
        <f ca="1">OFFSET(Data!$A$1,$C$32-A213,0,1,1)</f>
        <v>45797</v>
      </c>
      <c r="D213" s="5">
        <f ca="1">_xlfn.XLOOKUP(C213,Data!$A:$A,Data!$H:$H)</f>
        <v>-3.5002430724355826E-2</v>
      </c>
      <c r="E213" s="5">
        <f ca="1">$E$32+$F$32*_xlfn.XLOOKUP(C213,Data!$A:$A,Data!$F:$F)</f>
        <v>-4.3223902752145878E-3</v>
      </c>
      <c r="F213" s="5">
        <f t="shared" ca="1" si="38"/>
        <v>-3.0680040449141237E-2</v>
      </c>
      <c r="G213" s="13">
        <f t="shared" ca="1" si="39"/>
        <v>-1.9410629155766421</v>
      </c>
      <c r="H213" t="str">
        <f t="shared" ca="1" si="40"/>
        <v>No</v>
      </c>
      <c r="I213" s="5">
        <f t="shared" ca="1" si="41"/>
        <v>7.8907869028510547E-4</v>
      </c>
    </row>
    <row r="214" spans="1:9" x14ac:dyDescent="0.2">
      <c r="A214">
        <v>5</v>
      </c>
      <c r="B214" t="str">
        <f t="shared" ca="1" si="37"/>
        <v>Mon</v>
      </c>
      <c r="C214" s="2">
        <f ca="1">OFFSET(Data!$A$1,$C$32-A214,0,1,1)</f>
        <v>45796</v>
      </c>
      <c r="D214" s="5">
        <f ca="1">_xlfn.XLOOKUP(C214,Data!$A:$A,Data!$H:$H)</f>
        <v>2.6831398976662868E-2</v>
      </c>
      <c r="E214" s="5">
        <f ca="1">$E$32+$F$32*_xlfn.XLOOKUP(C214,Data!$A:$A,Data!$F:$F)</f>
        <v>-4.4899769697604418E-3</v>
      </c>
      <c r="F214" s="5">
        <f t="shared" ca="1" si="38"/>
        <v>3.1321375946423313E-2</v>
      </c>
      <c r="G214" s="13">
        <f t="shared" ca="1" si="39"/>
        <v>1.9816388904447582</v>
      </c>
      <c r="H214" t="str">
        <f t="shared" ca="1" si="40"/>
        <v>Yes</v>
      </c>
      <c r="I214" s="5">
        <f t="shared" ca="1" si="41"/>
        <v>3.2465151294323702E-2</v>
      </c>
    </row>
    <row r="215" spans="1:9" x14ac:dyDescent="0.2">
      <c r="A215">
        <v>4</v>
      </c>
      <c r="B215" t="str">
        <f t="shared" ca="1" si="37"/>
        <v>Sun</v>
      </c>
      <c r="C215" s="2">
        <f ca="1">OFFSET(Data!$A$1,$C$32-A215,0,1,1)</f>
        <v>45795</v>
      </c>
      <c r="D215" s="5">
        <f ca="1">_xlfn.XLOOKUP(C215,Data!$A:$A,Data!$H:$H)</f>
        <v>1.4817629179331382E-2</v>
      </c>
      <c r="E215" s="5">
        <f ca="1">$E$32+$F$32*_xlfn.XLOOKUP(C215,Data!$A:$A,Data!$F:$F)</f>
        <v>7.0958801153359462E-3</v>
      </c>
      <c r="F215" s="5">
        <f t="shared" ca="1" si="38"/>
        <v>7.7217490639954357E-3</v>
      </c>
      <c r="G215" s="13">
        <f t="shared" ca="1" si="39"/>
        <v>0.48853914571451373</v>
      </c>
      <c r="H215" t="str">
        <f t="shared" ca="1" si="40"/>
        <v>No</v>
      </c>
      <c r="I215" s="5">
        <f t="shared" ca="1" si="41"/>
        <v>1.10903872893231E-3</v>
      </c>
    </row>
    <row r="216" spans="1:9" x14ac:dyDescent="0.2">
      <c r="A216">
        <v>3</v>
      </c>
      <c r="B216" t="str">
        <f t="shared" ca="1" si="37"/>
        <v>Thu</v>
      </c>
      <c r="C216" s="2">
        <f ca="1">OFFSET(Data!$A$1,$C$32-A216,0,1,1)</f>
        <v>45792</v>
      </c>
      <c r="D216" s="5">
        <f ca="1">_xlfn.XLOOKUP(C216,Data!$A:$A,Data!$H:$H)</f>
        <v>-1.2648621300278551E-3</v>
      </c>
      <c r="E216" s="5">
        <f ca="1">$E$32+$F$32*_xlfn.XLOOKUP(C216,Data!$A:$A,Data!$F:$F)</f>
        <v>-2.8767895250115224E-3</v>
      </c>
      <c r="F216" s="5">
        <f t="shared" ca="1" si="38"/>
        <v>1.6119273949836673E-3</v>
      </c>
      <c r="G216" s="13">
        <f t="shared" ca="1" si="39"/>
        <v>0.10198332346372242</v>
      </c>
      <c r="H216" t="str">
        <f t="shared" ca="1" si="40"/>
        <v>No</v>
      </c>
      <c r="I216" s="5">
        <f t="shared" ca="1" si="41"/>
        <v>-6.5620399095336346E-3</v>
      </c>
    </row>
    <row r="217" spans="1:9" x14ac:dyDescent="0.2">
      <c r="A217">
        <v>2</v>
      </c>
      <c r="B217" t="str">
        <f t="shared" ca="1" si="37"/>
        <v>Wed</v>
      </c>
      <c r="C217" s="2">
        <f ca="1">OFFSET(Data!$A$1,$C$32-A217,0,1,1)</f>
        <v>45791</v>
      </c>
      <c r="D217" s="5">
        <f ca="1">_xlfn.XLOOKUP(C217,Data!$A:$A,Data!$H:$H)</f>
        <v>3.1845471156356053E-2</v>
      </c>
      <c r="E217" s="5">
        <f ca="1">$E$32+$F$32*_xlfn.XLOOKUP(C217,Data!$A:$A,Data!$F:$F)</f>
        <v>4.5032299356741416E-3</v>
      </c>
      <c r="F217" s="5">
        <f t="shared" ca="1" si="38"/>
        <v>2.7342241220681913E-2</v>
      </c>
      <c r="G217" s="13">
        <f t="shared" ca="1" si="39"/>
        <v>1.7298872389101509</v>
      </c>
      <c r="H217" t="str">
        <f t="shared" ca="1" si="40"/>
        <v>No</v>
      </c>
      <c r="I217" s="5">
        <f t="shared" ca="1" si="41"/>
        <v>-8.1608126670140724E-3</v>
      </c>
    </row>
    <row r="218" spans="1:9" x14ac:dyDescent="0.2">
      <c r="A218">
        <v>1</v>
      </c>
      <c r="B218" t="str">
        <f t="shared" ca="1" si="37"/>
        <v>Tue</v>
      </c>
      <c r="C218" s="2">
        <f ca="1">OFFSET(Data!$A$1,$C$32-A218,0,1,1)</f>
        <v>45790</v>
      </c>
      <c r="D218" s="5">
        <f ca="1">_xlfn.XLOOKUP(C218,Data!$A:$A,Data!$H:$H)</f>
        <v>-7.127121938577119E-3</v>
      </c>
      <c r="E218" s="5">
        <f ca="1">$E$32+$F$32*_xlfn.XLOOKUP(C218,Data!$A:$A,Data!$F:$F)</f>
        <v>-1.0655125979955019E-3</v>
      </c>
      <c r="F218" s="5">
        <f t="shared" ca="1" si="38"/>
        <v>-6.0616093405816175E-3</v>
      </c>
      <c r="G218" s="13">
        <f t="shared" ca="1" si="39"/>
        <v>-0.3835055276156033</v>
      </c>
      <c r="H218" t="str">
        <f t="shared" ca="1" si="40"/>
        <v>No</v>
      </c>
      <c r="I218" s="5">
        <f t="shared" ca="1" si="41"/>
        <v>-3.4558156438220022E-2</v>
      </c>
    </row>
    <row r="219" spans="1:9" x14ac:dyDescent="0.2">
      <c r="A219">
        <v>0</v>
      </c>
      <c r="B219" t="str">
        <f t="shared" ca="1" si="37"/>
        <v>Mon</v>
      </c>
      <c r="C219" s="2">
        <f ca="1">OFFSET(Data!$A$1,$C$32-A219,0,1,1)</f>
        <v>45789</v>
      </c>
      <c r="D219" s="5">
        <f ca="1">_xlfn.XLOOKUP(C219,Data!$A:$A,Data!$H:$H)</f>
        <v>-1.9690040650406471E-2</v>
      </c>
      <c r="E219" s="5">
        <f ca="1">$E$32+$F$32*_xlfn.XLOOKUP(C219,Data!$A:$A,Data!$F:$F)</f>
        <v>-2.7508222236508721E-3</v>
      </c>
      <c r="F219" s="5">
        <f t="shared" ca="1" si="38"/>
        <v>-1.6939218426755599E-2</v>
      </c>
      <c r="G219" s="13">
        <f t="shared" ca="1" si="39"/>
        <v>-1.0717094314635478</v>
      </c>
      <c r="H219" t="str">
        <f t="shared" ca="1" si="40"/>
        <v>No</v>
      </c>
      <c r="I219" s="5">
        <f t="shared" ca="1" si="41"/>
        <v>-2.8670335470926567E-2</v>
      </c>
    </row>
    <row r="220" spans="1:9" x14ac:dyDescent="0.2">
      <c r="A220">
        <v>-1</v>
      </c>
      <c r="B220" t="str">
        <f t="shared" ca="1" si="37"/>
        <v>Sun</v>
      </c>
      <c r="C220" s="2">
        <f ca="1">OFFSET(Data!$A$1,$C$32-A220,0,1,1)</f>
        <v>45788</v>
      </c>
      <c r="D220" s="5">
        <f ca="1">_xlfn.XLOOKUP(C220,Data!$A:$A,Data!$H:$H)</f>
        <v>-6.8130204390612903E-3</v>
      </c>
      <c r="E220" s="5">
        <f ca="1">$E$32+$F$32*_xlfn.XLOOKUP(C220,Data!$A:$A,Data!$F:$F)</f>
        <v>-1.2126862538590494E-3</v>
      </c>
      <c r="F220" s="5">
        <f t="shared" ca="1" si="38"/>
        <v>-5.6003341852022409E-3</v>
      </c>
      <c r="G220" s="13">
        <f t="shared" ca="1" si="39"/>
        <v>-0.35432159940442576</v>
      </c>
      <c r="H220" t="str">
        <f t="shared" ca="1" si="40"/>
        <v>No</v>
      </c>
      <c r="I220" s="5">
        <f t="shared" ca="1" si="41"/>
        <v>-1.1933257092605176E-2</v>
      </c>
    </row>
    <row r="221" spans="1:9" x14ac:dyDescent="0.2">
      <c r="A221">
        <v>-2</v>
      </c>
      <c r="B221" t="str">
        <f t="shared" ca="1" si="37"/>
        <v>Thu</v>
      </c>
      <c r="C221" s="2">
        <f ca="1">OFFSET(Data!$A$1,$C$32-A221,0,1,1)</f>
        <v>45785</v>
      </c>
      <c r="D221" s="5">
        <f ca="1">_xlfn.XLOOKUP(C221,Data!$A:$A,Data!$H:$H)</f>
        <v>1.9552354000514471E-2</v>
      </c>
      <c r="E221" s="5">
        <f ca="1">$E$32+$F$32*_xlfn.XLOOKUP(C221,Data!$A:$A,Data!$F:$F)</f>
        <v>7.2313025174012731E-3</v>
      </c>
      <c r="F221" s="5">
        <f t="shared" ca="1" si="38"/>
        <v>1.2321051483113198E-2</v>
      </c>
      <c r="G221" s="13">
        <f t="shared" ca="1" si="39"/>
        <v>0.77952752879929932</v>
      </c>
      <c r="H221" t="str">
        <f t="shared" ca="1" si="40"/>
        <v>No</v>
      </c>
      <c r="I221" s="5">
        <f t="shared" ca="1" si="41"/>
        <v>-6.3685891348462809E-3</v>
      </c>
    </row>
    <row r="222" spans="1:9" x14ac:dyDescent="0.2">
      <c r="A222">
        <v>-3</v>
      </c>
      <c r="B222" t="str">
        <f t="shared" ca="1" si="37"/>
        <v>Wed</v>
      </c>
      <c r="C222" s="2">
        <f ca="1">OFFSET(Data!$A$1,$C$32-A222,0,1,1)</f>
        <v>45784</v>
      </c>
      <c r="D222" s="5">
        <f ca="1">_xlfn.XLOOKUP(C222,Data!$A:$A,Data!$H:$H)</f>
        <v>2.5864344154130414E-2</v>
      </c>
      <c r="E222" s="5">
        <f ca="1">$E$32+$F$32*_xlfn.XLOOKUP(C222,Data!$A:$A,Data!$F:$F)</f>
        <v>1.1298559298236498E-2</v>
      </c>
      <c r="F222" s="5">
        <f t="shared" ca="1" si="38"/>
        <v>1.4565784855893917E-2</v>
      </c>
      <c r="G222" s="13">
        <f t="shared" ca="1" si="39"/>
        <v>0.92154718201601771</v>
      </c>
      <c r="H222" t="str">
        <f t="shared" ca="1" si="40"/>
        <v>No</v>
      </c>
      <c r="I222" s="5">
        <f t="shared" ca="1" si="41"/>
        <v>-1.846216730411554E-2</v>
      </c>
    </row>
    <row r="223" spans="1:9" x14ac:dyDescent="0.2">
      <c r="A223">
        <v>-4</v>
      </c>
      <c r="B223" t="str">
        <f t="shared" ca="1" si="37"/>
        <v>Tue</v>
      </c>
      <c r="C223" s="2">
        <f ca="1">OFFSET(Data!$A$1,$C$32-A223,0,1,1)</f>
        <v>45783</v>
      </c>
      <c r="D223" s="5">
        <f ca="1">_xlfn.XLOOKUP(C223,Data!$A:$A,Data!$H:$H)</f>
        <v>-1.1479259066005776E-2</v>
      </c>
      <c r="E223" s="5">
        <f ca="1">$E$32+$F$32*_xlfn.XLOOKUP(C223,Data!$A:$A,Data!$F:$F)</f>
        <v>3.0714038001881483E-3</v>
      </c>
      <c r="F223" s="5">
        <f t="shared" ca="1" si="38"/>
        <v>-1.4550662866193925E-2</v>
      </c>
      <c r="G223" s="13">
        <f t="shared" ca="1" si="39"/>
        <v>-0.92059044490007269</v>
      </c>
      <c r="H223" t="str">
        <f t="shared" ca="1" si="40"/>
        <v>No</v>
      </c>
      <c r="I223" s="5">
        <f t="shared" ca="1" si="41"/>
        <v>-3.2553780792736631E-2</v>
      </c>
    </row>
    <row r="224" spans="1:9" x14ac:dyDescent="0.2">
      <c r="A224">
        <v>-5</v>
      </c>
      <c r="B224" t="str">
        <f t="shared" ca="1" si="37"/>
        <v>Mon</v>
      </c>
      <c r="C224" s="2">
        <f ca="1">OFFSET(Data!$A$1,$C$32-A224,0,1,1)</f>
        <v>45782</v>
      </c>
      <c r="D224" s="5">
        <f ca="1">_xlfn.XLOOKUP(C224,Data!$A:$A,Data!$H:$H)</f>
        <v>4.22841604350781E-2</v>
      </c>
      <c r="E224" s="5">
        <f ca="1">$E$32+$F$32*_xlfn.XLOOKUP(C224,Data!$A:$A,Data!$F:$F)</f>
        <v>7.1134685451397003E-3</v>
      </c>
      <c r="F224" s="5">
        <f t="shared" ca="1" si="38"/>
        <v>3.5170691889938398E-2</v>
      </c>
      <c r="G224" s="13">
        <f t="shared" ca="1" si="39"/>
        <v>2.2251771752355198</v>
      </c>
      <c r="H224" t="str">
        <f t="shared" ca="1" si="40"/>
        <v>Yes</v>
      </c>
      <c r="I224" s="5">
        <f t="shared" ca="1" si="41"/>
        <v>-1.8268943159376438E-2</v>
      </c>
    </row>
    <row r="225" spans="1:9" x14ac:dyDescent="0.2">
      <c r="A225">
        <v>-6</v>
      </c>
      <c r="B225" t="str">
        <f t="shared" ca="1" si="37"/>
        <v>Sun</v>
      </c>
      <c r="C225" s="2">
        <f ca="1">OFFSET(Data!$A$1,$C$32-A225,0,1,1)</f>
        <v>45781</v>
      </c>
      <c r="D225" s="5">
        <f ca="1">_xlfn.XLOOKUP(C225,Data!$A:$A,Data!$H:$H)</f>
        <v>-1.0865136493277694E-3</v>
      </c>
      <c r="E225" s="5">
        <f ca="1">$E$32+$F$32*_xlfn.XLOOKUP(C225,Data!$A:$A,Data!$F:$F)</f>
        <v>-9.9077984812828658E-5</v>
      </c>
      <c r="F225" s="5">
        <f t="shared" ca="1" si="38"/>
        <v>-9.8743566451494074E-4</v>
      </c>
      <c r="G225" s="13">
        <f t="shared" ca="1" si="39"/>
        <v>-6.2473019000252962E-2</v>
      </c>
      <c r="H225" t="str">
        <f t="shared" ca="1" si="40"/>
        <v>No</v>
      </c>
      <c r="I225" s="5">
        <f t="shared" ca="1" si="41"/>
        <v>-5.1623983820241914E-2</v>
      </c>
    </row>
    <row r="226" spans="1:9" x14ac:dyDescent="0.2">
      <c r="A226">
        <v>-7</v>
      </c>
      <c r="B226" t="str">
        <f t="shared" ca="1" si="37"/>
        <v>Tue</v>
      </c>
      <c r="C226" s="2">
        <f ca="1">OFFSET(Data!$A$1,$C$32-A226,0,1,1)</f>
        <v>45776</v>
      </c>
      <c r="D226" s="5">
        <f ca="1">_xlfn.XLOOKUP(C226,Data!$A:$A,Data!$H:$H)</f>
        <v>-2.3035230352304037E-3</v>
      </c>
      <c r="E226" s="5">
        <f ca="1">$E$32+$F$32*_xlfn.XLOOKUP(C226,Data!$A:$A,Data!$F:$F)</f>
        <v>1.4275363907600377E-3</v>
      </c>
      <c r="F226" s="5">
        <f t="shared" ca="1" si="38"/>
        <v>-3.7310594259904414E-3</v>
      </c>
      <c r="G226" s="13">
        <f t="shared" ca="1" si="39"/>
        <v>-0.23605643870021153</v>
      </c>
      <c r="H226" t="str">
        <f t="shared" ca="1" si="40"/>
        <v>No</v>
      </c>
      <c r="I226" s="5">
        <f t="shared" ca="1" si="41"/>
        <v>-5.0686597910216458E-2</v>
      </c>
    </row>
    <row r="227" spans="1:9" x14ac:dyDescent="0.2">
      <c r="A227">
        <v>-8</v>
      </c>
      <c r="B227" t="str">
        <f t="shared" ca="1" si="37"/>
        <v>Mon</v>
      </c>
      <c r="C227" s="2">
        <f ca="1">OFFSET(Data!$A$1,$C$32-A227,0,1,1)</f>
        <v>45775</v>
      </c>
      <c r="D227" s="5">
        <f ca="1">_xlfn.XLOOKUP(C227,Data!$A:$A,Data!$H:$H)</f>
        <v>-2.3163467902051593E-2</v>
      </c>
      <c r="E227" s="5">
        <f ca="1">$E$32+$F$32*_xlfn.XLOOKUP(C227,Data!$A:$A,Data!$F:$F)</f>
        <v>-3.8829720994245078E-3</v>
      </c>
      <c r="F227" s="5">
        <f t="shared" ca="1" si="38"/>
        <v>-1.9280495802627085E-2</v>
      </c>
      <c r="G227" s="13">
        <f t="shared" ca="1" si="39"/>
        <v>-1.2198372247406242</v>
      </c>
      <c r="H227" t="str">
        <f t="shared" ca="1" si="40"/>
        <v>No</v>
      </c>
      <c r="I227" s="5">
        <f t="shared" ca="1" si="41"/>
        <v>-4.7131388495532334E-2</v>
      </c>
    </row>
    <row r="228" spans="1:9" x14ac:dyDescent="0.2">
      <c r="A228">
        <v>-9</v>
      </c>
      <c r="B228" t="str">
        <f t="shared" ca="1" si="37"/>
        <v>Sun</v>
      </c>
      <c r="C228" s="2">
        <f ca="1">OFFSET(Data!$A$1,$C$32-A228,0,1,1)</f>
        <v>45774</v>
      </c>
      <c r="D228" s="5">
        <f ca="1">_xlfn.XLOOKUP(C228,Data!$A:$A,Data!$H:$H)</f>
        <v>-6.1825835306498211E-3</v>
      </c>
      <c r="E228" s="5">
        <f ca="1">$E$32+$F$32*_xlfn.XLOOKUP(C228,Data!$A:$A,Data!$F:$F)</f>
        <v>1.0323895583281791E-4</v>
      </c>
      <c r="F228" s="5">
        <f t="shared" ca="1" si="38"/>
        <v>-6.2858224864826388E-3</v>
      </c>
      <c r="G228" s="13">
        <f t="shared" ca="1" si="39"/>
        <v>-0.39769103116520599</v>
      </c>
      <c r="H228" t="str">
        <f t="shared" ca="1" si="40"/>
        <v>No</v>
      </c>
      <c r="I228" s="5">
        <f t="shared" ca="1" si="41"/>
        <v>-2.8398428473897397E-2</v>
      </c>
    </row>
    <row r="229" spans="1:9" x14ac:dyDescent="0.2">
      <c r="A229">
        <v>-10</v>
      </c>
      <c r="B229" t="str">
        <f t="shared" ca="1" si="37"/>
        <v>Thu</v>
      </c>
      <c r="C229" s="2">
        <f ca="1">OFFSET(Data!$A$1,$C$32-A229,0,1,1)</f>
        <v>45771</v>
      </c>
      <c r="D229" s="5">
        <f ca="1">_xlfn.XLOOKUP(C229,Data!$A:$A,Data!$H:$H)</f>
        <v>-2.3130300693908978E-2</v>
      </c>
      <c r="E229" s="5">
        <f ca="1">$E$32+$F$32*_xlfn.XLOOKUP(C229,Data!$A:$A,Data!$F:$F)</f>
        <v>-8.7781956020394894E-4</v>
      </c>
      <c r="F229" s="5">
        <f t="shared" ca="1" si="38"/>
        <v>-2.2252481133705031E-2</v>
      </c>
      <c r="G229" s="13">
        <f t="shared" ca="1" si="39"/>
        <v>-1.4078686102062403</v>
      </c>
      <c r="H229" t="str">
        <f t="shared" ca="1" si="40"/>
        <v>No</v>
      </c>
      <c r="I229" s="5">
        <f ca="1">F229</f>
        <v>-2.2252481133705031E-2</v>
      </c>
    </row>
    <row r="231" spans="1:9" x14ac:dyDescent="0.2">
      <c r="A231" s="3" t="s">
        <v>57</v>
      </c>
      <c r="B231" t="str">
        <f>E18</f>
        <v>12-Day War begins</v>
      </c>
    </row>
    <row r="232" spans="1:9" x14ac:dyDescent="0.2">
      <c r="A232" s="12" t="s">
        <v>42</v>
      </c>
      <c r="B232" s="12" t="s">
        <v>43</v>
      </c>
      <c r="C232" s="12" t="s">
        <v>0</v>
      </c>
      <c r="D232" s="12" t="s">
        <v>44</v>
      </c>
      <c r="E232" s="12" t="s">
        <v>45</v>
      </c>
      <c r="F232" s="12" t="s">
        <v>46</v>
      </c>
      <c r="G232" s="12" t="s">
        <v>47</v>
      </c>
      <c r="H232" s="12" t="s">
        <v>48</v>
      </c>
      <c r="I232" s="12" t="s">
        <v>49</v>
      </c>
    </row>
    <row r="233" spans="1:9" x14ac:dyDescent="0.2">
      <c r="A233">
        <v>10</v>
      </c>
      <c r="B233" t="str">
        <f t="shared" ref="B233:B253" ca="1" si="42">TEXT(WEEKDAY(C233),"ddd")</f>
        <v>Sun</v>
      </c>
      <c r="C233" s="2">
        <f ca="1">OFFSET(Data!$A$1,$C$33-A233,0,1,1)</f>
        <v>45837</v>
      </c>
      <c r="D233" s="5">
        <f ca="1">_xlfn.XLOOKUP(C233,Data!$A:$A,Data!$H:$H)</f>
        <v>-7.3863036826005146E-4</v>
      </c>
      <c r="E233" s="5">
        <f ca="1">$E$33+$F$33*_xlfn.XLOOKUP(C233,Data!$A:$A,Data!$F:$F)</f>
        <v>1.6877330543921949E-2</v>
      </c>
      <c r="F233" s="5">
        <f t="shared" ref="F233:F253" ca="1" si="43">D233-E233</f>
        <v>-1.7615960912182E-2</v>
      </c>
      <c r="G233" s="13">
        <f t="shared" ref="G233:G253" ca="1" si="44">F233/$I$33</f>
        <v>-1.089383473015695</v>
      </c>
      <c r="H233" t="str">
        <f t="shared" ref="H233:H253" ca="1" si="45">IF(ABS(G233)&lt;$B$6,"No","Yes")</f>
        <v>No</v>
      </c>
      <c r="I233" s="5">
        <f t="shared" ref="I233:I252" ca="1" si="46">(1+I234)*(1+F233)-1</f>
        <v>6.2360023546143228E-2</v>
      </c>
    </row>
    <row r="234" spans="1:9" x14ac:dyDescent="0.2">
      <c r="A234">
        <v>9</v>
      </c>
      <c r="B234" t="str">
        <f t="shared" ca="1" si="42"/>
        <v>Thu</v>
      </c>
      <c r="C234" s="2">
        <f ca="1">OFFSET(Data!$A$1,$C$33-A234,0,1,1)</f>
        <v>45834</v>
      </c>
      <c r="D234" s="5">
        <f ca="1">_xlfn.XLOOKUP(C234,Data!$A:$A,Data!$H:$H)</f>
        <v>-2.4210526315789904E-3</v>
      </c>
      <c r="E234" s="5">
        <f ca="1">$E$33+$F$33*_xlfn.XLOOKUP(C234,Data!$A:$A,Data!$F:$F)</f>
        <v>-7.0593452805787918E-3</v>
      </c>
      <c r="F234" s="5">
        <f t="shared" ca="1" si="43"/>
        <v>4.6382926489998014E-3</v>
      </c>
      <c r="G234" s="13">
        <f t="shared" ca="1" si="44"/>
        <v>0.28683529556064946</v>
      </c>
      <c r="H234" t="str">
        <f t="shared" ca="1" si="45"/>
        <v>No</v>
      </c>
      <c r="I234" s="5">
        <f t="shared" ca="1" si="46"/>
        <v>8.1410101626433251E-2</v>
      </c>
    </row>
    <row r="235" spans="1:9" x14ac:dyDescent="0.2">
      <c r="A235">
        <v>8</v>
      </c>
      <c r="B235" t="str">
        <f t="shared" ca="1" si="42"/>
        <v>Wed</v>
      </c>
      <c r="C235" s="2">
        <f ca="1">OFFSET(Data!$A$1,$C$33-A235,0,1,1)</f>
        <v>45833</v>
      </c>
      <c r="D235" s="5">
        <f ca="1">_xlfn.XLOOKUP(C235,Data!$A:$A,Data!$H:$H)</f>
        <v>6.1452513966480549E-2</v>
      </c>
      <c r="E235" s="5">
        <f ca="1">$E$33+$F$33*_xlfn.XLOOKUP(C235,Data!$A:$A,Data!$F:$F)</f>
        <v>1.4094269416142799E-2</v>
      </c>
      <c r="F235" s="5">
        <f t="shared" ca="1" si="43"/>
        <v>4.7358244550337748E-2</v>
      </c>
      <c r="G235" s="13">
        <f t="shared" ca="1" si="44"/>
        <v>2.928667313770918</v>
      </c>
      <c r="H235" t="str">
        <f t="shared" ca="1" si="45"/>
        <v>Yes</v>
      </c>
      <c r="I235" s="5">
        <f t="shared" ca="1" si="46"/>
        <v>7.6417362884908302E-2</v>
      </c>
    </row>
    <row r="236" spans="1:9" x14ac:dyDescent="0.2">
      <c r="A236">
        <v>7</v>
      </c>
      <c r="B236" t="str">
        <f t="shared" ca="1" si="42"/>
        <v>Tue</v>
      </c>
      <c r="C236" s="2">
        <f ca="1">OFFSET(Data!$A$1,$C$33-A236,0,1,1)</f>
        <v>45832</v>
      </c>
      <c r="D236" s="5">
        <f ca="1">_xlfn.XLOOKUP(C236,Data!$A:$A,Data!$H:$H)</f>
        <v>4.5194441200513857E-2</v>
      </c>
      <c r="E236" s="5">
        <f ca="1">$E$33+$F$33*_xlfn.XLOOKUP(C236,Data!$A:$A,Data!$F:$F)</f>
        <v>1.1959800714096653E-2</v>
      </c>
      <c r="F236" s="5">
        <f t="shared" ca="1" si="43"/>
        <v>3.3234640486417208E-2</v>
      </c>
      <c r="G236" s="13">
        <f t="shared" ca="1" si="44"/>
        <v>2.0552536564998909</v>
      </c>
      <c r="H236" t="str">
        <f t="shared" ca="1" si="45"/>
        <v>Yes</v>
      </c>
      <c r="I236" s="5">
        <f t="shared" ca="1" si="46"/>
        <v>2.7745156431213669E-2</v>
      </c>
    </row>
    <row r="237" spans="1:9" x14ac:dyDescent="0.2">
      <c r="A237">
        <v>6</v>
      </c>
      <c r="B237" t="str">
        <f t="shared" ca="1" si="42"/>
        <v>Mon</v>
      </c>
      <c r="C237" s="2">
        <f ca="1">OFFSET(Data!$A$1,$C$33-A237,0,1,1)</f>
        <v>45831</v>
      </c>
      <c r="D237" s="5">
        <f ca="1">_xlfn.XLOOKUP(C237,Data!$A:$A,Data!$H:$H)</f>
        <v>-9.8288621646623886E-3</v>
      </c>
      <c r="E237" s="5">
        <f ca="1">$E$33+$F$33*_xlfn.XLOOKUP(C237,Data!$A:$A,Data!$F:$F)</f>
        <v>-1.2418195014913886E-2</v>
      </c>
      <c r="F237" s="5">
        <f t="shared" ca="1" si="43"/>
        <v>2.5893328502514974E-3</v>
      </c>
      <c r="G237" s="13">
        <f t="shared" ca="1" si="44"/>
        <v>0.16012617348906286</v>
      </c>
      <c r="H237" t="str">
        <f t="shared" ca="1" si="45"/>
        <v>No</v>
      </c>
      <c r="I237" s="5">
        <f t="shared" ca="1" si="46"/>
        <v>-5.3129113563393782E-3</v>
      </c>
    </row>
    <row r="238" spans="1:9" x14ac:dyDescent="0.2">
      <c r="A238">
        <v>5</v>
      </c>
      <c r="B238" t="str">
        <f t="shared" ca="1" si="42"/>
        <v>Sun</v>
      </c>
      <c r="C238" s="2">
        <f ca="1">OFFSET(Data!$A$1,$C$33-A238,0,1,1)</f>
        <v>45830</v>
      </c>
      <c r="D238" s="5">
        <f ca="1">_xlfn.XLOOKUP(C238,Data!$A:$A,Data!$H:$H)</f>
        <v>1.8490166058179325E-2</v>
      </c>
      <c r="E238" s="5">
        <f ca="1">$E$33+$F$33*_xlfn.XLOOKUP(C238,Data!$A:$A,Data!$F:$F)</f>
        <v>1.4588848649342538E-2</v>
      </c>
      <c r="F238" s="5">
        <f t="shared" ca="1" si="43"/>
        <v>3.901317408836787E-3</v>
      </c>
      <c r="G238" s="13">
        <f t="shared" ca="1" si="44"/>
        <v>0.24126022584644696</v>
      </c>
      <c r="H238" t="str">
        <f t="shared" ca="1" si="45"/>
        <v>No</v>
      </c>
      <c r="I238" s="5">
        <f t="shared" ca="1" si="46"/>
        <v>-7.8818355109820937E-3</v>
      </c>
    </row>
    <row r="239" spans="1:9" x14ac:dyDescent="0.2">
      <c r="A239">
        <v>4</v>
      </c>
      <c r="B239" t="str">
        <f t="shared" ca="1" si="42"/>
        <v>Thu</v>
      </c>
      <c r="C239" s="2">
        <f ca="1">OFFSET(Data!$A$1,$C$33-A239,0,1,1)</f>
        <v>45827</v>
      </c>
      <c r="D239" s="5">
        <f ca="1">_xlfn.XLOOKUP(C239,Data!$A:$A,Data!$H:$H)</f>
        <v>3.0461165048543792E-2</v>
      </c>
      <c r="E239" s="5">
        <f ca="1">$E$33+$F$33*_xlfn.XLOOKUP(C239,Data!$A:$A,Data!$F:$F)</f>
        <v>7.8556437354448845E-3</v>
      </c>
      <c r="F239" s="5">
        <f t="shared" ca="1" si="43"/>
        <v>2.2605521313098908E-2</v>
      </c>
      <c r="G239" s="13">
        <f t="shared" ca="1" si="44"/>
        <v>1.3979414146158942</v>
      </c>
      <c r="H239" t="str">
        <f t="shared" ca="1" si="45"/>
        <v>No</v>
      </c>
      <c r="I239" s="5">
        <f t="shared" ca="1" si="46"/>
        <v>-1.1737361746104957E-2</v>
      </c>
    </row>
    <row r="240" spans="1:9" x14ac:dyDescent="0.2">
      <c r="A240">
        <v>3</v>
      </c>
      <c r="B240" t="str">
        <f t="shared" ca="1" si="42"/>
        <v>Wed</v>
      </c>
      <c r="C240" s="2">
        <f ca="1">OFFSET(Data!$A$1,$C$33-A240,0,1,1)</f>
        <v>45826</v>
      </c>
      <c r="D240" s="5">
        <f ca="1">_xlfn.XLOOKUP(C240,Data!$A:$A,Data!$H:$H)</f>
        <v>3.6421027072952583E-4</v>
      </c>
      <c r="E240" s="5">
        <f ca="1">$E$33+$F$33*_xlfn.XLOOKUP(C240,Data!$A:$A,Data!$F:$F)</f>
        <v>1.0961455243855691E-2</v>
      </c>
      <c r="F240" s="5">
        <f t="shared" ca="1" si="43"/>
        <v>-1.0597244973126165E-2</v>
      </c>
      <c r="G240" s="13">
        <f t="shared" ca="1" si="44"/>
        <v>-0.65534111881679602</v>
      </c>
      <c r="H240" t="str">
        <f t="shared" ca="1" si="45"/>
        <v>No</v>
      </c>
      <c r="I240" s="5">
        <f t="shared" ca="1" si="46"/>
        <v>-3.3583705880157133E-2</v>
      </c>
    </row>
    <row r="241" spans="1:9" x14ac:dyDescent="0.2">
      <c r="A241">
        <v>2</v>
      </c>
      <c r="B241" t="str">
        <f t="shared" ca="1" si="42"/>
        <v>Tue</v>
      </c>
      <c r="C241" s="2">
        <f ca="1">OFFSET(Data!$A$1,$C$33-A241,0,1,1)</f>
        <v>45825</v>
      </c>
      <c r="D241" s="5">
        <f ca="1">_xlfn.XLOOKUP(C241,Data!$A:$A,Data!$H:$H)</f>
        <v>-2.7845036319612548E-3</v>
      </c>
      <c r="E241" s="5">
        <f ca="1">$E$33+$F$33*_xlfn.XLOOKUP(C241,Data!$A:$A,Data!$F:$F)</f>
        <v>3.9066210455669347E-3</v>
      </c>
      <c r="F241" s="5">
        <f t="shared" ca="1" si="43"/>
        <v>-6.6911246775281895E-3</v>
      </c>
      <c r="G241" s="13">
        <f t="shared" ca="1" si="44"/>
        <v>-0.41378387905856256</v>
      </c>
      <c r="H241" t="str">
        <f t="shared" ca="1" si="45"/>
        <v>No</v>
      </c>
      <c r="I241" s="5">
        <f t="shared" ca="1" si="46"/>
        <v>-2.3232663129593378E-2</v>
      </c>
    </row>
    <row r="242" spans="1:9" x14ac:dyDescent="0.2">
      <c r="A242">
        <v>1</v>
      </c>
      <c r="B242" t="str">
        <f t="shared" ca="1" si="42"/>
        <v>Mon</v>
      </c>
      <c r="C242" s="2">
        <f ca="1">OFFSET(Data!$A$1,$C$33-A242,0,1,1)</f>
        <v>45824</v>
      </c>
      <c r="D242" s="5">
        <f ca="1">_xlfn.XLOOKUP(C242,Data!$A:$A,Data!$H:$H)</f>
        <v>4.9955510359730448E-2</v>
      </c>
      <c r="E242" s="5">
        <f ca="1">$E$33+$F$33*_xlfn.XLOOKUP(C242,Data!$A:$A,Data!$F:$F)</f>
        <v>2.2181402056732882E-2</v>
      </c>
      <c r="F242" s="5">
        <f t="shared" ca="1" si="43"/>
        <v>2.7774108302997567E-2</v>
      </c>
      <c r="G242" s="13">
        <f t="shared" ca="1" si="44"/>
        <v>1.717570487007047</v>
      </c>
      <c r="H242" t="str">
        <f t="shared" ca="1" si="45"/>
        <v>No</v>
      </c>
      <c r="I242" s="5">
        <f t="shared" ca="1" si="46"/>
        <v>-1.6652965520614238E-2</v>
      </c>
    </row>
    <row r="243" spans="1:9" x14ac:dyDescent="0.2">
      <c r="A243">
        <v>0</v>
      </c>
      <c r="B243" t="str">
        <f t="shared" ca="1" si="42"/>
        <v>Sun</v>
      </c>
      <c r="C243" s="2">
        <f ca="1">OFFSET(Data!$A$1,$C$33-A243,0,1,1)</f>
        <v>45823</v>
      </c>
      <c r="D243" s="5">
        <f ca="1">_xlfn.XLOOKUP(C243,Data!$A:$A,Data!$H:$H)</f>
        <v>-4.1772151898734622E-3</v>
      </c>
      <c r="E243" s="5">
        <f ca="1">$E$33+$F$33*_xlfn.XLOOKUP(C243,Data!$A:$A,Data!$F:$F)</f>
        <v>2.2144062786933344E-3</v>
      </c>
      <c r="F243" s="5">
        <f t="shared" ca="1" si="43"/>
        <v>-6.3916214685667966E-3</v>
      </c>
      <c r="G243" s="13">
        <f t="shared" ca="1" si="44"/>
        <v>-0.39526238894035509</v>
      </c>
      <c r="H243" t="str">
        <f t="shared" ca="1" si="45"/>
        <v>No</v>
      </c>
      <c r="I243" s="5">
        <f t="shared" ca="1" si="46"/>
        <v>-4.3226496430200378E-2</v>
      </c>
    </row>
    <row r="244" spans="1:9" x14ac:dyDescent="0.2">
      <c r="A244">
        <v>-1</v>
      </c>
      <c r="B244" t="str">
        <f t="shared" ca="1" si="42"/>
        <v>Thu</v>
      </c>
      <c r="C244" s="2">
        <f ca="1">OFFSET(Data!$A$1,$C$33-A244,0,1,1)</f>
        <v>45820</v>
      </c>
      <c r="D244" s="5">
        <f ca="1">_xlfn.XLOOKUP(C244,Data!$A:$A,Data!$H:$H)</f>
        <v>-1.5330923594665369E-2</v>
      </c>
      <c r="E244" s="5">
        <f ca="1">$E$33+$F$33*_xlfn.XLOOKUP(C244,Data!$A:$A,Data!$F:$F)</f>
        <v>-1.6251699668150189E-2</v>
      </c>
      <c r="F244" s="5">
        <f t="shared" ca="1" si="43"/>
        <v>9.2077607348482055E-4</v>
      </c>
      <c r="G244" s="13">
        <f t="shared" ca="1" si="44"/>
        <v>5.6941443149376429E-2</v>
      </c>
      <c r="H244" t="str">
        <f t="shared" ca="1" si="45"/>
        <v>No</v>
      </c>
      <c r="I244" s="5">
        <f t="shared" ca="1" si="46"/>
        <v>-3.7071824027969713E-2</v>
      </c>
    </row>
    <row r="245" spans="1:9" x14ac:dyDescent="0.2">
      <c r="A245">
        <v>-2</v>
      </c>
      <c r="B245" t="str">
        <f t="shared" ca="1" si="42"/>
        <v>Wed</v>
      </c>
      <c r="C245" s="2">
        <f ca="1">OFFSET(Data!$A$1,$C$33-A245,0,1,1)</f>
        <v>45819</v>
      </c>
      <c r="D245" s="5">
        <f ca="1">_xlfn.XLOOKUP(C245,Data!$A:$A,Data!$H:$H)</f>
        <v>3.3766883441721518E-3</v>
      </c>
      <c r="E245" s="5">
        <f ca="1">$E$33+$F$33*_xlfn.XLOOKUP(C245,Data!$A:$A,Data!$F:$F)</f>
        <v>2.92447092150041E-3</v>
      </c>
      <c r="F245" s="5">
        <f t="shared" ca="1" si="43"/>
        <v>4.5221742267174177E-4</v>
      </c>
      <c r="G245" s="13">
        <f t="shared" ca="1" si="44"/>
        <v>2.7965445025918145E-2</v>
      </c>
      <c r="H245" t="str">
        <f t="shared" ca="1" si="45"/>
        <v>No</v>
      </c>
      <c r="I245" s="5">
        <f t="shared" ca="1" si="46"/>
        <v>-3.7957649605891763E-2</v>
      </c>
    </row>
    <row r="246" spans="1:9" x14ac:dyDescent="0.2">
      <c r="A246">
        <v>-3</v>
      </c>
      <c r="B246" t="str">
        <f t="shared" ca="1" si="42"/>
        <v>Tue</v>
      </c>
      <c r="C246" s="2">
        <f ca="1">OFFSET(Data!$A$1,$C$33-A246,0,1,1)</f>
        <v>45818</v>
      </c>
      <c r="D246" s="5">
        <f ca="1">_xlfn.XLOOKUP(C246,Data!$A:$A,Data!$H:$H)</f>
        <v>1.2507817385865039E-4</v>
      </c>
      <c r="E246" s="5">
        <f ca="1">$E$33+$F$33*_xlfn.XLOOKUP(C246,Data!$A:$A,Data!$F:$F)</f>
        <v>-2.1446767523097508E-3</v>
      </c>
      <c r="F246" s="5">
        <f t="shared" ca="1" si="43"/>
        <v>2.2697549261684012E-3</v>
      </c>
      <c r="G246" s="13">
        <f t="shared" ca="1" si="44"/>
        <v>0.14036324879978079</v>
      </c>
      <c r="H246" t="str">
        <f t="shared" ca="1" si="45"/>
        <v>No</v>
      </c>
      <c r="I246" s="5">
        <f t="shared" ca="1" si="46"/>
        <v>-3.8392505268781019E-2</v>
      </c>
    </row>
    <row r="247" spans="1:9" x14ac:dyDescent="0.2">
      <c r="A247">
        <v>-4</v>
      </c>
      <c r="B247" t="str">
        <f t="shared" ca="1" si="42"/>
        <v>Mon</v>
      </c>
      <c r="C247" s="2">
        <f ca="1">OFFSET(Data!$A$1,$C$33-A247,0,1,1)</f>
        <v>45817</v>
      </c>
      <c r="D247" s="5">
        <f ca="1">_xlfn.XLOOKUP(C247,Data!$A:$A,Data!$H:$H)</f>
        <v>5.6603773584906758E-3</v>
      </c>
      <c r="E247" s="5">
        <f ca="1">$E$33+$F$33*_xlfn.XLOOKUP(C247,Data!$A:$A,Data!$F:$F)</f>
        <v>-2.5768231758356154E-3</v>
      </c>
      <c r="F247" s="5">
        <f t="shared" ca="1" si="43"/>
        <v>8.2372005343262916E-3</v>
      </c>
      <c r="G247" s="13">
        <f t="shared" ca="1" si="44"/>
        <v>0.50939430274312614</v>
      </c>
      <c r="H247" t="str">
        <f t="shared" ca="1" si="45"/>
        <v>No</v>
      </c>
      <c r="I247" s="5">
        <f t="shared" ca="1" si="46"/>
        <v>-4.0570175838484435E-2</v>
      </c>
    </row>
    <row r="248" spans="1:9" x14ac:dyDescent="0.2">
      <c r="A248">
        <v>-5</v>
      </c>
      <c r="B248" t="str">
        <f t="shared" ca="1" si="42"/>
        <v>Sun</v>
      </c>
      <c r="C248" s="2">
        <f ca="1">OFFSET(Data!$A$1,$C$33-A248,0,1,1)</f>
        <v>45816</v>
      </c>
      <c r="D248" s="5">
        <f ca="1">_xlfn.XLOOKUP(C248,Data!$A:$A,Data!$H:$H)</f>
        <v>-1.572365977466883E-2</v>
      </c>
      <c r="E248" s="5">
        <f ca="1">$E$33+$F$33*_xlfn.XLOOKUP(C248,Data!$A:$A,Data!$F:$F)</f>
        <v>-1.3614961410611665E-3</v>
      </c>
      <c r="F248" s="5">
        <f t="shared" ca="1" si="43"/>
        <v>-1.4362163633607664E-2</v>
      </c>
      <c r="G248" s="13">
        <f t="shared" ca="1" si="44"/>
        <v>-0.88816634966416108</v>
      </c>
      <c r="H248" t="str">
        <f t="shared" ca="1" si="45"/>
        <v>No</v>
      </c>
      <c r="I248" s="5">
        <f t="shared" ca="1" si="46"/>
        <v>-4.8408624822556368E-2</v>
      </c>
    </row>
    <row r="249" spans="1:9" x14ac:dyDescent="0.2">
      <c r="A249">
        <v>-6</v>
      </c>
      <c r="B249" t="str">
        <f t="shared" ca="1" si="42"/>
        <v>Thu</v>
      </c>
      <c r="C249" s="2">
        <f ca="1">OFFSET(Data!$A$1,$C$33-A249,0,1,1)</f>
        <v>45813</v>
      </c>
      <c r="D249" s="5">
        <f ca="1">_xlfn.XLOOKUP(C249,Data!$A:$A,Data!$H:$H)</f>
        <v>1.4879107253564783E-3</v>
      </c>
      <c r="E249" s="5">
        <f ca="1">$E$33+$F$33*_xlfn.XLOOKUP(C249,Data!$A:$A,Data!$F:$F)</f>
        <v>8.7695699169417201E-3</v>
      </c>
      <c r="F249" s="5">
        <f t="shared" ca="1" si="43"/>
        <v>-7.2816591915852418E-3</v>
      </c>
      <c r="G249" s="13">
        <f t="shared" ca="1" si="44"/>
        <v>-0.45030295077234184</v>
      </c>
      <c r="H249" t="str">
        <f t="shared" ca="1" si="45"/>
        <v>No</v>
      </c>
      <c r="I249" s="5">
        <f t="shared" ca="1" si="46"/>
        <v>-3.4542567191274687E-2</v>
      </c>
    </row>
    <row r="250" spans="1:9" x14ac:dyDescent="0.2">
      <c r="A250">
        <v>-7</v>
      </c>
      <c r="B250" t="str">
        <f t="shared" ca="1" si="42"/>
        <v>Wed</v>
      </c>
      <c r="C250" s="2">
        <f ca="1">OFFSET(Data!$A$1,$C$33-A250,0,1,1)</f>
        <v>45812</v>
      </c>
      <c r="D250" s="5">
        <f ca="1">_xlfn.XLOOKUP(C250,Data!$A:$A,Data!$H:$H)</f>
        <v>-1.0429447852760787E-2</v>
      </c>
      <c r="E250" s="5">
        <f ca="1">$E$33+$F$33*_xlfn.XLOOKUP(C250,Data!$A:$A,Data!$F:$F)</f>
        <v>-2.7285710264295122E-3</v>
      </c>
      <c r="F250" s="5">
        <f t="shared" ca="1" si="43"/>
        <v>-7.7008768263312748E-3</v>
      </c>
      <c r="G250" s="13">
        <f t="shared" ca="1" si="44"/>
        <v>-0.47622766559009805</v>
      </c>
      <c r="H250" t="str">
        <f t="shared" ca="1" si="45"/>
        <v>No</v>
      </c>
      <c r="I250" s="5">
        <f t="shared" ca="1" si="46"/>
        <v>-2.7460868686569939E-2</v>
      </c>
    </row>
    <row r="251" spans="1:9" x14ac:dyDescent="0.2">
      <c r="A251">
        <v>-8</v>
      </c>
      <c r="B251" t="str">
        <f t="shared" ca="1" si="42"/>
        <v>Tue</v>
      </c>
      <c r="C251" s="2">
        <f ca="1">OFFSET(Data!$A$1,$C$33-A251,0,1,1)</f>
        <v>45811</v>
      </c>
      <c r="D251" s="5">
        <f ca="1">_xlfn.XLOOKUP(C251,Data!$A:$A,Data!$H:$H)</f>
        <v>-4.1176470588235259E-2</v>
      </c>
      <c r="E251" s="5">
        <f ca="1">$E$33+$F$33*_xlfn.XLOOKUP(C251,Data!$A:$A,Data!$F:$F)</f>
        <v>5.3015991469217345E-4</v>
      </c>
      <c r="F251" s="5">
        <f t="shared" ca="1" si="43"/>
        <v>-4.170663050292743E-2</v>
      </c>
      <c r="G251" s="13">
        <f t="shared" ca="1" si="44"/>
        <v>-2.5791675067604172</v>
      </c>
      <c r="H251" t="str">
        <f t="shared" ca="1" si="45"/>
        <v>Yes</v>
      </c>
      <c r="I251" s="5">
        <f t="shared" ca="1" si="46"/>
        <v>-1.9913342054601824E-2</v>
      </c>
    </row>
    <row r="252" spans="1:9" x14ac:dyDescent="0.2">
      <c r="A252">
        <v>-9</v>
      </c>
      <c r="B252" t="str">
        <f t="shared" ca="1" si="42"/>
        <v>Thu</v>
      </c>
      <c r="C252" s="2">
        <f ca="1">OFFSET(Data!$A$1,$C$33-A252,0,1,1)</f>
        <v>45806</v>
      </c>
      <c r="D252" s="5">
        <f ca="1">_xlfn.XLOOKUP(C252,Data!$A:$A,Data!$H:$H)</f>
        <v>1.6017212526894475E-2</v>
      </c>
      <c r="E252" s="5">
        <f ca="1">$E$33+$F$33*_xlfn.XLOOKUP(C252,Data!$A:$A,Data!$F:$F)</f>
        <v>3.7359794138670487E-3</v>
      </c>
      <c r="F252" s="5">
        <f t="shared" ca="1" si="43"/>
        <v>1.2281233113027427E-2</v>
      </c>
      <c r="G252" s="13">
        <f t="shared" ca="1" si="44"/>
        <v>0.75948013555895144</v>
      </c>
      <c r="H252" t="str">
        <f t="shared" ca="1" si="45"/>
        <v>No</v>
      </c>
      <c r="I252" s="5">
        <f t="shared" ca="1" si="46"/>
        <v>2.2741771092252394E-2</v>
      </c>
    </row>
    <row r="253" spans="1:9" x14ac:dyDescent="0.2">
      <c r="A253">
        <v>-10</v>
      </c>
      <c r="B253" t="str">
        <f t="shared" ca="1" si="42"/>
        <v>Wed</v>
      </c>
      <c r="C253" s="2">
        <f ca="1">OFFSET(Data!$A$1,$C$33-A253,0,1,1)</f>
        <v>45805</v>
      </c>
      <c r="D253" s="5">
        <f ca="1">_xlfn.XLOOKUP(C253,Data!$A:$A,Data!$H:$H)</f>
        <v>1.442948951133749E-2</v>
      </c>
      <c r="E253" s="5">
        <f ca="1">$E$33+$F$33*_xlfn.XLOOKUP(C253,Data!$A:$A,Data!$F:$F)</f>
        <v>4.0958612299398451E-3</v>
      </c>
      <c r="F253" s="5">
        <f t="shared" ca="1" si="43"/>
        <v>1.0333628281397646E-2</v>
      </c>
      <c r="G253" s="13">
        <f t="shared" ca="1" si="44"/>
        <v>0.63903887628732214</v>
      </c>
      <c r="H253" t="str">
        <f t="shared" ca="1" si="45"/>
        <v>No</v>
      </c>
      <c r="I253" s="5">
        <f ca="1">F253</f>
        <v>1.0333628281397646E-2</v>
      </c>
    </row>
    <row r="255" spans="1:9" x14ac:dyDescent="0.2">
      <c r="A255" s="3" t="s">
        <v>58</v>
      </c>
      <c r="B255" t="str">
        <f>E19</f>
        <v>Sharm el-Sheikh deal</v>
      </c>
    </row>
    <row r="256" spans="1:9" x14ac:dyDescent="0.2">
      <c r="A256" s="12" t="s">
        <v>42</v>
      </c>
      <c r="B256" s="12" t="s">
        <v>43</v>
      </c>
      <c r="C256" s="12" t="s">
        <v>0</v>
      </c>
      <c r="D256" s="12" t="s">
        <v>44</v>
      </c>
      <c r="E256" s="12" t="s">
        <v>45</v>
      </c>
      <c r="F256" s="12" t="s">
        <v>46</v>
      </c>
      <c r="G256" s="12" t="s">
        <v>47</v>
      </c>
      <c r="H256" s="12" t="s">
        <v>48</v>
      </c>
      <c r="I256" s="12" t="s">
        <v>49</v>
      </c>
    </row>
    <row r="257" spans="1:9" x14ac:dyDescent="0.2">
      <c r="A257">
        <v>10</v>
      </c>
      <c r="B257" t="str">
        <f t="shared" ref="B257:B277" ca="1" si="47">TEXT(WEEKDAY(C257),"ddd")</f>
        <v>Mon</v>
      </c>
      <c r="C257" s="2">
        <f ca="1">OFFSET(Data!$A$1,$C$34-A257,0,1,1)</f>
        <v>45957</v>
      </c>
      <c r="D257" s="5">
        <f ca="1">_xlfn.XLOOKUP(C257,Data!$A:$A,Data!$H:$H)</f>
        <v>0</v>
      </c>
      <c r="E257" s="5">
        <f ca="1">$E$34+$F$34*_xlfn.XLOOKUP(C257,Data!$A:$A,Data!$F:$F)</f>
        <v>4.1635648782099377E-4</v>
      </c>
      <c r="F257" s="5">
        <f t="shared" ref="F257:F277" ca="1" si="48">D257-E257</f>
        <v>-4.1635648782099377E-4</v>
      </c>
      <c r="G257" s="13">
        <f t="shared" ref="G257:G277" ca="1" si="49">F257/$I$34</f>
        <v>-2.0633519248797059E-2</v>
      </c>
      <c r="H257" t="str">
        <f t="shared" ref="H257:H277" ca="1" si="50">IF(ABS(G257)&lt;$B$6,"No","Yes")</f>
        <v>No</v>
      </c>
      <c r="I257" s="5">
        <f t="shared" ref="I257:I276" ca="1" si="51">(1+I258)*(1+F257)-1</f>
        <v>-4.1318250337626594E-2</v>
      </c>
    </row>
    <row r="258" spans="1:9" x14ac:dyDescent="0.2">
      <c r="A258">
        <v>9</v>
      </c>
      <c r="B258" t="str">
        <f t="shared" ca="1" si="47"/>
        <v>Sun</v>
      </c>
      <c r="C258" s="2">
        <f ca="1">OFFSET(Data!$A$1,$C$34-A258,0,1,1)</f>
        <v>45956</v>
      </c>
      <c r="D258" s="5">
        <f ca="1">_xlfn.XLOOKUP(C258,Data!$A:$A,Data!$H:$H)</f>
        <v>-2.5190839694656519E-2</v>
      </c>
      <c r="E258" s="5">
        <f ca="1">$E$34+$F$34*_xlfn.XLOOKUP(C258,Data!$A:$A,Data!$F:$F)</f>
        <v>1.0860162954487452E-2</v>
      </c>
      <c r="F258" s="5">
        <f t="shared" ca="1" si="48"/>
        <v>-3.6051002649143973E-2</v>
      </c>
      <c r="G258" s="13">
        <f t="shared" ca="1" si="49"/>
        <v>-1.7865917281427279</v>
      </c>
      <c r="H258" t="str">
        <f t="shared" ca="1" si="50"/>
        <v>No</v>
      </c>
      <c r="I258" s="5">
        <f t="shared" ca="1" si="51"/>
        <v>-4.0918930712082302E-2</v>
      </c>
    </row>
    <row r="259" spans="1:9" x14ac:dyDescent="0.2">
      <c r="A259">
        <v>8</v>
      </c>
      <c r="B259" t="str">
        <f t="shared" ca="1" si="47"/>
        <v>Thu</v>
      </c>
      <c r="C259" s="2">
        <f ca="1">OFFSET(Data!$A$1,$C$34-A259,0,1,1)</f>
        <v>45953</v>
      </c>
      <c r="D259" s="5">
        <f ca="1">_xlfn.XLOOKUP(C259,Data!$A:$A,Data!$H:$H)</f>
        <v>6.9177555726365192E-3</v>
      </c>
      <c r="E259" s="5">
        <f ca="1">$E$34+$F$34*_xlfn.XLOOKUP(C259,Data!$A:$A,Data!$F:$F)</f>
        <v>7.4444523120419312E-3</v>
      </c>
      <c r="F259" s="5">
        <f t="shared" ca="1" si="48"/>
        <v>-5.2669673940541201E-4</v>
      </c>
      <c r="G259" s="13">
        <f t="shared" ca="1" si="49"/>
        <v>-2.6101688405712035E-2</v>
      </c>
      <c r="H259" t="str">
        <f t="shared" ca="1" si="50"/>
        <v>No</v>
      </c>
      <c r="I259" s="5">
        <f t="shared" ca="1" si="51"/>
        <v>-5.0499850887510966E-3</v>
      </c>
    </row>
    <row r="260" spans="1:9" x14ac:dyDescent="0.2">
      <c r="A260">
        <v>7</v>
      </c>
      <c r="B260" t="str">
        <f t="shared" ca="1" si="47"/>
        <v>Wed</v>
      </c>
      <c r="C260" s="2">
        <f ca="1">OFFSET(Data!$A$1,$C$34-A260,0,1,1)</f>
        <v>45952</v>
      </c>
      <c r="D260" s="5">
        <f ca="1">_xlfn.XLOOKUP(C260,Data!$A:$A,Data!$H:$H)</f>
        <v>1.2451361867704236E-2</v>
      </c>
      <c r="E260" s="5">
        <f ca="1">$E$34+$F$34*_xlfn.XLOOKUP(C260,Data!$A:$A,Data!$F:$F)</f>
        <v>2.1161596609926298E-3</v>
      </c>
      <c r="F260" s="5">
        <f t="shared" ca="1" si="48"/>
        <v>1.0335202206711606E-2</v>
      </c>
      <c r="G260" s="13">
        <f t="shared" ca="1" si="49"/>
        <v>0.5121851103808861</v>
      </c>
      <c r="H260" t="str">
        <f t="shared" ca="1" si="50"/>
        <v>No</v>
      </c>
      <c r="I260" s="5">
        <f t="shared" ca="1" si="51"/>
        <v>-4.5256720060348199E-3</v>
      </c>
    </row>
    <row r="261" spans="1:9" x14ac:dyDescent="0.2">
      <c r="A261">
        <v>6</v>
      </c>
      <c r="B261" t="str">
        <f t="shared" ca="1" si="47"/>
        <v>Tue</v>
      </c>
      <c r="C261" s="2">
        <f ca="1">OFFSET(Data!$A$1,$C$34-A261,0,1,1)</f>
        <v>45951</v>
      </c>
      <c r="D261" s="5">
        <f ca="1">_xlfn.XLOOKUP(C261,Data!$A:$A,Data!$H:$H)</f>
        <v>1.1811023622047223E-2</v>
      </c>
      <c r="E261" s="5">
        <f ca="1">$E$34+$F$34*_xlfn.XLOOKUP(C261,Data!$A:$A,Data!$F:$F)</f>
        <v>-9.1333430612128841E-3</v>
      </c>
      <c r="F261" s="5">
        <f t="shared" ca="1" si="48"/>
        <v>2.0944366683260107E-2</v>
      </c>
      <c r="G261" s="13">
        <f t="shared" ca="1" si="49"/>
        <v>1.0379470616024369</v>
      </c>
      <c r="H261" t="str">
        <f t="shared" ca="1" si="50"/>
        <v>No</v>
      </c>
      <c r="I261" s="5">
        <f t="shared" ca="1" si="51"/>
        <v>-1.4708855219820349E-2</v>
      </c>
    </row>
    <row r="262" spans="1:9" x14ac:dyDescent="0.2">
      <c r="A262">
        <v>5</v>
      </c>
      <c r="B262" t="str">
        <f t="shared" ca="1" si="47"/>
        <v>Mon</v>
      </c>
      <c r="C262" s="2">
        <f ca="1">OFFSET(Data!$A$1,$C$34-A262,0,1,1)</f>
        <v>45950</v>
      </c>
      <c r="D262" s="5">
        <f ca="1">_xlfn.XLOOKUP(C262,Data!$A:$A,Data!$H:$H)</f>
        <v>1.195219123505975E-2</v>
      </c>
      <c r="E262" s="5">
        <f ca="1">$E$34+$F$34*_xlfn.XLOOKUP(C262,Data!$A:$A,Data!$F:$F)</f>
        <v>8.5644750602290182E-3</v>
      </c>
      <c r="F262" s="5">
        <f t="shared" ca="1" si="48"/>
        <v>3.3877161748307322E-3</v>
      </c>
      <c r="G262" s="13">
        <f t="shared" ca="1" si="49"/>
        <v>0.16788619595831478</v>
      </c>
      <c r="H262" t="str">
        <f t="shared" ca="1" si="50"/>
        <v>No</v>
      </c>
      <c r="I262" s="5">
        <f t="shared" ca="1" si="51"/>
        <v>-3.4921806776707087E-2</v>
      </c>
    </row>
    <row r="263" spans="1:9" x14ac:dyDescent="0.2">
      <c r="A263">
        <v>4</v>
      </c>
      <c r="B263" t="str">
        <f t="shared" ca="1" si="47"/>
        <v>Sun</v>
      </c>
      <c r="C263" s="2">
        <f ca="1">OFFSET(Data!$A$1,$C$34-A263,0,1,1)</f>
        <v>45949</v>
      </c>
      <c r="D263" s="5">
        <f ca="1">_xlfn.XLOOKUP(C263,Data!$A:$A,Data!$H:$H)</f>
        <v>-7.9617834394907216E-4</v>
      </c>
      <c r="E263" s="5">
        <f ca="1">$E$34+$F$34*_xlfn.XLOOKUP(C263,Data!$A:$A,Data!$F:$F)</f>
        <v>-1.2375805722202357E-2</v>
      </c>
      <c r="F263" s="5">
        <f t="shared" ca="1" si="48"/>
        <v>1.1579627378253285E-2</v>
      </c>
      <c r="G263" s="13">
        <f t="shared" ca="1" si="49"/>
        <v>0.57385550938216745</v>
      </c>
      <c r="H263" t="str">
        <f t="shared" ca="1" si="50"/>
        <v>No</v>
      </c>
      <c r="I263" s="5">
        <f t="shared" ca="1" si="51"/>
        <v>-3.8180179340428388E-2</v>
      </c>
    </row>
    <row r="264" spans="1:9" x14ac:dyDescent="0.2">
      <c r="A264">
        <v>3</v>
      </c>
      <c r="B264" t="str">
        <f t="shared" ca="1" si="47"/>
        <v>Thu</v>
      </c>
      <c r="C264" s="2">
        <f ca="1">OFFSET(Data!$A$1,$C$34-A264,0,1,1)</f>
        <v>45946</v>
      </c>
      <c r="D264" s="5">
        <f ca="1">_xlfn.XLOOKUP(C264,Data!$A:$A,Data!$H:$H)</f>
        <v>-2.3828435266084469E-3</v>
      </c>
      <c r="E264" s="5">
        <f ca="1">$E$34+$F$34*_xlfn.XLOOKUP(C264,Data!$A:$A,Data!$F:$F)</f>
        <v>-7.4193732318873426E-3</v>
      </c>
      <c r="F264" s="5">
        <f t="shared" ca="1" si="48"/>
        <v>5.0365297052788957E-3</v>
      </c>
      <c r="G264" s="13">
        <f t="shared" ca="1" si="49"/>
        <v>0.24959700559701545</v>
      </c>
      <c r="H264" t="str">
        <f t="shared" ca="1" si="50"/>
        <v>No</v>
      </c>
      <c r="I264" s="5">
        <f t="shared" ca="1" si="51"/>
        <v>-4.919020250303574E-2</v>
      </c>
    </row>
    <row r="265" spans="1:9" x14ac:dyDescent="0.2">
      <c r="A265">
        <v>2</v>
      </c>
      <c r="B265" t="str">
        <f t="shared" ca="1" si="47"/>
        <v>Wed</v>
      </c>
      <c r="C265" s="2">
        <f ca="1">OFFSET(Data!$A$1,$C$34-A265,0,1,1)</f>
        <v>45945</v>
      </c>
      <c r="D265" s="5">
        <f ca="1">_xlfn.XLOOKUP(C265,Data!$A:$A,Data!$H:$H)</f>
        <v>1.6142050040355072E-2</v>
      </c>
      <c r="E265" s="5">
        <f ca="1">$E$34+$F$34*_xlfn.XLOOKUP(C265,Data!$A:$A,Data!$F:$F)</f>
        <v>3.1839443973736219E-4</v>
      </c>
      <c r="F265" s="5">
        <f t="shared" ca="1" si="48"/>
        <v>1.5823655600617711E-2</v>
      </c>
      <c r="G265" s="13">
        <f t="shared" ca="1" si="49"/>
        <v>0.78417825102332428</v>
      </c>
      <c r="H265" t="str">
        <f t="shared" ca="1" si="50"/>
        <v>No</v>
      </c>
      <c r="I265" s="5">
        <f t="shared" ca="1" si="51"/>
        <v>-5.3954986316981146E-2</v>
      </c>
    </row>
    <row r="266" spans="1:9" x14ac:dyDescent="0.2">
      <c r="A266">
        <v>1</v>
      </c>
      <c r="B266" t="str">
        <f t="shared" ca="1" si="47"/>
        <v>Sun</v>
      </c>
      <c r="C266" s="2">
        <f ca="1">OFFSET(Data!$A$1,$C$34-A266,0,1,1)</f>
        <v>45942</v>
      </c>
      <c r="D266" s="5">
        <f ca="1">_xlfn.XLOOKUP(C266,Data!$A:$A,Data!$H:$H)</f>
        <v>-1.6666666666666718E-2</v>
      </c>
      <c r="E266" s="5">
        <f ca="1">$E$34+$F$34*_xlfn.XLOOKUP(C266,Data!$A:$A,Data!$F:$F)</f>
        <v>-8.8823386602450132E-3</v>
      </c>
      <c r="F266" s="5">
        <f t="shared" ca="1" si="48"/>
        <v>-7.7843280064217053E-3</v>
      </c>
      <c r="G266" s="13">
        <f t="shared" ca="1" si="49"/>
        <v>-0.38577057511472629</v>
      </c>
      <c r="H266" t="str">
        <f t="shared" ca="1" si="50"/>
        <v>No</v>
      </c>
      <c r="I266" s="5">
        <f t="shared" ca="1" si="51"/>
        <v>-6.8691688299325371E-2</v>
      </c>
    </row>
    <row r="267" spans="1:9" x14ac:dyDescent="0.2">
      <c r="A267">
        <v>0</v>
      </c>
      <c r="B267" t="str">
        <f t="shared" ca="1" si="47"/>
        <v>Thu</v>
      </c>
      <c r="C267" s="2">
        <f ca="1">OFFSET(Data!$A$1,$C$34-A267,0,1,1)</f>
        <v>45939</v>
      </c>
      <c r="D267" s="5">
        <f ca="1">_xlfn.XLOOKUP(C267,Data!$A:$A,Data!$H:$H)</f>
        <v>-7.2847682119205337E-2</v>
      </c>
      <c r="E267" s="5">
        <f ca="1">$E$34+$F$34*_xlfn.XLOOKUP(C267,Data!$A:$A,Data!$F:$F)</f>
        <v>2.9079392244771619E-2</v>
      </c>
      <c r="F267" s="5">
        <f t="shared" ca="1" si="48"/>
        <v>-0.10192707436397695</v>
      </c>
      <c r="G267" s="13">
        <f t="shared" ca="1" si="49"/>
        <v>-5.0512344886694551</v>
      </c>
      <c r="H267" t="str">
        <f t="shared" ca="1" si="50"/>
        <v>Yes</v>
      </c>
      <c r="I267" s="5">
        <f t="shared" ca="1" si="51"/>
        <v>-6.1385202846602316E-2</v>
      </c>
    </row>
    <row r="268" spans="1:9" x14ac:dyDescent="0.2">
      <c r="A268">
        <v>-1</v>
      </c>
      <c r="B268" t="str">
        <f t="shared" ca="1" si="47"/>
        <v>Wed</v>
      </c>
      <c r="C268" s="2">
        <f ca="1">OFFSET(Data!$A$1,$C$34-A268,0,1,1)</f>
        <v>45938</v>
      </c>
      <c r="D268" s="5">
        <f ca="1">_xlfn.XLOOKUP(C268,Data!$A:$A,Data!$H:$H)</f>
        <v>7.5158227848101333E-2</v>
      </c>
      <c r="E268" s="5">
        <f ca="1">$E$34+$F$34*_xlfn.XLOOKUP(C268,Data!$A:$A,Data!$F:$F)</f>
        <v>-1.0984925148063661E-3</v>
      </c>
      <c r="F268" s="5">
        <f t="shared" ca="1" si="48"/>
        <v>7.6256720362907704E-2</v>
      </c>
      <c r="G268" s="13">
        <f t="shared" ca="1" si="49"/>
        <v>3.7790800755689671</v>
      </c>
      <c r="H268" t="str">
        <f t="shared" ca="1" si="50"/>
        <v>Yes</v>
      </c>
      <c r="I268" s="5">
        <f t="shared" ca="1" si="51"/>
        <v>4.5143184211529963E-2</v>
      </c>
    </row>
    <row r="269" spans="1:9" x14ac:dyDescent="0.2">
      <c r="A269">
        <v>-2</v>
      </c>
      <c r="B269" t="str">
        <f t="shared" ca="1" si="47"/>
        <v>Sun</v>
      </c>
      <c r="C269" s="2">
        <f ca="1">OFFSET(Data!$A$1,$C$34-A269,0,1,1)</f>
        <v>45935</v>
      </c>
      <c r="D269" s="5">
        <f ca="1">_xlfn.XLOOKUP(C269,Data!$A:$A,Data!$H:$H)</f>
        <v>1.5261044176706928E-2</v>
      </c>
      <c r="E269" s="5">
        <f ca="1">$E$34+$F$34*_xlfn.XLOOKUP(C269,Data!$A:$A,Data!$F:$F)</f>
        <v>6.7711314984226709E-3</v>
      </c>
      <c r="F269" s="5">
        <f t="shared" ca="1" si="48"/>
        <v>8.4899126782842574E-3</v>
      </c>
      <c r="G269" s="13">
        <f t="shared" ca="1" si="49"/>
        <v>0.42073747327626382</v>
      </c>
      <c r="H269" t="str">
        <f t="shared" ca="1" si="50"/>
        <v>No</v>
      </c>
      <c r="I269" s="5">
        <f t="shared" ca="1" si="51"/>
        <v>-2.8909028452696939E-2</v>
      </c>
    </row>
    <row r="270" spans="1:9" x14ac:dyDescent="0.2">
      <c r="A270">
        <v>-3</v>
      </c>
      <c r="B270" t="str">
        <f t="shared" ca="1" si="47"/>
        <v>Tue</v>
      </c>
      <c r="C270" s="2">
        <f ca="1">OFFSET(Data!$A$1,$C$34-A270,0,1,1)</f>
        <v>45930</v>
      </c>
      <c r="D270" s="5">
        <f ca="1">_xlfn.XLOOKUP(C270,Data!$A:$A,Data!$H:$H)</f>
        <v>7.6989619377162644E-2</v>
      </c>
      <c r="E270" s="5">
        <f ca="1">$E$34+$F$34*_xlfn.XLOOKUP(C270,Data!$A:$A,Data!$F:$F)</f>
        <v>3.0964979912732799E-2</v>
      </c>
      <c r="F270" s="5">
        <f t="shared" ca="1" si="48"/>
        <v>4.6024639464429848E-2</v>
      </c>
      <c r="G270" s="13">
        <f t="shared" ca="1" si="49"/>
        <v>2.2808586201652896</v>
      </c>
      <c r="H270" t="str">
        <f t="shared" ca="1" si="50"/>
        <v>Yes</v>
      </c>
      <c r="I270" s="5">
        <f t="shared" ca="1" si="51"/>
        <v>-3.7084100357195893E-2</v>
      </c>
    </row>
    <row r="271" spans="1:9" x14ac:dyDescent="0.2">
      <c r="A271">
        <v>-4</v>
      </c>
      <c r="B271" t="str">
        <f t="shared" ca="1" si="47"/>
        <v>Mon</v>
      </c>
      <c r="C271" s="2">
        <f ca="1">OFFSET(Data!$A$1,$C$34-A271,0,1,1)</f>
        <v>45929</v>
      </c>
      <c r="D271" s="5">
        <f ca="1">_xlfn.XLOOKUP(C271,Data!$A:$A,Data!$H:$H)</f>
        <v>-5.1635111876076056E-3</v>
      </c>
      <c r="E271" s="5">
        <f ca="1">$E$34+$F$34*_xlfn.XLOOKUP(C271,Data!$A:$A,Data!$F:$F)</f>
        <v>-1.7894298587942045E-3</v>
      </c>
      <c r="F271" s="5">
        <f t="shared" ca="1" si="48"/>
        <v>-3.3740813288134011E-3</v>
      </c>
      <c r="G271" s="13">
        <f t="shared" ca="1" si="49"/>
        <v>-0.16721048928390853</v>
      </c>
      <c r="H271" t="str">
        <f t="shared" ca="1" si="50"/>
        <v>No</v>
      </c>
      <c r="I271" s="5">
        <f t="shared" ca="1" si="51"/>
        <v>-7.9451990599550215E-2</v>
      </c>
    </row>
    <row r="272" spans="1:9" x14ac:dyDescent="0.2">
      <c r="A272">
        <v>-5</v>
      </c>
      <c r="B272" t="str">
        <f t="shared" ca="1" si="47"/>
        <v>Sun</v>
      </c>
      <c r="C272" s="2">
        <f ca="1">OFFSET(Data!$A$1,$C$34-A272,0,1,1)</f>
        <v>45928</v>
      </c>
      <c r="D272" s="5">
        <f ca="1">_xlfn.XLOOKUP(C272,Data!$A:$A,Data!$H:$H)</f>
        <v>-9.377664109121886E-3</v>
      </c>
      <c r="E272" s="5">
        <f ca="1">$E$34+$F$34*_xlfn.XLOOKUP(C272,Data!$A:$A,Data!$F:$F)</f>
        <v>3.0442586222699262E-2</v>
      </c>
      <c r="F272" s="5">
        <f t="shared" ca="1" si="48"/>
        <v>-3.9820250331821148E-2</v>
      </c>
      <c r="G272" s="13">
        <f t="shared" ca="1" si="49"/>
        <v>-1.9733856100419347</v>
      </c>
      <c r="H272" t="str">
        <f t="shared" ca="1" si="50"/>
        <v>Yes</v>
      </c>
      <c r="I272" s="5">
        <f t="shared" ca="1" si="51"/>
        <v>-7.6335471359376572E-2</v>
      </c>
    </row>
    <row r="273" spans="1:9" x14ac:dyDescent="0.2">
      <c r="A273">
        <v>-6</v>
      </c>
      <c r="B273" t="str">
        <f t="shared" ca="1" si="47"/>
        <v>Thu</v>
      </c>
      <c r="C273" s="2">
        <f ca="1">OFFSET(Data!$A$1,$C$34-A273,0,1,1)</f>
        <v>45925</v>
      </c>
      <c r="D273" s="5">
        <f ca="1">_xlfn.XLOOKUP(C273,Data!$A:$A,Data!$H:$H)</f>
        <v>1.8229166666666741E-2</v>
      </c>
      <c r="E273" s="5">
        <f ca="1">$E$34+$F$34*_xlfn.XLOOKUP(C273,Data!$A:$A,Data!$F:$F)</f>
        <v>1.3132025754731314E-2</v>
      </c>
      <c r="F273" s="5">
        <f t="shared" ca="1" si="48"/>
        <v>5.0971409119354265E-3</v>
      </c>
      <c r="G273" s="13">
        <f t="shared" ca="1" si="49"/>
        <v>0.25260073565964875</v>
      </c>
      <c r="H273" t="str">
        <f t="shared" ca="1" si="50"/>
        <v>No</v>
      </c>
      <c r="I273" s="5">
        <f t="shared" ca="1" si="51"/>
        <v>-3.8029567943059006E-2</v>
      </c>
    </row>
    <row r="274" spans="1:9" x14ac:dyDescent="0.2">
      <c r="A274">
        <v>-7</v>
      </c>
      <c r="B274" t="str">
        <f t="shared" ca="1" si="47"/>
        <v>Sun</v>
      </c>
      <c r="C274" s="2">
        <f ca="1">OFFSET(Data!$A$1,$C$34-A274,0,1,1)</f>
        <v>45921</v>
      </c>
      <c r="D274" s="5">
        <f ca="1">_xlfn.XLOOKUP(C274,Data!$A:$A,Data!$H:$H)</f>
        <v>-3.4367141659681466E-2</v>
      </c>
      <c r="E274" s="5">
        <f ca="1">$E$34+$F$34*_xlfn.XLOOKUP(C274,Data!$A:$A,Data!$F:$F)</f>
        <v>-1.5669944051673282E-2</v>
      </c>
      <c r="F274" s="5">
        <f t="shared" ca="1" si="48"/>
        <v>-1.8697197608008184E-2</v>
      </c>
      <c r="G274" s="13">
        <f t="shared" ca="1" si="49"/>
        <v>-0.92658334390903829</v>
      </c>
      <c r="H274" t="str">
        <f t="shared" ca="1" si="50"/>
        <v>No</v>
      </c>
      <c r="I274" s="5">
        <f t="shared" ca="1" si="51"/>
        <v>-4.2908000729029117E-2</v>
      </c>
    </row>
    <row r="275" spans="1:9" x14ac:dyDescent="0.2">
      <c r="A275">
        <v>-8</v>
      </c>
      <c r="B275" t="str">
        <f t="shared" ca="1" si="47"/>
        <v>Thu</v>
      </c>
      <c r="C275" s="2">
        <f ca="1">OFFSET(Data!$A$1,$C$34-A275,0,1,1)</f>
        <v>45918</v>
      </c>
      <c r="D275" s="5">
        <f ca="1">_xlfn.XLOOKUP(C275,Data!$A:$A,Data!$H:$H)</f>
        <v>-9.9585062240663547E-3</v>
      </c>
      <c r="E275" s="5">
        <f ca="1">$E$34+$F$34*_xlfn.XLOOKUP(C275,Data!$A:$A,Data!$F:$F)</f>
        <v>1.3751456375499207E-2</v>
      </c>
      <c r="F275" s="5">
        <f t="shared" ca="1" si="48"/>
        <v>-2.3709962599565561E-2</v>
      </c>
      <c r="G275" s="13">
        <f t="shared" ca="1" si="49"/>
        <v>-1.1750026335526376</v>
      </c>
      <c r="H275" t="str">
        <f t="shared" ca="1" si="50"/>
        <v>No</v>
      </c>
      <c r="I275" s="5">
        <f t="shared" ca="1" si="51"/>
        <v>-2.4672102292998099E-2</v>
      </c>
    </row>
    <row r="276" spans="1:9" x14ac:dyDescent="0.2">
      <c r="A276">
        <v>-9</v>
      </c>
      <c r="B276" t="str">
        <f t="shared" ca="1" si="47"/>
        <v>Wed</v>
      </c>
      <c r="C276" s="2">
        <f ca="1">OFFSET(Data!$A$1,$C$34-A276,0,1,1)</f>
        <v>45917</v>
      </c>
      <c r="D276" s="5">
        <f ca="1">_xlfn.XLOOKUP(C276,Data!$A:$A,Data!$H:$H)</f>
        <v>-2.7441485068603666E-2</v>
      </c>
      <c r="E276" s="5">
        <f ca="1">$E$34+$F$34*_xlfn.XLOOKUP(C276,Data!$A:$A,Data!$F:$F)</f>
        <v>-1.919529387588978E-2</v>
      </c>
      <c r="F276" s="5">
        <f t="shared" ca="1" si="48"/>
        <v>-8.2461911927138865E-3</v>
      </c>
      <c r="G276" s="13">
        <f t="shared" ca="1" si="49"/>
        <v>-0.4086592852067561</v>
      </c>
      <c r="H276" t="str">
        <f t="shared" ca="1" si="50"/>
        <v>No</v>
      </c>
      <c r="I276" s="5">
        <f t="shared" ca="1" si="51"/>
        <v>-9.8550600392721677E-4</v>
      </c>
    </row>
    <row r="277" spans="1:9" x14ac:dyDescent="0.2">
      <c r="A277">
        <v>-10</v>
      </c>
      <c r="B277" t="str">
        <f t="shared" ca="1" si="47"/>
        <v>Tue</v>
      </c>
      <c r="C277" s="2">
        <f ca="1">OFFSET(Data!$A$1,$C$34-A277,0,1,1)</f>
        <v>45916</v>
      </c>
      <c r="D277" s="5">
        <f ca="1">_xlfn.XLOOKUP(C277,Data!$A:$A,Data!$H:$H)</f>
        <v>4.0518638573743271E-3</v>
      </c>
      <c r="E277" s="5">
        <f ca="1">$E$34+$F$34*_xlfn.XLOOKUP(C277,Data!$A:$A,Data!$F:$F)</f>
        <v>-3.2691921590563338E-3</v>
      </c>
      <c r="F277" s="5">
        <f t="shared" ca="1" si="48"/>
        <v>7.3210560164306609E-3</v>
      </c>
      <c r="G277" s="13">
        <f t="shared" ca="1" si="49"/>
        <v>0.36281204846143572</v>
      </c>
      <c r="H277" t="str">
        <f t="shared" ca="1" si="50"/>
        <v>No</v>
      </c>
      <c r="I277" s="5">
        <f ca="1">F277</f>
        <v>7.3210560164306609E-3</v>
      </c>
    </row>
    <row r="279" spans="1:9" x14ac:dyDescent="0.2">
      <c r="A279" s="3" t="s">
        <v>59</v>
      </c>
      <c r="B279" t="str">
        <f>E20</f>
        <v>2026 Israel-Iran war begins</v>
      </c>
    </row>
    <row r="280" spans="1:9" x14ac:dyDescent="0.2">
      <c r="A280" s="12" t="s">
        <v>42</v>
      </c>
      <c r="B280" s="12" t="s">
        <v>43</v>
      </c>
      <c r="C280" s="12" t="s">
        <v>0</v>
      </c>
      <c r="D280" s="12" t="s">
        <v>44</v>
      </c>
      <c r="E280" s="12" t="s">
        <v>45</v>
      </c>
      <c r="F280" s="12" t="s">
        <v>46</v>
      </c>
      <c r="G280" s="12" t="s">
        <v>47</v>
      </c>
      <c r="H280" s="12" t="s">
        <v>48</v>
      </c>
      <c r="I280" s="12" t="s">
        <v>49</v>
      </c>
    </row>
    <row r="281" spans="1:9" x14ac:dyDescent="0.2">
      <c r="A281">
        <v>10</v>
      </c>
      <c r="B281" t="str">
        <f t="shared" ref="B281:B301" ca="1" si="52">TEXT(WEEKDAY(C281),"ddd")</f>
        <v>Tue</v>
      </c>
      <c r="C281" s="2">
        <f ca="1">OFFSET(Data!$A$1,$C$35-A281,0,1,1)</f>
        <v>46098</v>
      </c>
      <c r="D281" s="5">
        <f ca="1">_xlfn.XLOOKUP(C281,Data!$A:$A,Data!$H:$H)</f>
        <v>3.6265950302216243E-2</v>
      </c>
      <c r="E281" s="5">
        <f ca="1">$E$35+$F$35*_xlfn.XLOOKUP(C281,Data!$A:$A,Data!$F:$F)</f>
        <v>1.4044363045540144E-2</v>
      </c>
      <c r="F281" s="5">
        <f t="shared" ref="F281:F301" ca="1" si="53">D281-E281</f>
        <v>2.2221587256676098E-2</v>
      </c>
      <c r="G281" s="13">
        <f t="shared" ref="G281:G301" ca="1" si="54">F281/$I$35</f>
        <v>0.96092488093247441</v>
      </c>
      <c r="H281" t="str">
        <f t="shared" ref="H281:H301" ca="1" si="55">IF(ABS(G281)&lt;$B$6,"No","Yes")</f>
        <v>No</v>
      </c>
      <c r="I281" s="5">
        <f t="shared" ref="I281:I300" ca="1" si="56">(1+I282)*(1+F281)-1</f>
        <v>-9.5589893334343312E-2</v>
      </c>
    </row>
    <row r="282" spans="1:9" x14ac:dyDescent="0.2">
      <c r="A282">
        <v>9</v>
      </c>
      <c r="B282" t="str">
        <f t="shared" ca="1" si="52"/>
        <v>Mon</v>
      </c>
      <c r="C282" s="2">
        <f ca="1">OFFSET(Data!$A$1,$C$35-A282,0,1,1)</f>
        <v>46097</v>
      </c>
      <c r="D282" s="5">
        <f ca="1">_xlfn.XLOOKUP(C282,Data!$A:$A,Data!$H:$H)</f>
        <v>-3.9974210186976111E-2</v>
      </c>
      <c r="E282" s="5">
        <f ca="1">$E$35+$F$35*_xlfn.XLOOKUP(C282,Data!$A:$A,Data!$F:$F)</f>
        <v>6.3155672370497976E-4</v>
      </c>
      <c r="F282" s="5">
        <f t="shared" ca="1" si="53"/>
        <v>-4.0605766910681088E-2</v>
      </c>
      <c r="G282" s="13">
        <f t="shared" ca="1" si="54"/>
        <v>-1.755909300407666</v>
      </c>
      <c r="H282" t="str">
        <f t="shared" ca="1" si="55"/>
        <v>No</v>
      </c>
      <c r="I282" s="5">
        <f t="shared" ca="1" si="56"/>
        <v>-0.11525043303691973</v>
      </c>
    </row>
    <row r="283" spans="1:9" x14ac:dyDescent="0.2">
      <c r="A283">
        <v>8</v>
      </c>
      <c r="B283" t="str">
        <f t="shared" ca="1" si="52"/>
        <v>Fri</v>
      </c>
      <c r="C283" s="2">
        <f ca="1">OFFSET(Data!$A$1,$C$35-A283,0,1,1)</f>
        <v>46094</v>
      </c>
      <c r="D283" s="5">
        <f ca="1">_xlfn.XLOOKUP(C283,Data!$A:$A,Data!$H:$H)</f>
        <v>-5.1314945477870522E-3</v>
      </c>
      <c r="E283" s="5">
        <f ca="1">$E$35+$F$35*_xlfn.XLOOKUP(C283,Data!$A:$A,Data!$F:$F)</f>
        <v>5.7643047448981098E-3</v>
      </c>
      <c r="F283" s="5">
        <f t="shared" ca="1" si="53"/>
        <v>-1.0895799292685162E-2</v>
      </c>
      <c r="G283" s="13">
        <f t="shared" ca="1" si="54"/>
        <v>-0.47116547153228583</v>
      </c>
      <c r="H283" t="str">
        <f t="shared" ca="1" si="55"/>
        <v>No</v>
      </c>
      <c r="I283" s="5">
        <f t="shared" ca="1" si="56"/>
        <v>-7.7803955404106895E-2</v>
      </c>
    </row>
    <row r="284" spans="1:9" x14ac:dyDescent="0.2">
      <c r="A284">
        <v>7</v>
      </c>
      <c r="B284" t="str">
        <f t="shared" ca="1" si="52"/>
        <v>Thu</v>
      </c>
      <c r="C284" s="2">
        <f ca="1">OFFSET(Data!$A$1,$C$35-A284,0,1,1)</f>
        <v>46093</v>
      </c>
      <c r="D284" s="5">
        <f ca="1">_xlfn.XLOOKUP(C284,Data!$A:$A,Data!$H:$H)</f>
        <v>-3.6464771322620493E-2</v>
      </c>
      <c r="E284" s="5">
        <f ca="1">$E$35+$F$35*_xlfn.XLOOKUP(C284,Data!$A:$A,Data!$F:$F)</f>
        <v>-1.2411948319986106E-2</v>
      </c>
      <c r="F284" s="5">
        <f t="shared" ca="1" si="53"/>
        <v>-2.4052823002634387E-2</v>
      </c>
      <c r="G284" s="13">
        <f t="shared" ca="1" si="54"/>
        <v>-1.0401127432043558</v>
      </c>
      <c r="H284" t="str">
        <f t="shared" ca="1" si="55"/>
        <v>No</v>
      </c>
      <c r="I284" s="5">
        <f t="shared" ca="1" si="56"/>
        <v>-6.7645204684779747E-2</v>
      </c>
    </row>
    <row r="285" spans="1:9" x14ac:dyDescent="0.2">
      <c r="A285">
        <v>6</v>
      </c>
      <c r="B285" t="str">
        <f t="shared" ca="1" si="52"/>
        <v>Wed</v>
      </c>
      <c r="C285" s="2">
        <f ca="1">OFFSET(Data!$A$1,$C$35-A285,0,1,1)</f>
        <v>46092</v>
      </c>
      <c r="D285" s="5">
        <f ca="1">_xlfn.XLOOKUP(C285,Data!$A:$A,Data!$H:$H)</f>
        <v>-1.8507094386180922E-3</v>
      </c>
      <c r="E285" s="5">
        <f ca="1">$E$35+$F$35*_xlfn.XLOOKUP(C285,Data!$A:$A,Data!$F:$F)</f>
        <v>2.8974931628358534E-3</v>
      </c>
      <c r="F285" s="5">
        <f t="shared" ca="1" si="53"/>
        <v>-4.7482026014539457E-3</v>
      </c>
      <c r="G285" s="13">
        <f t="shared" ca="1" si="54"/>
        <v>-0.2053258377425142</v>
      </c>
      <c r="H285" t="str">
        <f t="shared" ca="1" si="55"/>
        <v>No</v>
      </c>
      <c r="I285" s="5">
        <f t="shared" ca="1" si="56"/>
        <v>-4.4666742944288518E-2</v>
      </c>
    </row>
    <row r="286" spans="1:9" x14ac:dyDescent="0.2">
      <c r="A286">
        <v>5</v>
      </c>
      <c r="B286" t="str">
        <f t="shared" ca="1" si="52"/>
        <v>Tue</v>
      </c>
      <c r="C286" s="2">
        <f ca="1">OFFSET(Data!$A$1,$C$35-A286,0,1,1)</f>
        <v>46091</v>
      </c>
      <c r="D286" s="5">
        <f ca="1">_xlfn.XLOOKUP(C286,Data!$A:$A,Data!$H:$H)</f>
        <v>-1.6979987871437285E-2</v>
      </c>
      <c r="E286" s="5">
        <f ca="1">$E$35+$F$35*_xlfn.XLOOKUP(C286,Data!$A:$A,Data!$F:$F)</f>
        <v>-8.4511966469496061E-3</v>
      </c>
      <c r="F286" s="5">
        <f t="shared" ca="1" si="53"/>
        <v>-8.5287912244876793E-3</v>
      </c>
      <c r="G286" s="13">
        <f t="shared" ca="1" si="54"/>
        <v>-0.36880928428848164</v>
      </c>
      <c r="H286" t="str">
        <f t="shared" ca="1" si="55"/>
        <v>No</v>
      </c>
      <c r="I286" s="5">
        <f t="shared" ca="1" si="56"/>
        <v>-4.010898593418899E-2</v>
      </c>
    </row>
    <row r="287" spans="1:9" x14ac:dyDescent="0.2">
      <c r="A287">
        <v>4</v>
      </c>
      <c r="B287" t="str">
        <f t="shared" ca="1" si="52"/>
        <v>Mon</v>
      </c>
      <c r="C287" s="2">
        <f ca="1">OFFSET(Data!$A$1,$C$35-A287,0,1,1)</f>
        <v>46090</v>
      </c>
      <c r="D287" s="5">
        <f ca="1">_xlfn.XLOOKUP(C287,Data!$A:$A,Data!$H:$H)</f>
        <v>-3.6236119228521324E-2</v>
      </c>
      <c r="E287" s="5">
        <f ca="1">$E$35+$F$35*_xlfn.XLOOKUP(C287,Data!$A:$A,Data!$F:$F)</f>
        <v>-2.2574207359243509E-2</v>
      </c>
      <c r="F287" s="5">
        <f t="shared" ca="1" si="53"/>
        <v>-1.3661911869277815E-2</v>
      </c>
      <c r="G287" s="13">
        <f t="shared" ca="1" si="54"/>
        <v>-0.59078007725805626</v>
      </c>
      <c r="H287" t="str">
        <f t="shared" ca="1" si="55"/>
        <v>No</v>
      </c>
      <c r="I287" s="5">
        <f t="shared" ca="1" si="56"/>
        <v>-3.1851852509871215E-2</v>
      </c>
    </row>
    <row r="288" spans="1:9" x14ac:dyDescent="0.2">
      <c r="A288">
        <v>3</v>
      </c>
      <c r="B288" t="str">
        <f t="shared" ca="1" si="52"/>
        <v>Fri</v>
      </c>
      <c r="C288" s="2">
        <f ca="1">OFFSET(Data!$A$1,$C$35-A288,0,1,1)</f>
        <v>46087</v>
      </c>
      <c r="D288" s="5">
        <f ca="1">_xlfn.XLOOKUP(C288,Data!$A:$A,Data!$H:$H)</f>
        <v>0</v>
      </c>
      <c r="E288" s="5">
        <f ca="1">$E$35+$F$35*_xlfn.XLOOKUP(C288,Data!$A:$A,Data!$F:$F)</f>
        <v>7.5854390467864729E-4</v>
      </c>
      <c r="F288" s="5">
        <f t="shared" ca="1" si="53"/>
        <v>-7.5854390467864729E-4</v>
      </c>
      <c r="G288" s="13">
        <f t="shared" ca="1" si="54"/>
        <v>-3.2801604262827654E-2</v>
      </c>
      <c r="H288" t="str">
        <f t="shared" ca="1" si="55"/>
        <v>No</v>
      </c>
      <c r="I288" s="5">
        <f t="shared" ca="1" si="56"/>
        <v>-1.8441892145791949E-2</v>
      </c>
    </row>
    <row r="289" spans="1:9" x14ac:dyDescent="0.2">
      <c r="A289">
        <v>2</v>
      </c>
      <c r="B289" t="str">
        <f t="shared" ca="1" si="52"/>
        <v>Thu</v>
      </c>
      <c r="C289" s="2">
        <f ca="1">OFFSET(Data!$A$1,$C$35-A289,0,1,1)</f>
        <v>46086</v>
      </c>
      <c r="D289" s="5">
        <f ca="1">_xlfn.XLOOKUP(C289,Data!$A:$A,Data!$H:$H)</f>
        <v>1.3625592417061627E-2</v>
      </c>
      <c r="E289" s="5">
        <f ca="1">$E$35+$F$35*_xlfn.XLOOKUP(C289,Data!$A:$A,Data!$F:$F)</f>
        <v>1.3585337908032876E-2</v>
      </c>
      <c r="F289" s="5">
        <f t="shared" ca="1" si="53"/>
        <v>4.0254509028751426E-5</v>
      </c>
      <c r="G289" s="13">
        <f t="shared" ca="1" si="54"/>
        <v>1.7407199066676465E-3</v>
      </c>
      <c r="H289" t="str">
        <f t="shared" ca="1" si="55"/>
        <v>No</v>
      </c>
      <c r="I289" s="5">
        <f t="shared" ca="1" si="56"/>
        <v>-1.7696772019661244E-2</v>
      </c>
    </row>
    <row r="290" spans="1:9" x14ac:dyDescent="0.2">
      <c r="A290">
        <v>1</v>
      </c>
      <c r="B290" t="str">
        <f t="shared" ca="1" si="52"/>
        <v>Wed</v>
      </c>
      <c r="C290" s="2">
        <f ca="1">OFFSET(Data!$A$1,$C$35-A290,0,1,1)</f>
        <v>46085</v>
      </c>
      <c r="D290" s="5">
        <f ca="1">_xlfn.XLOOKUP(C290,Data!$A:$A,Data!$H:$H)</f>
        <v>5.3603335318641587E-3</v>
      </c>
      <c r="E290" s="5">
        <f ca="1">$E$35+$F$35*_xlfn.XLOOKUP(C290,Data!$A:$A,Data!$F:$F)</f>
        <v>1.0689282844300542E-3</v>
      </c>
      <c r="F290" s="5">
        <f t="shared" ca="1" si="53"/>
        <v>4.2914052474341043E-3</v>
      </c>
      <c r="G290" s="13">
        <f t="shared" ca="1" si="54"/>
        <v>0.18557261588884527</v>
      </c>
      <c r="H290" t="str">
        <f t="shared" ca="1" si="55"/>
        <v>No</v>
      </c>
      <c r="I290" s="5">
        <f t="shared" ca="1" si="56"/>
        <v>-1.7736312562135814E-2</v>
      </c>
    </row>
    <row r="291" spans="1:9" x14ac:dyDescent="0.2">
      <c r="A291">
        <v>0</v>
      </c>
      <c r="B291" t="str">
        <f t="shared" ca="1" si="52"/>
        <v>Mon</v>
      </c>
      <c r="C291" s="2">
        <f ca="1">OFFSET(Data!$A$1,$C$35-A291,0,1,1)</f>
        <v>46083</v>
      </c>
      <c r="D291" s="5">
        <f ca="1">_xlfn.XLOOKUP(C291,Data!$A:$A,Data!$H:$H)</f>
        <v>2.6911314984709556E-2</v>
      </c>
      <c r="E291" s="5">
        <f ca="1">$E$35+$F$35*_xlfn.XLOOKUP(C291,Data!$A:$A,Data!$F:$F)</f>
        <v>4.0385759266736064E-2</v>
      </c>
      <c r="F291" s="5">
        <f t="shared" ca="1" si="53"/>
        <v>-1.3474444282026508E-2</v>
      </c>
      <c r="G291" s="13">
        <f t="shared" ca="1" si="54"/>
        <v>-0.5826734435204487</v>
      </c>
      <c r="H291" t="str">
        <f t="shared" ca="1" si="55"/>
        <v>No</v>
      </c>
      <c r="I291" s="5">
        <f t="shared" ca="1" si="56"/>
        <v>-2.1933591878288361E-2</v>
      </c>
    </row>
    <row r="292" spans="1:9" x14ac:dyDescent="0.2">
      <c r="A292">
        <v>-1</v>
      </c>
      <c r="B292" t="str">
        <f t="shared" ca="1" si="52"/>
        <v>Fri</v>
      </c>
      <c r="C292" s="2">
        <f ca="1">OFFSET(Data!$A$1,$C$35-A292,0,1,1)</f>
        <v>46080</v>
      </c>
      <c r="D292" s="5">
        <f ca="1">_xlfn.XLOOKUP(C292,Data!$A:$A,Data!$H:$H)</f>
        <v>1.9962570180910744E-2</v>
      </c>
      <c r="E292" s="5">
        <f ca="1">$E$35+$F$35*_xlfn.XLOOKUP(C292,Data!$A:$A,Data!$F:$F)</f>
        <v>5.3895340670401673E-3</v>
      </c>
      <c r="F292" s="5">
        <f t="shared" ca="1" si="53"/>
        <v>1.4573036113870577E-2</v>
      </c>
      <c r="G292" s="13">
        <f t="shared" ca="1" si="54"/>
        <v>0.63017969107218441</v>
      </c>
      <c r="H292" t="str">
        <f t="shared" ca="1" si="55"/>
        <v>No</v>
      </c>
      <c r="I292" s="5">
        <f t="shared" ca="1" si="56"/>
        <v>-8.5746867349072442E-3</v>
      </c>
    </row>
    <row r="293" spans="1:9" x14ac:dyDescent="0.2">
      <c r="A293">
        <v>-2</v>
      </c>
      <c r="B293" t="str">
        <f t="shared" ca="1" si="52"/>
        <v>Thu</v>
      </c>
      <c r="C293" s="2">
        <f ca="1">OFFSET(Data!$A$1,$C$35-A293,0,1,1)</f>
        <v>46079</v>
      </c>
      <c r="D293" s="5">
        <f ca="1">_xlfn.XLOOKUP(C293,Data!$A:$A,Data!$H:$H)</f>
        <v>3.1289111389236623E-3</v>
      </c>
      <c r="E293" s="5">
        <f ca="1">$E$35+$F$35*_xlfn.XLOOKUP(C293,Data!$A:$A,Data!$F:$F)</f>
        <v>-8.6179797077689715E-3</v>
      </c>
      <c r="F293" s="5">
        <f t="shared" ca="1" si="53"/>
        <v>1.1746890846692634E-2</v>
      </c>
      <c r="G293" s="13">
        <f t="shared" ca="1" si="54"/>
        <v>0.5079691003977963</v>
      </c>
      <c r="H293" t="str">
        <f t="shared" ca="1" si="55"/>
        <v>No</v>
      </c>
      <c r="I293" s="5">
        <f t="shared" ca="1" si="56"/>
        <v>-2.2815235596483685E-2</v>
      </c>
    </row>
    <row r="294" spans="1:9" x14ac:dyDescent="0.2">
      <c r="A294">
        <v>-3</v>
      </c>
      <c r="B294" t="str">
        <f t="shared" ca="1" si="52"/>
        <v>Wed</v>
      </c>
      <c r="C294" s="2">
        <f ca="1">OFFSET(Data!$A$1,$C$35-A294,0,1,1)</f>
        <v>46078</v>
      </c>
      <c r="D294" s="5">
        <f ca="1">_xlfn.XLOOKUP(C294,Data!$A:$A,Data!$H:$H)</f>
        <v>1.0113780025284402E-2</v>
      </c>
      <c r="E294" s="5">
        <f ca="1">$E$35+$F$35*_xlfn.XLOOKUP(C294,Data!$A:$A,Data!$F:$F)</f>
        <v>-1.462687418655842E-3</v>
      </c>
      <c r="F294" s="5">
        <f t="shared" ca="1" si="53"/>
        <v>1.1576467443940244E-2</v>
      </c>
      <c r="G294" s="13">
        <f t="shared" ca="1" si="54"/>
        <v>0.50059950586315083</v>
      </c>
      <c r="H294" t="str">
        <f t="shared" ca="1" si="55"/>
        <v>No</v>
      </c>
      <c r="I294" s="5">
        <f t="shared" ca="1" si="56"/>
        <v>-3.4160842752135934E-2</v>
      </c>
    </row>
    <row r="295" spans="1:9" x14ac:dyDescent="0.2">
      <c r="A295">
        <v>-4</v>
      </c>
      <c r="B295" t="str">
        <f t="shared" ca="1" si="52"/>
        <v>Tue</v>
      </c>
      <c r="C295" s="2">
        <f ca="1">OFFSET(Data!$A$1,$C$35-A295,0,1,1)</f>
        <v>46077</v>
      </c>
      <c r="D295" s="5">
        <f ca="1">_xlfn.XLOOKUP(C295,Data!$A:$A,Data!$H:$H)</f>
        <v>-3.5365853658536617E-2</v>
      </c>
      <c r="E295" s="5">
        <f ca="1">$E$35+$F$35*_xlfn.XLOOKUP(C295,Data!$A:$A,Data!$F:$F)</f>
        <v>-1.6120014163365705E-2</v>
      </c>
      <c r="F295" s="5">
        <f t="shared" ca="1" si="53"/>
        <v>-1.9245839495170912E-2</v>
      </c>
      <c r="G295" s="13">
        <f t="shared" ca="1" si="54"/>
        <v>-0.83224505125242443</v>
      </c>
      <c r="H295" t="str">
        <f t="shared" ca="1" si="55"/>
        <v>No</v>
      </c>
      <c r="I295" s="5">
        <f t="shared" ca="1" si="56"/>
        <v>-4.5213893035338737E-2</v>
      </c>
    </row>
    <row r="296" spans="1:9" x14ac:dyDescent="0.2">
      <c r="A296">
        <v>-5</v>
      </c>
      <c r="B296" t="str">
        <f t="shared" ca="1" si="52"/>
        <v>Mon</v>
      </c>
      <c r="C296" s="2">
        <f ca="1">OFFSET(Data!$A$1,$C$35-A296,0,1,1)</f>
        <v>46076</v>
      </c>
      <c r="D296" s="5">
        <f ca="1">_xlfn.XLOOKUP(C296,Data!$A:$A,Data!$H:$H)</f>
        <v>-3.0732860520094607E-2</v>
      </c>
      <c r="E296" s="5">
        <f ca="1">$E$35+$F$35*_xlfn.XLOOKUP(C296,Data!$A:$A,Data!$F:$F)</f>
        <v>1.5830858452588151E-3</v>
      </c>
      <c r="F296" s="5">
        <f t="shared" ca="1" si="53"/>
        <v>-3.2315946365353419E-2</v>
      </c>
      <c r="G296" s="13">
        <f t="shared" ca="1" si="54"/>
        <v>-1.3974337906045868</v>
      </c>
      <c r="H296" t="str">
        <f t="shared" ca="1" si="55"/>
        <v>No</v>
      </c>
      <c r="I296" s="5">
        <f t="shared" ca="1" si="56"/>
        <v>-2.6477637909587015E-2</v>
      </c>
    </row>
    <row r="297" spans="1:9" x14ac:dyDescent="0.2">
      <c r="A297">
        <v>-6</v>
      </c>
      <c r="B297" t="str">
        <f t="shared" ca="1" si="52"/>
        <v>Fri</v>
      </c>
      <c r="C297" s="2">
        <f ca="1">OFFSET(Data!$A$1,$C$35-A297,0,1,1)</f>
        <v>46073</v>
      </c>
      <c r="D297" s="5">
        <f ca="1">_xlfn.XLOOKUP(C297,Data!$A:$A,Data!$H:$H)</f>
        <v>5.9453032104637149E-3</v>
      </c>
      <c r="E297" s="5">
        <f ca="1">$E$35+$F$35*_xlfn.XLOOKUP(C297,Data!$A:$A,Data!$F:$F)</f>
        <v>7.0630608415789041E-3</v>
      </c>
      <c r="F297" s="5">
        <f t="shared" ca="1" si="53"/>
        <v>-1.1177576311151892E-3</v>
      </c>
      <c r="G297" s="13">
        <f t="shared" ca="1" si="54"/>
        <v>-4.8335031435166202E-2</v>
      </c>
      <c r="H297" t="str">
        <f t="shared" ca="1" si="55"/>
        <v>No</v>
      </c>
      <c r="I297" s="5">
        <f t="shared" ca="1" si="56"/>
        <v>6.0332795955844176E-3</v>
      </c>
    </row>
    <row r="298" spans="1:9" x14ac:dyDescent="0.2">
      <c r="A298">
        <v>-7</v>
      </c>
      <c r="B298" t="str">
        <f t="shared" ca="1" si="52"/>
        <v>Thu</v>
      </c>
      <c r="C298" s="2">
        <f ca="1">OFFSET(Data!$A$1,$C$35-A298,0,1,1)</f>
        <v>46072</v>
      </c>
      <c r="D298" s="5">
        <f ca="1">_xlfn.XLOOKUP(C298,Data!$A:$A,Data!$H:$H)</f>
        <v>-1.4645577035735213E-2</v>
      </c>
      <c r="E298" s="5">
        <f ca="1">$E$35+$F$35*_xlfn.XLOOKUP(C298,Data!$A:$A,Data!$F:$F)</f>
        <v>-4.5936720535210548E-3</v>
      </c>
      <c r="F298" s="5">
        <f t="shared" ca="1" si="53"/>
        <v>-1.0051904982214158E-2</v>
      </c>
      <c r="G298" s="13">
        <f t="shared" ca="1" si="54"/>
        <v>-0.43467307202714628</v>
      </c>
      <c r="H298" t="str">
        <f t="shared" ca="1" si="55"/>
        <v>No</v>
      </c>
      <c r="I298" s="5">
        <f t="shared" ca="1" si="56"/>
        <v>7.1590392975058315E-3</v>
      </c>
    </row>
    <row r="299" spans="1:9" x14ac:dyDescent="0.2">
      <c r="A299">
        <v>-8</v>
      </c>
      <c r="B299" t="str">
        <f t="shared" ca="1" si="52"/>
        <v>Wed</v>
      </c>
      <c r="C299" s="2">
        <f ca="1">OFFSET(Data!$A$1,$C$35-A299,0,1,1)</f>
        <v>46071</v>
      </c>
      <c r="D299" s="5">
        <f ca="1">_xlfn.XLOOKUP(C299,Data!$A:$A,Data!$H:$H)</f>
        <v>-5.8548009367676013E-4</v>
      </c>
      <c r="E299" s="5">
        <f ca="1">$E$35+$F$35*_xlfn.XLOOKUP(C299,Data!$A:$A,Data!$F:$F)</f>
        <v>8.0039884951498795E-3</v>
      </c>
      <c r="F299" s="5">
        <f t="shared" ca="1" si="53"/>
        <v>-8.5894685888266396E-3</v>
      </c>
      <c r="G299" s="13">
        <f t="shared" ca="1" si="54"/>
        <v>-0.371433146770906</v>
      </c>
      <c r="H299" t="str">
        <f t="shared" ca="1" si="55"/>
        <v>No</v>
      </c>
      <c r="I299" s="5">
        <f t="shared" ca="1" si="56"/>
        <v>1.7385703721578327E-2</v>
      </c>
    </row>
    <row r="300" spans="1:9" x14ac:dyDescent="0.2">
      <c r="A300">
        <v>-9</v>
      </c>
      <c r="B300" t="str">
        <f t="shared" ca="1" si="52"/>
        <v>Tue</v>
      </c>
      <c r="C300" s="2">
        <f ca="1">OFFSET(Data!$A$1,$C$35-A300,0,1,1)</f>
        <v>46070</v>
      </c>
      <c r="D300" s="5">
        <f ca="1">_xlfn.XLOOKUP(C300,Data!$A:$A,Data!$H:$H)</f>
        <v>1.4251781472684133E-2</v>
      </c>
      <c r="E300" s="5">
        <f ca="1">$E$35+$F$35*_xlfn.XLOOKUP(C300,Data!$A:$A,Data!$F:$F)</f>
        <v>1.9094547646617938E-3</v>
      </c>
      <c r="F300" s="5">
        <f t="shared" ca="1" si="53"/>
        <v>1.2342326708022339E-2</v>
      </c>
      <c r="G300" s="13">
        <f t="shared" ca="1" si="54"/>
        <v>0.53371744715368674</v>
      </c>
      <c r="H300" t="str">
        <f t="shared" ca="1" si="55"/>
        <v>No</v>
      </c>
      <c r="I300" s="5">
        <f t="shared" ca="1" si="56"/>
        <v>2.6200218262188324E-2</v>
      </c>
    </row>
    <row r="301" spans="1:9" x14ac:dyDescent="0.2">
      <c r="A301">
        <v>-10</v>
      </c>
      <c r="B301" t="str">
        <f t="shared" ca="1" si="52"/>
        <v>Mon</v>
      </c>
      <c r="C301" s="2">
        <f ca="1">OFFSET(Data!$A$1,$C$35-A301,0,1,1)</f>
        <v>46069</v>
      </c>
      <c r="D301" s="5">
        <f ca="1">_xlfn.XLOOKUP(C301,Data!$A:$A,Data!$H:$H)</f>
        <v>1.8753781004234638E-2</v>
      </c>
      <c r="E301" s="5">
        <f ca="1">$E$35+$F$35*_xlfn.XLOOKUP(C301,Data!$A:$A,Data!$F:$F)</f>
        <v>5.0648427976996511E-3</v>
      </c>
      <c r="F301" s="5">
        <f t="shared" ca="1" si="53"/>
        <v>1.3688938206534986E-2</v>
      </c>
      <c r="G301" s="13">
        <f t="shared" ca="1" si="54"/>
        <v>0.5919487732477221</v>
      </c>
      <c r="H301" t="str">
        <f t="shared" ca="1" si="55"/>
        <v>No</v>
      </c>
      <c r="I301" s="5">
        <f ca="1">F301</f>
        <v>1.3688938206534986E-2</v>
      </c>
    </row>
    <row r="303" spans="1:9" x14ac:dyDescent="0.2">
      <c r="A303" s="3" t="s">
        <v>60</v>
      </c>
      <c r="B303" t="str">
        <f>E21</f>
        <v>Pakistan-brokered ceasefire</v>
      </c>
    </row>
    <row r="304" spans="1:9" x14ac:dyDescent="0.2">
      <c r="A304" s="12" t="s">
        <v>42</v>
      </c>
      <c r="B304" s="12" t="s">
        <v>43</v>
      </c>
      <c r="C304" s="12" t="s">
        <v>0</v>
      </c>
      <c r="D304" s="12" t="s">
        <v>44</v>
      </c>
      <c r="E304" s="12" t="s">
        <v>45</v>
      </c>
      <c r="F304" s="12" t="s">
        <v>46</v>
      </c>
      <c r="G304" s="12" t="s">
        <v>47</v>
      </c>
      <c r="H304" s="12" t="s">
        <v>48</v>
      </c>
      <c r="I304" s="12" t="s">
        <v>49</v>
      </c>
    </row>
    <row r="305" spans="1:9" x14ac:dyDescent="0.2">
      <c r="A305">
        <v>10</v>
      </c>
      <c r="B305" t="str">
        <f t="shared" ref="B305:B325" ca="1" si="57">TEXT(WEEKDAY(C305),"ddd")</f>
        <v>Mon</v>
      </c>
      <c r="C305" s="2">
        <f ca="1">OFFSET(Data!$A$1,$C$36-A305,0,1,1)</f>
        <v>46139</v>
      </c>
      <c r="D305" s="5">
        <f ca="1">_xlfn.XLOOKUP(C305,Data!$A:$A,Data!$H:$H)</f>
        <v>1.1017498379779722E-2</v>
      </c>
      <c r="E305" s="5">
        <f ca="1">$E$36+$F$36*_xlfn.XLOOKUP(C305,Data!$A:$A,Data!$F:$F)</f>
        <v>2.2450748232873206E-4</v>
      </c>
      <c r="F305" s="5">
        <f t="shared" ref="F305:F325" ca="1" si="58">D305-E305</f>
        <v>1.0792990897450991E-2</v>
      </c>
      <c r="G305" s="13">
        <f t="shared" ref="G305:G325" ca="1" si="59">F305/$I$36</f>
        <v>0.45810206357081984</v>
      </c>
      <c r="H305" t="str">
        <f t="shared" ref="H305:H325" ca="1" si="60">IF(ABS(G305)&lt;$B$6,"No","Yes")</f>
        <v>No</v>
      </c>
      <c r="I305" s="5">
        <f t="shared" ref="I305:I324" ca="1" si="61">(1+I306)*(1+F305)-1</f>
        <v>-1.1306386224107401E-2</v>
      </c>
    </row>
    <row r="306" spans="1:9" x14ac:dyDescent="0.2">
      <c r="A306">
        <v>9</v>
      </c>
      <c r="B306" t="str">
        <f t="shared" ca="1" si="57"/>
        <v>Fri</v>
      </c>
      <c r="C306" s="2">
        <f ca="1">OFFSET(Data!$A$1,$C$36-A306,0,1,1)</f>
        <v>46136</v>
      </c>
      <c r="D306" s="5">
        <f ca="1">_xlfn.XLOOKUP(C306,Data!$A:$A,Data!$H:$H)</f>
        <v>-1.9071837253655466E-2</v>
      </c>
      <c r="E306" s="5">
        <f ca="1">$E$36+$F$36*_xlfn.XLOOKUP(C306,Data!$A:$A,Data!$F:$F)</f>
        <v>-9.8003597540609368E-3</v>
      </c>
      <c r="F306" s="5">
        <f t="shared" ca="1" si="58"/>
        <v>-9.2714774995945291E-3</v>
      </c>
      <c r="G306" s="13">
        <f t="shared" ca="1" si="59"/>
        <v>-0.39352233456601643</v>
      </c>
      <c r="H306" t="str">
        <f t="shared" ca="1" si="60"/>
        <v>No</v>
      </c>
      <c r="I306" s="5">
        <f t="shared" ca="1" si="61"/>
        <v>-2.1863405584101825E-2</v>
      </c>
    </row>
    <row r="307" spans="1:9" x14ac:dyDescent="0.2">
      <c r="A307">
        <v>8</v>
      </c>
      <c r="B307" t="str">
        <f t="shared" ca="1" si="57"/>
        <v>Thu</v>
      </c>
      <c r="C307" s="2">
        <f ca="1">OFFSET(Data!$A$1,$C$36-A307,0,1,1)</f>
        <v>46135</v>
      </c>
      <c r="D307" s="5">
        <f ca="1">_xlfn.XLOOKUP(C307,Data!$A:$A,Data!$H:$H)</f>
        <v>-6.9444444444444198E-3</v>
      </c>
      <c r="E307" s="5">
        <f ca="1">$E$36+$F$36*_xlfn.XLOOKUP(C307,Data!$A:$A,Data!$F:$F)</f>
        <v>9.565153676846308E-4</v>
      </c>
      <c r="F307" s="5">
        <f t="shared" ca="1" si="58"/>
        <v>-7.9009598121290506E-3</v>
      </c>
      <c r="G307" s="13">
        <f t="shared" ca="1" si="59"/>
        <v>-0.3353515284610542</v>
      </c>
      <c r="H307" t="str">
        <f t="shared" ca="1" si="60"/>
        <v>No</v>
      </c>
      <c r="I307" s="5">
        <f t="shared" ca="1" si="61"/>
        <v>-1.2709766397688504E-2</v>
      </c>
    </row>
    <row r="308" spans="1:9" x14ac:dyDescent="0.2">
      <c r="A308">
        <v>7</v>
      </c>
      <c r="B308" t="str">
        <f t="shared" ca="1" si="57"/>
        <v>Mon</v>
      </c>
      <c r="C308" s="2">
        <f ca="1">OFFSET(Data!$A$1,$C$36-A308,0,1,1)</f>
        <v>46132</v>
      </c>
      <c r="D308" s="5">
        <f ca="1">_xlfn.XLOOKUP(C308,Data!$A:$A,Data!$H:$H)</f>
        <v>1.0204081632652962E-2</v>
      </c>
      <c r="E308" s="5">
        <f ca="1">$E$36+$F$36*_xlfn.XLOOKUP(C308,Data!$A:$A,Data!$F:$F)</f>
        <v>4.7124340996079622E-3</v>
      </c>
      <c r="F308" s="5">
        <f t="shared" ca="1" si="58"/>
        <v>5.4916475330449993E-3</v>
      </c>
      <c r="G308" s="13">
        <f t="shared" ca="1" si="59"/>
        <v>0.23308970527211917</v>
      </c>
      <c r="H308" t="str">
        <f t="shared" ca="1" si="60"/>
        <v>No</v>
      </c>
      <c r="I308" s="5">
        <f t="shared" ca="1" si="61"/>
        <v>-4.8471033543675546E-3</v>
      </c>
    </row>
    <row r="309" spans="1:9" x14ac:dyDescent="0.2">
      <c r="A309">
        <v>6</v>
      </c>
      <c r="B309" t="str">
        <f t="shared" ca="1" si="57"/>
        <v>Fri</v>
      </c>
      <c r="C309" s="2">
        <f ca="1">OFFSET(Data!$A$1,$C$36-A309,0,1,1)</f>
        <v>46129</v>
      </c>
      <c r="D309" s="5">
        <f ca="1">_xlfn.XLOOKUP(C309,Data!$A:$A,Data!$H:$H)</f>
        <v>4.2553191489361764E-2</v>
      </c>
      <c r="E309" s="5">
        <f ca="1">$E$36+$F$36*_xlfn.XLOOKUP(C309,Data!$A:$A,Data!$F:$F)</f>
        <v>1.010621894077007E-2</v>
      </c>
      <c r="F309" s="5">
        <f t="shared" ca="1" si="58"/>
        <v>3.244697254859169E-2</v>
      </c>
      <c r="G309" s="13">
        <f t="shared" ca="1" si="59"/>
        <v>1.3771924040671686</v>
      </c>
      <c r="H309" t="str">
        <f t="shared" ca="1" si="60"/>
        <v>No</v>
      </c>
      <c r="I309" s="5">
        <f t="shared" ca="1" si="61"/>
        <v>-1.0282284206714731E-2</v>
      </c>
    </row>
    <row r="310" spans="1:9" x14ac:dyDescent="0.2">
      <c r="A310">
        <v>5</v>
      </c>
      <c r="B310" t="str">
        <f t="shared" ca="1" si="57"/>
        <v>Thu</v>
      </c>
      <c r="C310" s="2">
        <f ca="1">OFFSET(Data!$A$1,$C$36-A310,0,1,1)</f>
        <v>46128</v>
      </c>
      <c r="D310" s="5">
        <f ca="1">_xlfn.XLOOKUP(C310,Data!$A:$A,Data!$H:$H)</f>
        <v>-2.5906735751295318E-2</v>
      </c>
      <c r="E310" s="5">
        <f ca="1">$E$36+$F$36*_xlfn.XLOOKUP(C310,Data!$A:$A,Data!$F:$F)</f>
        <v>-8.5293967645150987E-3</v>
      </c>
      <c r="F310" s="5">
        <f t="shared" ca="1" si="58"/>
        <v>-1.7377338986780219E-2</v>
      </c>
      <c r="G310" s="13">
        <f t="shared" ca="1" si="59"/>
        <v>-0.73757079245695956</v>
      </c>
      <c r="H310" t="str">
        <f t="shared" ca="1" si="60"/>
        <v>No</v>
      </c>
      <c r="I310" s="5">
        <f t="shared" ca="1" si="61"/>
        <v>-4.1386393578964453E-2</v>
      </c>
    </row>
    <row r="311" spans="1:9" x14ac:dyDescent="0.2">
      <c r="A311">
        <v>4</v>
      </c>
      <c r="B311" t="str">
        <f t="shared" ca="1" si="57"/>
        <v>Wed</v>
      </c>
      <c r="C311" s="2">
        <f ca="1">OFFSET(Data!$A$1,$C$36-A311,0,1,1)</f>
        <v>46127</v>
      </c>
      <c r="D311" s="5">
        <f ca="1">_xlfn.XLOOKUP(C311,Data!$A:$A,Data!$H:$H)</f>
        <v>-1.025641025641022E-2</v>
      </c>
      <c r="E311" s="5">
        <f ca="1">$E$36+$F$36*_xlfn.XLOOKUP(C311,Data!$A:$A,Data!$F:$F)</f>
        <v>-3.9291048551904385E-3</v>
      </c>
      <c r="F311" s="5">
        <f t="shared" ca="1" si="58"/>
        <v>-6.3273054012197814E-3</v>
      </c>
      <c r="G311" s="13">
        <f t="shared" ca="1" si="59"/>
        <v>-0.26855870524509889</v>
      </c>
      <c r="H311" t="str">
        <f t="shared" ca="1" si="60"/>
        <v>No</v>
      </c>
      <c r="I311" s="5">
        <f t="shared" ca="1" si="61"/>
        <v>-2.4433646347446936E-2</v>
      </c>
    </row>
    <row r="312" spans="1:9" x14ac:dyDescent="0.2">
      <c r="A312">
        <v>3</v>
      </c>
      <c r="B312" t="str">
        <f t="shared" ca="1" si="57"/>
        <v>Tue</v>
      </c>
      <c r="C312" s="2">
        <f ca="1">OFFSET(Data!$A$1,$C$36-A312,0,1,1)</f>
        <v>46126</v>
      </c>
      <c r="D312" s="5">
        <f ca="1">_xlfn.XLOOKUP(C312,Data!$A:$A,Data!$H:$H)</f>
        <v>1.9607843137254832E-2</v>
      </c>
      <c r="E312" s="5">
        <f ca="1">$E$36+$F$36*_xlfn.XLOOKUP(C312,Data!$A:$A,Data!$F:$F)</f>
        <v>1.351261622567396E-2</v>
      </c>
      <c r="F312" s="5">
        <f t="shared" ca="1" si="58"/>
        <v>6.095226911580872E-3</v>
      </c>
      <c r="G312" s="13">
        <f t="shared" ca="1" si="59"/>
        <v>0.25870827212381348</v>
      </c>
      <c r="H312" t="str">
        <f t="shared" ca="1" si="60"/>
        <v>No</v>
      </c>
      <c r="I312" s="5">
        <f t="shared" ca="1" si="61"/>
        <v>-1.8221634794481356E-2</v>
      </c>
    </row>
    <row r="313" spans="1:9" x14ac:dyDescent="0.2">
      <c r="A313">
        <v>2</v>
      </c>
      <c r="B313" t="str">
        <f t="shared" ca="1" si="57"/>
        <v>Mon</v>
      </c>
      <c r="C313" s="2">
        <f ca="1">OFFSET(Data!$A$1,$C$36-A313,0,1,1)</f>
        <v>46125</v>
      </c>
      <c r="D313" s="5">
        <f ca="1">_xlfn.XLOOKUP(C313,Data!$A:$A,Data!$H:$H)</f>
        <v>-9.7087378640776656E-3</v>
      </c>
      <c r="E313" s="5">
        <f ca="1">$E$36+$F$36*_xlfn.XLOOKUP(C313,Data!$A:$A,Data!$F:$F)</f>
        <v>-1.1617709800470593E-2</v>
      </c>
      <c r="F313" s="5">
        <f t="shared" ca="1" si="58"/>
        <v>1.9089719363929274E-3</v>
      </c>
      <c r="G313" s="13">
        <f t="shared" ca="1" si="59"/>
        <v>8.1025175659780999E-2</v>
      </c>
      <c r="H313" t="str">
        <f t="shared" ca="1" si="60"/>
        <v>No</v>
      </c>
      <c r="I313" s="5">
        <f t="shared" ca="1" si="61"/>
        <v>-2.4169542857993553E-2</v>
      </c>
    </row>
    <row r="314" spans="1:9" x14ac:dyDescent="0.2">
      <c r="A314">
        <v>1</v>
      </c>
      <c r="B314" t="str">
        <f t="shared" ca="1" si="57"/>
        <v>Fri</v>
      </c>
      <c r="C314" s="2">
        <f ca="1">OFFSET(Data!$A$1,$C$36-A314,0,1,1)</f>
        <v>46122</v>
      </c>
      <c r="D314" s="5">
        <f ca="1">_xlfn.XLOOKUP(C314,Data!$A:$A,Data!$H:$H)</f>
        <v>3.2467532467532756E-3</v>
      </c>
      <c r="E314" s="5">
        <f ca="1">$E$36+$F$36*_xlfn.XLOOKUP(C314,Data!$A:$A,Data!$F:$F)</f>
        <v>1.7201177771414063E-2</v>
      </c>
      <c r="F314" s="5">
        <f t="shared" ca="1" si="58"/>
        <v>-1.3954424524660787E-2</v>
      </c>
      <c r="G314" s="13">
        <f t="shared" ca="1" si="59"/>
        <v>-0.59228722894597352</v>
      </c>
      <c r="H314" t="str">
        <f t="shared" ca="1" si="60"/>
        <v>No</v>
      </c>
      <c r="I314" s="5">
        <f t="shared" ca="1" si="61"/>
        <v>-2.6028826495070212E-2</v>
      </c>
    </row>
    <row r="315" spans="1:9" x14ac:dyDescent="0.2">
      <c r="A315">
        <v>0</v>
      </c>
      <c r="B315" t="str">
        <f t="shared" ca="1" si="57"/>
        <v>Thu</v>
      </c>
      <c r="C315" s="2">
        <f ca="1">OFFSET(Data!$A$1,$C$36-A315,0,1,1)</f>
        <v>46121</v>
      </c>
      <c r="D315" s="5">
        <f ca="1">_xlfn.XLOOKUP(C315,Data!$A:$A,Data!$H:$H)</f>
        <v>1.5161502966380969E-2</v>
      </c>
      <c r="E315" s="5">
        <f ca="1">$E$36+$F$36*_xlfn.XLOOKUP(C315,Data!$A:$A,Data!$F:$F)</f>
        <v>2.1614540616118002E-2</v>
      </c>
      <c r="F315" s="5">
        <f t="shared" ca="1" si="58"/>
        <v>-6.4530376497370333E-3</v>
      </c>
      <c r="G315" s="13">
        <f t="shared" ca="1" si="59"/>
        <v>-0.27389533556846507</v>
      </c>
      <c r="H315" t="str">
        <f t="shared" ca="1" si="60"/>
        <v>No</v>
      </c>
      <c r="I315" s="5">
        <f t="shared" ca="1" si="61"/>
        <v>-1.2245277774902807E-2</v>
      </c>
    </row>
    <row r="316" spans="1:9" x14ac:dyDescent="0.2">
      <c r="A316">
        <v>-1</v>
      </c>
      <c r="B316" t="str">
        <f t="shared" ca="1" si="57"/>
        <v>Mon</v>
      </c>
      <c r="C316" s="2">
        <f ca="1">OFFSET(Data!$A$1,$C$36-A316,0,1,1)</f>
        <v>46118</v>
      </c>
      <c r="D316" s="5">
        <f ca="1">_xlfn.XLOOKUP(C316,Data!$A:$A,Data!$H:$H)</f>
        <v>3.6202185792349795E-2</v>
      </c>
      <c r="E316" s="5">
        <f ca="1">$E$36+$F$36*_xlfn.XLOOKUP(C316,Data!$A:$A,Data!$F:$F)</f>
        <v>1.120866434892575E-2</v>
      </c>
      <c r="F316" s="5">
        <f t="shared" ca="1" si="58"/>
        <v>2.4993521443424045E-2</v>
      </c>
      <c r="G316" s="13">
        <f t="shared" ca="1" si="59"/>
        <v>1.0608351158563629</v>
      </c>
      <c r="H316" t="str">
        <f t="shared" ca="1" si="60"/>
        <v>No</v>
      </c>
      <c r="I316" s="5">
        <f t="shared" ca="1" si="61"/>
        <v>-5.8298604340393245E-3</v>
      </c>
    </row>
    <row r="317" spans="1:9" x14ac:dyDescent="0.2">
      <c r="A317">
        <v>-2</v>
      </c>
      <c r="B317" t="str">
        <f t="shared" ca="1" si="57"/>
        <v>Fri</v>
      </c>
      <c r="C317" s="2">
        <f ca="1">OFFSET(Data!$A$1,$C$36-A317,0,1,1)</f>
        <v>46115</v>
      </c>
      <c r="D317" s="5">
        <f ca="1">_xlfn.XLOOKUP(C317,Data!$A:$A,Data!$H:$H)</f>
        <v>-7.4576271186440612E-3</v>
      </c>
      <c r="E317" s="5">
        <f ca="1">$E$36+$F$36*_xlfn.XLOOKUP(C317,Data!$A:$A,Data!$F:$F)</f>
        <v>2.05969539174439E-2</v>
      </c>
      <c r="F317" s="5">
        <f t="shared" ca="1" si="58"/>
        <v>-2.8054581036087961E-2</v>
      </c>
      <c r="G317" s="13">
        <f t="shared" ca="1" si="59"/>
        <v>-1.190759965180916</v>
      </c>
      <c r="H317" t="str">
        <f t="shared" ca="1" si="60"/>
        <v>No</v>
      </c>
      <c r="I317" s="5">
        <f t="shared" ca="1" si="61"/>
        <v>-3.0071782145566162E-2</v>
      </c>
    </row>
    <row r="318" spans="1:9" x14ac:dyDescent="0.2">
      <c r="A318">
        <v>-3</v>
      </c>
      <c r="B318" t="str">
        <f t="shared" ca="1" si="57"/>
        <v>Tue</v>
      </c>
      <c r="C318" s="2">
        <f ca="1">OFFSET(Data!$A$1,$C$36-A318,0,1,1)</f>
        <v>46112</v>
      </c>
      <c r="D318" s="5">
        <f ca="1">_xlfn.XLOOKUP(C318,Data!$A:$A,Data!$H:$H)</f>
        <v>3.8732394366197243E-2</v>
      </c>
      <c r="E318" s="5">
        <f ca="1">$E$36+$F$36*_xlfn.XLOOKUP(C318,Data!$A:$A,Data!$F:$F)</f>
        <v>1.7424572979752005E-2</v>
      </c>
      <c r="F318" s="5">
        <f t="shared" ca="1" si="58"/>
        <v>2.1307821386445238E-2</v>
      </c>
      <c r="G318" s="13">
        <f t="shared" ca="1" si="59"/>
        <v>0.90439777445141079</v>
      </c>
      <c r="H318" t="str">
        <f t="shared" ca="1" si="60"/>
        <v>No</v>
      </c>
      <c r="I318" s="5">
        <f t="shared" ca="1" si="61"/>
        <v>-2.07542632551172E-3</v>
      </c>
    </row>
    <row r="319" spans="1:9" x14ac:dyDescent="0.2">
      <c r="A319">
        <v>-4</v>
      </c>
      <c r="B319" t="str">
        <f t="shared" ca="1" si="57"/>
        <v>Mon</v>
      </c>
      <c r="C319" s="2">
        <f ca="1">OFFSET(Data!$A$1,$C$36-A319,0,1,1)</f>
        <v>46111</v>
      </c>
      <c r="D319" s="5">
        <f ca="1">_xlfn.XLOOKUP(C319,Data!$A:$A,Data!$H:$H)</f>
        <v>-5.3333333333333344E-2</v>
      </c>
      <c r="E319" s="5">
        <f ca="1">$E$36+$F$36*_xlfn.XLOOKUP(C319,Data!$A:$A,Data!$F:$F)</f>
        <v>-1.6238470582653639E-2</v>
      </c>
      <c r="F319" s="5">
        <f t="shared" ca="1" si="58"/>
        <v>-3.7094862750679705E-2</v>
      </c>
      <c r="G319" s="13">
        <f t="shared" ca="1" si="59"/>
        <v>-1.5744693324976349</v>
      </c>
      <c r="H319" t="str">
        <f t="shared" ca="1" si="60"/>
        <v>No</v>
      </c>
      <c r="I319" s="5">
        <f t="shared" ca="1" si="61"/>
        <v>-2.2895396688741521E-2</v>
      </c>
    </row>
    <row r="320" spans="1:9" x14ac:dyDescent="0.2">
      <c r="A320">
        <v>-5</v>
      </c>
      <c r="B320" t="str">
        <f t="shared" ca="1" si="57"/>
        <v>Fri</v>
      </c>
      <c r="C320" s="2">
        <f ca="1">OFFSET(Data!$A$1,$C$36-A320,0,1,1)</f>
        <v>46108</v>
      </c>
      <c r="D320" s="5">
        <f ca="1">_xlfn.XLOOKUP(C320,Data!$A:$A,Data!$H:$H)</f>
        <v>-1.3157894736842146E-2</v>
      </c>
      <c r="E320" s="5">
        <f ca="1">$E$36+$F$36*_xlfn.XLOOKUP(C320,Data!$A:$A,Data!$F:$F)</f>
        <v>-2.9725583406391951E-2</v>
      </c>
      <c r="F320" s="5">
        <f t="shared" ca="1" si="58"/>
        <v>1.6567688669549805E-2</v>
      </c>
      <c r="G320" s="13">
        <f t="shared" ca="1" si="59"/>
        <v>0.70320566747741209</v>
      </c>
      <c r="H320" t="str">
        <f t="shared" ca="1" si="60"/>
        <v>No</v>
      </c>
      <c r="I320" s="5">
        <f t="shared" ca="1" si="61"/>
        <v>1.4746484895179934E-2</v>
      </c>
    </row>
    <row r="321" spans="1:9" x14ac:dyDescent="0.2">
      <c r="A321">
        <v>-6</v>
      </c>
      <c r="B321" t="str">
        <f t="shared" ca="1" si="57"/>
        <v>Thu</v>
      </c>
      <c r="C321" s="2">
        <f ca="1">OFFSET(Data!$A$1,$C$36-A321,0,1,1)</f>
        <v>46107</v>
      </c>
      <c r="D321" s="5">
        <f ca="1">_xlfn.XLOOKUP(C321,Data!$A:$A,Data!$H:$H)</f>
        <v>8.6264100862640802E-3</v>
      </c>
      <c r="E321" s="5">
        <f ca="1">$E$36+$F$36*_xlfn.XLOOKUP(C321,Data!$A:$A,Data!$F:$F)</f>
        <v>-6.7056598162152916E-3</v>
      </c>
      <c r="F321" s="5">
        <f t="shared" ca="1" si="58"/>
        <v>1.5332069902479373E-2</v>
      </c>
      <c r="G321" s="13">
        <f t="shared" ca="1" si="59"/>
        <v>0.65076056561825268</v>
      </c>
      <c r="H321" t="str">
        <f t="shared" ca="1" si="60"/>
        <v>No</v>
      </c>
      <c r="I321" s="5">
        <f t="shared" ca="1" si="61"/>
        <v>-1.7915223891814547E-3</v>
      </c>
    </row>
    <row r="322" spans="1:9" x14ac:dyDescent="0.2">
      <c r="A322">
        <v>-7</v>
      </c>
      <c r="B322" t="str">
        <f t="shared" ca="1" si="57"/>
        <v>Wed</v>
      </c>
      <c r="C322" s="2">
        <f ca="1">OFFSET(Data!$A$1,$C$36-A322,0,1,1)</f>
        <v>46106</v>
      </c>
      <c r="D322" s="5">
        <f ca="1">_xlfn.XLOOKUP(C322,Data!$A:$A,Data!$H:$H)</f>
        <v>-1.888020833333337E-2</v>
      </c>
      <c r="E322" s="5">
        <f ca="1">$E$36+$F$36*_xlfn.XLOOKUP(C322,Data!$A:$A,Data!$F:$F)</f>
        <v>8.2386436224555198E-3</v>
      </c>
      <c r="F322" s="5">
        <f t="shared" ca="1" si="58"/>
        <v>-2.7118851955788892E-2</v>
      </c>
      <c r="G322" s="13">
        <f t="shared" ca="1" si="59"/>
        <v>-1.1510435022744692</v>
      </c>
      <c r="H322" t="str">
        <f t="shared" ca="1" si="60"/>
        <v>No</v>
      </c>
      <c r="I322" s="5">
        <f t="shared" ca="1" si="61"/>
        <v>-1.6865016677061528E-2</v>
      </c>
    </row>
    <row r="323" spans="1:9" x14ac:dyDescent="0.2">
      <c r="A323">
        <v>-8</v>
      </c>
      <c r="B323" t="str">
        <f t="shared" ca="1" si="57"/>
        <v>Tue</v>
      </c>
      <c r="C323" s="2">
        <f ca="1">OFFSET(Data!$A$1,$C$36-A323,0,1,1)</f>
        <v>46105</v>
      </c>
      <c r="D323" s="5">
        <f ca="1">_xlfn.XLOOKUP(C323,Data!$A:$A,Data!$H:$H)</f>
        <v>-2.2900763358778664E-2</v>
      </c>
      <c r="E323" s="5">
        <f ca="1">$E$36+$F$36*_xlfn.XLOOKUP(C323,Data!$A:$A,Data!$F:$F)</f>
        <v>-9.717822998834974E-3</v>
      </c>
      <c r="F323" s="5">
        <f t="shared" ca="1" si="58"/>
        <v>-1.318294035994369E-2</v>
      </c>
      <c r="G323" s="13">
        <f t="shared" ca="1" si="59"/>
        <v>-0.55954204355416703</v>
      </c>
      <c r="H323" t="str">
        <f t="shared" ca="1" si="60"/>
        <v>No</v>
      </c>
      <c r="I323" s="5">
        <f t="shared" ca="1" si="61"/>
        <v>1.0539658723309309E-2</v>
      </c>
    </row>
    <row r="324" spans="1:9" x14ac:dyDescent="0.2">
      <c r="A324">
        <v>-9</v>
      </c>
      <c r="B324" t="str">
        <f t="shared" ca="1" si="57"/>
        <v>Mon</v>
      </c>
      <c r="C324" s="2">
        <f ca="1">OFFSET(Data!$A$1,$C$36-A324,0,1,1)</f>
        <v>46104</v>
      </c>
      <c r="D324" s="5">
        <f ca="1">_xlfn.XLOOKUP(C324,Data!$A:$A,Data!$H:$H)</f>
        <v>1.9455252918287869E-2</v>
      </c>
      <c r="E324" s="5">
        <f ca="1">$E$36+$F$36*_xlfn.XLOOKUP(C324,Data!$A:$A,Data!$F:$F)</f>
        <v>-3.3332066545086487E-3</v>
      </c>
      <c r="F324" s="5">
        <f t="shared" ca="1" si="58"/>
        <v>2.2788459572796516E-2</v>
      </c>
      <c r="G324" s="13">
        <f t="shared" ca="1" si="59"/>
        <v>0.96724257947477732</v>
      </c>
      <c r="H324" t="str">
        <f t="shared" ca="1" si="60"/>
        <v>No</v>
      </c>
      <c r="I324" s="5">
        <f t="shared" ca="1" si="61"/>
        <v>2.4039510516676632E-2</v>
      </c>
    </row>
    <row r="325" spans="1:9" x14ac:dyDescent="0.2">
      <c r="A325">
        <v>-10</v>
      </c>
      <c r="B325" t="str">
        <f t="shared" ca="1" si="57"/>
        <v>Fri</v>
      </c>
      <c r="C325" s="2">
        <f ca="1">OFFSET(Data!$A$1,$C$36-A325,0,1,1)</f>
        <v>46101</v>
      </c>
      <c r="D325" s="5">
        <f ca="1">_xlfn.XLOOKUP(C325,Data!$A:$A,Data!$H:$H)</f>
        <v>4.5602605863193091E-3</v>
      </c>
      <c r="E325" s="5">
        <f ca="1">$E$36+$F$36*_xlfn.XLOOKUP(C325,Data!$A:$A,Data!$F:$F)</f>
        <v>3.3370839536824739E-3</v>
      </c>
      <c r="F325" s="5">
        <f t="shared" ca="1" si="58"/>
        <v>1.2231766326368351E-3</v>
      </c>
      <c r="G325" s="13">
        <f t="shared" ca="1" si="59"/>
        <v>5.1917002881460575E-2</v>
      </c>
      <c r="H325" t="str">
        <f t="shared" ca="1" si="60"/>
        <v>No</v>
      </c>
      <c r="I325" s="5">
        <f ca="1">F325</f>
        <v>1.2231766326368351E-3</v>
      </c>
    </row>
  </sheetData>
  <pageMargins left="0.7" right="0.7" top="0.75" bottom="0.75" header="0.3" footer="0.3"/>
  <pageSetup paperSize="9" orientation="portrait" horizontalDpi="0" verticalDpi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94CAC-2AEB-C543-B01B-27174AC0CAFB}">
  <dimension ref="A1:L325"/>
  <sheetViews>
    <sheetView zoomScale="61" workbookViewId="0">
      <pane ySplit="1" topLeftCell="A27" activePane="bottomLeft" state="frozen"/>
      <selection pane="bottomLeft" activeCell="H18" sqref="H18"/>
    </sheetView>
  </sheetViews>
  <sheetFormatPr baseColWidth="10" defaultRowHeight="16" x14ac:dyDescent="0.2"/>
  <sheetData>
    <row r="1" spans="1:5" ht="18" x14ac:dyDescent="0.25">
      <c r="A1" s="8" t="s">
        <v>153</v>
      </c>
    </row>
    <row r="3" spans="1:5" x14ac:dyDescent="0.2">
      <c r="A3" s="9" t="s">
        <v>9</v>
      </c>
    </row>
    <row r="4" spans="1:5" x14ac:dyDescent="0.2">
      <c r="A4" t="s">
        <v>10</v>
      </c>
      <c r="B4" s="6">
        <v>252</v>
      </c>
    </row>
    <row r="5" spans="1:5" x14ac:dyDescent="0.2">
      <c r="A5" t="s">
        <v>11</v>
      </c>
      <c r="B5" s="6">
        <v>10</v>
      </c>
    </row>
    <row r="6" spans="1:5" x14ac:dyDescent="0.2">
      <c r="A6" t="s">
        <v>12</v>
      </c>
      <c r="B6" s="6">
        <v>1.96</v>
      </c>
    </row>
    <row r="8" spans="1:5" x14ac:dyDescent="0.2">
      <c r="A8" s="9" t="s">
        <v>13</v>
      </c>
    </row>
    <row r="9" spans="1:5" x14ac:dyDescent="0.2">
      <c r="A9" s="7" t="s">
        <v>14</v>
      </c>
      <c r="B9" s="7" t="s">
        <v>15</v>
      </c>
      <c r="C9" s="7" t="s">
        <v>16</v>
      </c>
      <c r="D9" s="7" t="s">
        <v>17</v>
      </c>
      <c r="E9" s="7" t="s">
        <v>18</v>
      </c>
    </row>
    <row r="10" spans="1:5" x14ac:dyDescent="0.2">
      <c r="A10">
        <v>1</v>
      </c>
      <c r="B10" s="1">
        <v>45206</v>
      </c>
      <c r="C10" s="1">
        <f>IF(WEEKDAY(B10)=6,B10+2,IF(WEEKDAY(B10)=7,B10+1,B10))</f>
        <v>45207</v>
      </c>
      <c r="D10" t="s">
        <v>19</v>
      </c>
      <c r="E10" t="s">
        <v>20</v>
      </c>
    </row>
    <row r="11" spans="1:5" x14ac:dyDescent="0.2">
      <c r="A11">
        <v>2</v>
      </c>
      <c r="B11" s="1">
        <v>45252</v>
      </c>
      <c r="C11" s="1">
        <f>IF(WEEKDAY(B11)=6,B11+2,IF(WEEKDAY(B11)=7,B11+1,B11))</f>
        <v>45252</v>
      </c>
      <c r="D11" t="s">
        <v>21</v>
      </c>
      <c r="E11" t="s">
        <v>22</v>
      </c>
    </row>
    <row r="12" spans="1:5" x14ac:dyDescent="0.2">
      <c r="A12">
        <v>3</v>
      </c>
      <c r="B12" s="1">
        <v>45396</v>
      </c>
      <c r="C12" s="1">
        <f>IF(WEEKDAY(B12)=6,B12+2,IF(WEEKDAY(B12)=7,B12+1,B12))</f>
        <v>45396</v>
      </c>
      <c r="D12" t="s">
        <v>19</v>
      </c>
      <c r="E12" t="s">
        <v>23</v>
      </c>
    </row>
    <row r="13" spans="1:5" x14ac:dyDescent="0.2">
      <c r="A13">
        <v>4</v>
      </c>
      <c r="B13" s="1">
        <v>45504</v>
      </c>
      <c r="C13" s="1">
        <f>IF(WEEKDAY(B13)=6,B13+2,IF(WEEKDAY(B13)=7,B13+1,B13))</f>
        <v>45504</v>
      </c>
      <c r="D13" t="s">
        <v>19</v>
      </c>
      <c r="E13" t="s">
        <v>24</v>
      </c>
    </row>
    <row r="14" spans="1:5" x14ac:dyDescent="0.2">
      <c r="A14">
        <v>5</v>
      </c>
      <c r="B14" s="1">
        <v>45566</v>
      </c>
      <c r="C14" s="1">
        <v>45571</v>
      </c>
      <c r="D14" t="s">
        <v>19</v>
      </c>
      <c r="E14" t="s">
        <v>25</v>
      </c>
    </row>
    <row r="15" spans="1:5" x14ac:dyDescent="0.2">
      <c r="A15">
        <v>6</v>
      </c>
      <c r="B15" s="1">
        <v>45623</v>
      </c>
      <c r="C15" s="1">
        <f>IF(WEEKDAY(B15)=6,B15+2,IF(WEEKDAY(B15)=7,B15+1,B15))</f>
        <v>45623</v>
      </c>
      <c r="D15" t="s">
        <v>21</v>
      </c>
      <c r="E15" t="s">
        <v>26</v>
      </c>
    </row>
    <row r="16" spans="1:5" x14ac:dyDescent="0.2">
      <c r="A16">
        <v>7</v>
      </c>
      <c r="B16" s="1">
        <v>45672</v>
      </c>
      <c r="C16" s="1">
        <f>IF(WEEKDAY(B16)=6,B16+2,IF(WEEKDAY(B16)=7,B16+1,B16))</f>
        <v>45672</v>
      </c>
      <c r="D16" t="s">
        <v>21</v>
      </c>
      <c r="E16" t="s">
        <v>27</v>
      </c>
    </row>
    <row r="17" spans="1:9" x14ac:dyDescent="0.2">
      <c r="A17">
        <v>8</v>
      </c>
      <c r="B17" s="1">
        <v>45789</v>
      </c>
      <c r="C17" s="1">
        <v>45789</v>
      </c>
      <c r="D17" t="s">
        <v>21</v>
      </c>
      <c r="E17" t="s">
        <v>28</v>
      </c>
    </row>
    <row r="18" spans="1:9" x14ac:dyDescent="0.2">
      <c r="A18">
        <v>9</v>
      </c>
      <c r="B18" s="1">
        <v>45821</v>
      </c>
      <c r="C18" s="1">
        <f>IF(WEEKDAY(B18)=6,B18+2,IF(WEEKDAY(B18)=7,B18+1,B18))</f>
        <v>45823</v>
      </c>
      <c r="D18" t="s">
        <v>19</v>
      </c>
      <c r="E18" t="s">
        <v>29</v>
      </c>
    </row>
    <row r="19" spans="1:9" x14ac:dyDescent="0.2">
      <c r="A19">
        <v>10</v>
      </c>
      <c r="B19" s="1">
        <v>45939</v>
      </c>
      <c r="C19" s="1">
        <f>IF(WEEKDAY(B19)=6,B19+2,IF(WEEKDAY(B19)=7,B19+1,B19))</f>
        <v>45939</v>
      </c>
      <c r="D19" t="s">
        <v>21</v>
      </c>
      <c r="E19" t="s">
        <v>30</v>
      </c>
    </row>
    <row r="20" spans="1:9" x14ac:dyDescent="0.2">
      <c r="A20">
        <v>11</v>
      </c>
      <c r="B20" s="1">
        <v>46081</v>
      </c>
      <c r="C20" s="1">
        <f>IF(WEEKDAY(B20)=7, B20+2, IF(WEEKDAY(B20)=1, B20+1, B20))</f>
        <v>46083</v>
      </c>
      <c r="D20" t="s">
        <v>19</v>
      </c>
      <c r="E20" t="s">
        <v>31</v>
      </c>
    </row>
    <row r="21" spans="1:9" x14ac:dyDescent="0.2">
      <c r="A21">
        <v>12</v>
      </c>
      <c r="B21" s="1">
        <v>46120</v>
      </c>
      <c r="C21" s="1">
        <v>46121</v>
      </c>
      <c r="D21" t="s">
        <v>21</v>
      </c>
      <c r="E21" t="s">
        <v>32</v>
      </c>
    </row>
    <row r="23" spans="1:9" x14ac:dyDescent="0.2">
      <c r="A23" s="9" t="s">
        <v>151</v>
      </c>
    </row>
    <row r="24" spans="1:9" x14ac:dyDescent="0.2">
      <c r="A24" s="7" t="s">
        <v>14</v>
      </c>
      <c r="B24" s="7" t="s">
        <v>33</v>
      </c>
      <c r="C24" s="7" t="s">
        <v>34</v>
      </c>
      <c r="D24" s="7" t="s">
        <v>35</v>
      </c>
      <c r="E24" s="7" t="s">
        <v>36</v>
      </c>
      <c r="F24" s="7" t="s">
        <v>37</v>
      </c>
      <c r="G24" s="7" t="s">
        <v>121</v>
      </c>
      <c r="H24" s="7" t="s">
        <v>38</v>
      </c>
      <c r="I24" s="7" t="s">
        <v>39</v>
      </c>
    </row>
    <row r="25" spans="1:9" x14ac:dyDescent="0.2">
      <c r="A25">
        <f t="shared" ref="A25:A36" si="0">A10</f>
        <v>1</v>
      </c>
      <c r="B25" s="2">
        <f t="shared" ref="B25:B36" si="1">IF(WEEKDAY(C10)=6,C10+2,IF(WEEKDAY(C10)=7,C10+1,C10))</f>
        <v>45207</v>
      </c>
      <c r="C25">
        <f>IFERROR(MATCH(B25,Data!$A$2:$A$718,0),MATCH(B25,Data!$A$2:$A$718,-1))</f>
        <v>630</v>
      </c>
      <c r="D25">
        <f>MIN($B$4,COUNTA(Data!$A:$A)-1-(C25+11)+1)</f>
        <v>252</v>
      </c>
      <c r="E25" s="10">
        <f ca="1">INTERCEPT(OFFSET(Data!$I$1,C25+11,0,D25,1),OFFSET(Data!$F$1,C25+11,0,D25,1))</f>
        <v>-4.9567690553471136E-4</v>
      </c>
      <c r="F25" s="10">
        <f ca="1">SLOPE(OFFSET(Data!$I$1,C25+11,0,D25,1),OFFSET(Data!$F$1,C25+11,0,D25,1))</f>
        <v>0.11154208127770433</v>
      </c>
      <c r="H25" s="11">
        <f ca="1">RSQ(OFFSET(Data!$I$1,C25+11,0,D25,1),OFFSET(Data!$F$1,C25+11,0,D25,1))</f>
        <v>9.6801894136439755E-3</v>
      </c>
      <c r="I25" s="10">
        <f ca="1">STEYX(OFFSET(Data!$I$1,C25+11,0,D25,1),OFFSET(Data!$F$1,C25+11,0,D25,1))</f>
        <v>1.1768349548213033E-2</v>
      </c>
    </row>
    <row r="26" spans="1:9" x14ac:dyDescent="0.2">
      <c r="A26">
        <f t="shared" si="0"/>
        <v>2</v>
      </c>
      <c r="B26" s="2">
        <f t="shared" si="1"/>
        <v>45252</v>
      </c>
      <c r="C26">
        <f>IFERROR(MATCH(B26,Data!$A$2:$A$718,0),MATCH(B26,Data!$A$2:$A$718,-1))</f>
        <v>597</v>
      </c>
      <c r="D26">
        <f>MIN($B$4,COUNTA(Data!$A:$A)-1-(C26+11)+1)</f>
        <v>252</v>
      </c>
      <c r="E26" s="10">
        <f ca="1">INTERCEPT(OFFSET(Data!$I$1,C26+11,0,D26,1),OFFSET(Data!$F$1,C26+11,0,D26,1))</f>
        <v>-7.3523555020580343E-4</v>
      </c>
      <c r="F26" s="10">
        <f ca="1">SLOPE(OFFSET(Data!$I$1,C26+11,0,D26,1),OFFSET(Data!$F$1,C26+11,0,D26,1))</f>
        <v>0.22071894480953044</v>
      </c>
      <c r="H26" s="11">
        <f ca="1">RSQ(OFFSET(Data!$I$1,C26+11,0,D26,1),OFFSET(Data!$F$1,C26+11,0,D26,1))</f>
        <v>3.8280323345333538E-2</v>
      </c>
      <c r="I26" s="10">
        <f ca="1">STEYX(OFFSET(Data!$I$1,C26+11,0,D26,1),OFFSET(Data!$F$1,C26+11,0,D26,1))</f>
        <v>1.2837468506595612E-2</v>
      </c>
    </row>
    <row r="27" spans="1:9" x14ac:dyDescent="0.2">
      <c r="A27">
        <f t="shared" si="0"/>
        <v>3</v>
      </c>
      <c r="B27" s="2">
        <f t="shared" si="1"/>
        <v>45396</v>
      </c>
      <c r="C27">
        <f>IFERROR(MATCH(B27,Data!$A$2:$A$718,0),MATCH(B27,Data!$A$2:$A$718,-1))</f>
        <v>497</v>
      </c>
      <c r="D27">
        <f>MIN($B$4,COUNTA(Data!$A:$A)-1-(C27+11)+1)</f>
        <v>252</v>
      </c>
      <c r="E27" s="10">
        <f ca="1">INTERCEPT(OFFSET(Data!$I$1,C27+11,0,D27,1),OFFSET(Data!$F$1,C27+11,0,D27,1))</f>
        <v>1.8098925539750449E-4</v>
      </c>
      <c r="F27" s="10">
        <f ca="1">SLOPE(OFFSET(Data!$I$1,C27+11,0,D27,1),OFFSET(Data!$F$1,C27+11,0,D27,1))</f>
        <v>0.23559376814729482</v>
      </c>
      <c r="H27" s="11">
        <f ca="1">RSQ(OFFSET(Data!$I$1,C27+11,0,D27,1),OFFSET(Data!$F$1,C27+11,0,D27,1))</f>
        <v>3.3146306200147489E-2</v>
      </c>
      <c r="I27" s="10">
        <f ca="1">STEYX(OFFSET(Data!$I$1,C27+11,0,D27,1),OFFSET(Data!$F$1,C27+11,0,D27,1))</f>
        <v>1.3780370780628883E-2</v>
      </c>
    </row>
    <row r="28" spans="1:9" x14ac:dyDescent="0.2">
      <c r="A28">
        <f t="shared" si="0"/>
        <v>4</v>
      </c>
      <c r="B28" s="2">
        <f t="shared" si="1"/>
        <v>45504</v>
      </c>
      <c r="C28">
        <f>IFERROR(MATCH(B28,Data!$A$2:$A$718,0),MATCH(B28,Data!$A$2:$A$718,-1))</f>
        <v>427</v>
      </c>
      <c r="D28">
        <f>MIN($B$4,COUNTA(Data!$A:$A)-1-(C28+11)+1)</f>
        <v>252</v>
      </c>
      <c r="E28" s="10">
        <f ca="1">INTERCEPT(OFFSET(Data!$I$1,C28+11,0,D28,1),OFFSET(Data!$F$1,C28+11,0,D28,1))</f>
        <v>-1.6159766863276101E-4</v>
      </c>
      <c r="F28" s="10">
        <f ca="1">SLOPE(OFFSET(Data!$I$1,C28+11,0,D28,1),OFFSET(Data!$F$1,C28+11,0,D28,1))</f>
        <v>0.25415525499384817</v>
      </c>
      <c r="H28" s="11">
        <f ca="1">RSQ(OFFSET(Data!$I$1,C28+11,0,D28,1),OFFSET(Data!$F$1,C28+11,0,D28,1))</f>
        <v>4.0837068032273272E-2</v>
      </c>
      <c r="I28" s="10">
        <f ca="1">STEYX(OFFSET(Data!$I$1,C28+11,0,D28,1),OFFSET(Data!$F$1,C28+11,0,D28,1))</f>
        <v>1.3440895382723257E-2</v>
      </c>
    </row>
    <row r="29" spans="1:9" x14ac:dyDescent="0.2">
      <c r="A29">
        <f t="shared" si="0"/>
        <v>5</v>
      </c>
      <c r="B29" s="2">
        <f t="shared" si="1"/>
        <v>45571</v>
      </c>
      <c r="C29">
        <f>IFERROR(MATCH(B29,Data!$A$2:$A$718,0),MATCH(B29,Data!$A$2:$A$718,-1))</f>
        <v>383</v>
      </c>
      <c r="D29">
        <f>MIN($B$4,COUNTA(Data!$A:$A)-1-(C29+11)+1)</f>
        <v>252</v>
      </c>
      <c r="E29" s="10">
        <f ca="1">INTERCEPT(OFFSET(Data!$I$1,C29+11,0,D29,1),OFFSET(Data!$F$1,C29+11,0,D29,1))</f>
        <v>-3.0717478947758661E-5</v>
      </c>
      <c r="F29" s="10">
        <f ca="1">SLOPE(OFFSET(Data!$I$1,C29+11,0,D29,1),OFFSET(Data!$F$1,C29+11,0,D29,1))</f>
        <v>0.18775613636281613</v>
      </c>
      <c r="H29" s="11">
        <f ca="1">RSQ(OFFSET(Data!$I$1,C29+11,0,D29,1),OFFSET(Data!$F$1,C29+11,0,D29,1))</f>
        <v>2.5173944352612564E-2</v>
      </c>
      <c r="I29" s="10">
        <f ca="1">STEYX(OFFSET(Data!$I$1,C29+11,0,D29,1),OFFSET(Data!$F$1,C29+11,0,D29,1))</f>
        <v>1.2824565714082182E-2</v>
      </c>
    </row>
    <row r="30" spans="1:9" x14ac:dyDescent="0.2">
      <c r="A30">
        <f t="shared" si="0"/>
        <v>6</v>
      </c>
      <c r="B30" s="2">
        <f t="shared" si="1"/>
        <v>45623</v>
      </c>
      <c r="C30">
        <f>IFERROR(MATCH(B30,Data!$A$2:$A$718,0),MATCH(B30,Data!$A$2:$A$718,-1))</f>
        <v>349</v>
      </c>
      <c r="D30">
        <f>MIN($B$4,COUNTA(Data!$A:$A)-1-(C30+11)+1)</f>
        <v>252</v>
      </c>
      <c r="E30" s="10">
        <f ca="1">INTERCEPT(OFFSET(Data!$I$1,C30+11,0,D30,1),OFFSET(Data!$F$1,C30+11,0,D30,1))</f>
        <v>2.4884628149272707E-4</v>
      </c>
      <c r="F30" s="10">
        <f ca="1">SLOPE(OFFSET(Data!$I$1,C30+11,0,D30,1),OFFSET(Data!$F$1,C30+11,0,D30,1))</f>
        <v>6.581792120029753E-2</v>
      </c>
      <c r="H30" s="11">
        <f ca="1">RSQ(OFFSET(Data!$I$1,C30+11,0,D30,1),OFFSET(Data!$F$1,C30+11,0,D30,1))</f>
        <v>2.8707917886314086E-3</v>
      </c>
      <c r="I30" s="10">
        <f ca="1">STEYX(OFFSET(Data!$I$1,C30+11,0,D30,1),OFFSET(Data!$F$1,C30+11,0,D30,1))</f>
        <v>1.174848272684776E-2</v>
      </c>
    </row>
    <row r="31" spans="1:9" x14ac:dyDescent="0.2">
      <c r="A31">
        <f t="shared" si="0"/>
        <v>7</v>
      </c>
      <c r="B31" s="2">
        <f t="shared" si="1"/>
        <v>45672</v>
      </c>
      <c r="C31">
        <f>IFERROR(MATCH(B31,Data!$A$2:$A$718,0),MATCH(B31,Data!$A$2:$A$718,-1))</f>
        <v>314</v>
      </c>
      <c r="D31">
        <f>MIN($B$4,COUNTA(Data!$A:$A)-1-(C31+11)+1)</f>
        <v>252</v>
      </c>
      <c r="E31" s="10">
        <f ca="1">INTERCEPT(OFFSET(Data!$I$1,C31+11,0,D31,1),OFFSET(Data!$F$1,C31+11,0,D31,1))</f>
        <v>2.5457800456028931E-4</v>
      </c>
      <c r="F31" s="10">
        <f ca="1">SLOPE(OFFSET(Data!$I$1,C31+11,0,D31,1),OFFSET(Data!$F$1,C31+11,0,D31,1))</f>
        <v>5.1232161689801027E-2</v>
      </c>
      <c r="H31" s="11">
        <f ca="1">RSQ(OFFSET(Data!$I$1,C31+11,0,D31,1),OFFSET(Data!$F$1,C31+11,0,D31,1))</f>
        <v>1.7758253060636824E-3</v>
      </c>
      <c r="I31" s="10">
        <f ca="1">STEYX(OFFSET(Data!$I$1,C31+11,0,D31,1),OFFSET(Data!$F$1,C31+11,0,D31,1))</f>
        <v>1.0941814387755855E-2</v>
      </c>
    </row>
    <row r="32" spans="1:9" x14ac:dyDescent="0.2">
      <c r="A32">
        <f t="shared" si="0"/>
        <v>8</v>
      </c>
      <c r="B32" s="2">
        <f t="shared" si="1"/>
        <v>45789</v>
      </c>
      <c r="C32">
        <f>IFERROR(MATCH(B32,Data!$A$2:$A$718,0),MATCH(B32,Data!$A$2:$A$718,-1))</f>
        <v>234</v>
      </c>
      <c r="D32">
        <f>MIN($B$4,COUNTA(Data!$A:$A)-1-(C32+11)+1)</f>
        <v>252</v>
      </c>
      <c r="E32" s="10">
        <f ca="1">INTERCEPT(OFFSET(Data!$I$1,C32+11,0,D32,1),OFFSET(Data!$F$1,C32+11,0,D32,1))</f>
        <v>-1.5373290969219818E-4</v>
      </c>
      <c r="F32" s="10">
        <f ca="1">SLOPE(OFFSET(Data!$I$1,C32+11,0,D32,1),OFFSET(Data!$F$1,C32+11,0,D32,1))</f>
        <v>0.17186972545050871</v>
      </c>
      <c r="H32" s="11">
        <f ca="1">RSQ(OFFSET(Data!$I$1,C32+11,0,D32,1),OFFSET(Data!$F$1,C32+11,0,D32,1))</f>
        <v>1.5609395300115445E-2</v>
      </c>
      <c r="I32" s="10">
        <f ca="1">STEYX(OFFSET(Data!$I$1,C32+11,0,D32,1),OFFSET(Data!$F$1,C32+11,0,D32,1))</f>
        <v>1.3758419112709476E-2</v>
      </c>
    </row>
    <row r="33" spans="1:12" x14ac:dyDescent="0.2">
      <c r="A33">
        <f t="shared" si="0"/>
        <v>9</v>
      </c>
      <c r="B33" s="2">
        <f t="shared" si="1"/>
        <v>45823</v>
      </c>
      <c r="C33">
        <f>IFERROR(MATCH(B33,Data!$A$2:$A$718,0),MATCH(B33,Data!$A$2:$A$718,-1))</f>
        <v>212</v>
      </c>
      <c r="D33">
        <f>MIN($B$4,COUNTA(Data!$A:$A)-1-(C33+11)+1)</f>
        <v>252</v>
      </c>
      <c r="E33" s="10">
        <f ca="1">INTERCEPT(OFFSET(Data!$I$1,C33+11,0,D33,1),OFFSET(Data!$F$1,C33+11,0,D33,1))</f>
        <v>-1.0009683504823541E-4</v>
      </c>
      <c r="F33" s="10">
        <f ca="1">SLOPE(OFFSET(Data!$I$1,C33+11,0,D33,1),OFFSET(Data!$F$1,C33+11,0,D33,1))</f>
        <v>0.19999511463399944</v>
      </c>
      <c r="H33" s="11">
        <f ca="1">RSQ(OFFSET(Data!$I$1,C33+11,0,D33,1),OFFSET(Data!$F$1,C33+11,0,D33,1))</f>
        <v>1.8238284755844773E-2</v>
      </c>
      <c r="I33" s="10">
        <f ca="1">STEYX(OFFSET(Data!$I$1,C33+11,0,D33,1),OFFSET(Data!$F$1,C33+11,0,D33,1))</f>
        <v>1.4625994685510265E-2</v>
      </c>
    </row>
    <row r="34" spans="1:12" x14ac:dyDescent="0.2">
      <c r="A34">
        <f t="shared" si="0"/>
        <v>10</v>
      </c>
      <c r="B34" s="2">
        <f t="shared" si="1"/>
        <v>45939</v>
      </c>
      <c r="C34">
        <f>IFERROR(MATCH(B34,Data!$A$2:$A$718,0),MATCH(B34,Data!$A$2:$A$718,-1))</f>
        <v>136</v>
      </c>
      <c r="D34">
        <f>MIN($B$4,COUNTA(Data!$A:$A)-1-(C34+11)+1)</f>
        <v>252</v>
      </c>
      <c r="E34" s="10">
        <f ca="1">INTERCEPT(OFFSET(Data!$I$1,C34+11,0,D34,1),OFFSET(Data!$F$1,C34+11,0,D34,1))</f>
        <v>-3.6793552607660221E-4</v>
      </c>
      <c r="F34" s="10">
        <f ca="1">SLOPE(OFFSET(Data!$I$1,C34+11,0,D34,1),OFFSET(Data!$F$1,C34+11,0,D34,1))</f>
        <v>0.45472164644579299</v>
      </c>
      <c r="H34" s="11">
        <f ca="1">RSQ(OFFSET(Data!$I$1,C34+11,0,D34,1),OFFSET(Data!$F$1,C34+11,0,D34,1))</f>
        <v>6.3291421644224966E-2</v>
      </c>
      <c r="I34" s="10">
        <f ca="1">STEYX(OFFSET(Data!$I$1,C34+11,0,D34,1),OFFSET(Data!$F$1,C34+11,0,D34,1))</f>
        <v>1.7517363124307069E-2</v>
      </c>
    </row>
    <row r="35" spans="1:12" x14ac:dyDescent="0.2">
      <c r="A35">
        <f t="shared" si="0"/>
        <v>11</v>
      </c>
      <c r="B35" s="2">
        <f t="shared" si="1"/>
        <v>46083</v>
      </c>
      <c r="C35">
        <f>IFERROR(MATCH(B35,Data!$A$2:$A$718,0),MATCH(B35,Data!$A$2:$A$718,-1))</f>
        <v>37</v>
      </c>
      <c r="D35">
        <f>MIN($B$4,COUNTA(Data!$A:$A)-1-(C35+11)+1)</f>
        <v>252</v>
      </c>
      <c r="E35" s="10">
        <f ca="1">INTERCEPT(OFFSET(Data!$I$1,C35+11,0,D35,1),OFFSET(Data!$F$1,C35+11,0,D35,1))</f>
        <v>1.1057310138957166E-3</v>
      </c>
      <c r="F35" s="10">
        <f ca="1">SLOPE(OFFSET(Data!$I$1,C35+11,0,D35,1),OFFSET(Data!$F$1,C35+11,0,D35,1))</f>
        <v>0.43279233158642372</v>
      </c>
      <c r="H35" s="11">
        <f ca="1">RSQ(OFFSET(Data!$I$1,C35+11,0,D35,1),OFFSET(Data!$F$1,C35+11,0,D35,1))</f>
        <v>6.2895139113997231E-2</v>
      </c>
      <c r="I35" s="10">
        <f ca="1">STEYX(OFFSET(Data!$I$1,C35+11,0,D35,1),OFFSET(Data!$F$1,C35+11,0,D35,1))</f>
        <v>1.8225817122639185E-2</v>
      </c>
    </row>
    <row r="36" spans="1:12" x14ac:dyDescent="0.2">
      <c r="A36">
        <f t="shared" si="0"/>
        <v>12</v>
      </c>
      <c r="B36" s="2">
        <f t="shared" si="1"/>
        <v>46121</v>
      </c>
      <c r="C36">
        <f>IFERROR(MATCH(B36,Data!$A$2:$A$718,0),MATCH(B36,Data!$A$2:$A$718,-1))</f>
        <v>14</v>
      </c>
      <c r="D36">
        <f>MIN($B$4,COUNTA(Data!$A:$A)-1-(C36+11)+1)</f>
        <v>252</v>
      </c>
      <c r="E36" s="10">
        <f ca="1">INTERCEPT(OFFSET(Data!$I$1,C36+11,0,D36,1),OFFSET(Data!$F$1,C36+11,0,D36,1))</f>
        <v>7.6649657837135133E-4</v>
      </c>
      <c r="F36" s="10">
        <f ca="1">SLOPE(OFFSET(Data!$I$1,C36+11,0,D36,1),OFFSET(Data!$F$1,C36+11,0,D36,1))</f>
        <v>0.36440499315022462</v>
      </c>
      <c r="H36" s="11">
        <f ca="1">RSQ(OFFSET(Data!$I$1,C36+11,0,D36,1),OFFSET(Data!$F$1,C36+11,0,D36,1))</f>
        <v>4.7214142971514814E-2</v>
      </c>
      <c r="I36" s="10">
        <f ca="1">STEYX(OFFSET(Data!$I$1,C36+11,0,D36,1),OFFSET(Data!$F$1,C36+11,0,D36,1))</f>
        <v>1.860627331324876E-2</v>
      </c>
    </row>
    <row r="38" spans="1:12" x14ac:dyDescent="0.2">
      <c r="A38" s="9" t="s">
        <v>61</v>
      </c>
    </row>
    <row r="39" spans="1:12" x14ac:dyDescent="0.2">
      <c r="A39" s="3" t="s">
        <v>41</v>
      </c>
      <c r="B39" t="str">
        <f>E10</f>
        <v>Hamas attack; Israel declares war</v>
      </c>
    </row>
    <row r="40" spans="1:12" x14ac:dyDescent="0.2">
      <c r="A40" s="12" t="s">
        <v>42</v>
      </c>
      <c r="B40" s="12" t="s">
        <v>43</v>
      </c>
      <c r="C40" s="12" t="s">
        <v>0</v>
      </c>
      <c r="D40" s="12" t="s">
        <v>44</v>
      </c>
      <c r="E40" s="12" t="s">
        <v>45</v>
      </c>
      <c r="F40" s="12" t="s">
        <v>46</v>
      </c>
      <c r="G40" s="12" t="s">
        <v>47</v>
      </c>
      <c r="H40" s="12" t="s">
        <v>48</v>
      </c>
      <c r="I40" s="12" t="s">
        <v>49</v>
      </c>
      <c r="L40" s="12" t="s">
        <v>155</v>
      </c>
    </row>
    <row r="41" spans="1:12" x14ac:dyDescent="0.2">
      <c r="A41">
        <v>10</v>
      </c>
      <c r="B41" t="str">
        <f t="shared" ref="B41:B61" ca="1" si="2">TEXT(WEEKDAY(C41),"ddd")</f>
        <v>Sun</v>
      </c>
      <c r="C41" s="2">
        <f ca="1">OFFSET(Data!$A$1,$C$25-A41,0,1,1)</f>
        <v>45221</v>
      </c>
      <c r="D41" s="5">
        <f ca="1">_xlfn.XLOOKUP(C41,Data!$A:$A,Data!$I:$I)</f>
        <v>1.7628911414720116E-2</v>
      </c>
      <c r="E41" s="5">
        <f ca="1">$E$25+$F$25*_xlfn.XLOOKUP(C41,Data!$A:$A,Data!$F:$F)</f>
        <v>-3.3088708994765698E-3</v>
      </c>
      <c r="F41" s="5">
        <f t="shared" ref="F41:F61" ca="1" si="3">D41-E41</f>
        <v>2.0937782314196685E-2</v>
      </c>
      <c r="G41" s="13">
        <f t="shared" ref="G41:G61" ca="1" si="4">F41/$I$25</f>
        <v>1.7791604700742412</v>
      </c>
      <c r="H41" t="str">
        <f t="shared" ref="H41:H61" ca="1" si="5">IF(ABS(G41)&lt;$B$6,"No","Yes")</f>
        <v>No</v>
      </c>
      <c r="I41" s="5">
        <f t="shared" ref="I41:I60" ca="1" si="6">(1+I42)*(1+F41)-1</f>
        <v>-5.8397929323969811E-2</v>
      </c>
    </row>
    <row r="42" spans="1:12" x14ac:dyDescent="0.2">
      <c r="A42">
        <v>9</v>
      </c>
      <c r="B42" t="str">
        <f t="shared" ca="1" si="2"/>
        <v>Thu</v>
      </c>
      <c r="C42" s="2">
        <f ca="1">OFFSET(Data!$A$1,$C$25-A42,0,1,1)</f>
        <v>45218</v>
      </c>
      <c r="D42" s="5">
        <f ca="1">_xlfn.XLOOKUP(C42,Data!$A:$A,Data!$I:$I)</f>
        <v>0</v>
      </c>
      <c r="E42" s="5">
        <f ca="1">$E$25+$F$25*_xlfn.XLOOKUP(C42,Data!$A:$A,Data!$F:$F)</f>
        <v>-2.4910105683308499E-3</v>
      </c>
      <c r="F42" s="5">
        <f t="shared" ca="1" si="3"/>
        <v>2.4910105683308499E-3</v>
      </c>
      <c r="G42" s="13">
        <f t="shared" ca="1" si="4"/>
        <v>0.21167034154836928</v>
      </c>
      <c r="H42" t="str">
        <f t="shared" ca="1" si="5"/>
        <v>No</v>
      </c>
      <c r="I42" s="5">
        <f t="shared" ca="1" si="6"/>
        <v>-7.7708664536181082E-2</v>
      </c>
    </row>
    <row r="43" spans="1:12" x14ac:dyDescent="0.2">
      <c r="A43">
        <v>8</v>
      </c>
      <c r="B43" t="str">
        <f t="shared" ca="1" si="2"/>
        <v>Wed</v>
      </c>
      <c r="C43" s="2">
        <f ca="1">OFFSET(Data!$A$1,$C$25-A43,0,1,1)</f>
        <v>45217</v>
      </c>
      <c r="D43" s="5">
        <f ca="1">_xlfn.XLOOKUP(C43,Data!$A:$A,Data!$I:$I)</f>
        <v>0</v>
      </c>
      <c r="E43" s="5">
        <f ca="1">$E$25+$F$25*_xlfn.XLOOKUP(C43,Data!$A:$A,Data!$F:$F)</f>
        <v>1.1635366901301841E-4</v>
      </c>
      <c r="F43" s="5">
        <f t="shared" ca="1" si="3"/>
        <v>-1.1635366901301841E-4</v>
      </c>
      <c r="G43" s="13">
        <f t="shared" ca="1" si="4"/>
        <v>-9.8869997476142401E-3</v>
      </c>
      <c r="H43" t="str">
        <f t="shared" ca="1" si="5"/>
        <v>No</v>
      </c>
      <c r="I43" s="5">
        <f t="shared" ca="1" si="6"/>
        <v>-8.0000393279382465E-2</v>
      </c>
    </row>
    <row r="44" spans="1:12" x14ac:dyDescent="0.2">
      <c r="A44">
        <v>7</v>
      </c>
      <c r="B44" t="str">
        <f t="shared" ca="1" si="2"/>
        <v>Tue</v>
      </c>
      <c r="C44" s="2">
        <f ca="1">OFFSET(Data!$A$1,$C$25-A44,0,1,1)</f>
        <v>45216</v>
      </c>
      <c r="D44" s="5">
        <f ca="1">_xlfn.XLOOKUP(C44,Data!$A:$A,Data!$I:$I)</f>
        <v>-1.3478260869565273E-2</v>
      </c>
      <c r="E44" s="5">
        <f ca="1">$E$25+$F$25*_xlfn.XLOOKUP(C44,Data!$A:$A,Data!$F:$F)</f>
        <v>-9.3512442203997964E-4</v>
      </c>
      <c r="F44" s="5">
        <f t="shared" ca="1" si="3"/>
        <v>-1.2543136447525293E-2</v>
      </c>
      <c r="G44" s="13">
        <f t="shared" ca="1" si="4"/>
        <v>-1.0658364961151163</v>
      </c>
      <c r="H44" t="str">
        <f t="shared" ca="1" si="5"/>
        <v>No</v>
      </c>
      <c r="I44" s="5">
        <f t="shared" ca="1" si="6"/>
        <v>-7.989333549308375E-2</v>
      </c>
    </row>
    <row r="45" spans="1:12" x14ac:dyDescent="0.2">
      <c r="A45">
        <v>6</v>
      </c>
      <c r="B45" t="str">
        <f t="shared" ca="1" si="2"/>
        <v>Mon</v>
      </c>
      <c r="C45" s="2">
        <f ca="1">OFFSET(Data!$A$1,$C$25-A45,0,1,1)</f>
        <v>45215</v>
      </c>
      <c r="D45" s="5">
        <f ca="1">_xlfn.XLOOKUP(C45,Data!$A:$A,Data!$I:$I)</f>
        <v>-8.6880973066894018E-4</v>
      </c>
      <c r="E45" s="5">
        <f ca="1">$E$25+$F$25*_xlfn.XLOOKUP(C45,Data!$A:$A,Data!$F:$F)</f>
        <v>2.1364901025323177E-3</v>
      </c>
      <c r="F45" s="5">
        <f t="shared" ca="1" si="3"/>
        <v>-3.0052998332012579E-3</v>
      </c>
      <c r="G45" s="13">
        <f t="shared" ca="1" si="4"/>
        <v>-0.25537139433945505</v>
      </c>
      <c r="H45" t="str">
        <f t="shared" ca="1" si="5"/>
        <v>No</v>
      </c>
      <c r="I45" s="5">
        <f t="shared" ca="1" si="6"/>
        <v>-6.8205712605267088E-2</v>
      </c>
    </row>
    <row r="46" spans="1:12" x14ac:dyDescent="0.2">
      <c r="A46">
        <v>5</v>
      </c>
      <c r="B46" t="str">
        <f t="shared" ca="1" si="2"/>
        <v>Sun</v>
      </c>
      <c r="C46" s="2">
        <f ca="1">OFFSET(Data!$A$1,$C$25-A46,0,1,1)</f>
        <v>45214</v>
      </c>
      <c r="D46" s="5">
        <f ca="1">_xlfn.XLOOKUP(C46,Data!$A:$A,Data!$I:$I)</f>
        <v>0</v>
      </c>
      <c r="E46" s="5">
        <f ca="1">$E$25+$F$25*_xlfn.XLOOKUP(C46,Data!$A:$A,Data!$F:$F)</f>
        <v>-4.8028337663036111E-3</v>
      </c>
      <c r="F46" s="5">
        <f t="shared" ca="1" si="3"/>
        <v>4.8028337663036111E-3</v>
      </c>
      <c r="G46" s="13">
        <f t="shared" ca="1" si="4"/>
        <v>0.40811447235036441</v>
      </c>
      <c r="H46" t="str">
        <f t="shared" ca="1" si="5"/>
        <v>No</v>
      </c>
      <c r="I46" s="5">
        <f t="shared" ca="1" si="6"/>
        <v>-6.5396950215640737E-2</v>
      </c>
    </row>
    <row r="47" spans="1:12" x14ac:dyDescent="0.2">
      <c r="A47">
        <v>4</v>
      </c>
      <c r="B47" t="str">
        <f t="shared" ca="1" si="2"/>
        <v>Thu</v>
      </c>
      <c r="C47" s="2">
        <f ca="1">OFFSET(Data!$A$1,$C$25-A47,0,1,1)</f>
        <v>45211</v>
      </c>
      <c r="D47" s="5">
        <f ca="1">_xlfn.XLOOKUP(C47,Data!$A:$A,Data!$I:$I)</f>
        <v>1.3650374284456257E-2</v>
      </c>
      <c r="E47" s="5">
        <f ca="1">$E$25+$F$25*_xlfn.XLOOKUP(C47,Data!$A:$A,Data!$F:$F)</f>
        <v>-9.9771591261402009E-4</v>
      </c>
      <c r="F47" s="5">
        <f t="shared" ca="1" si="3"/>
        <v>1.4648090197070278E-2</v>
      </c>
      <c r="G47" s="13">
        <f t="shared" ca="1" si="4"/>
        <v>1.2447021680533374</v>
      </c>
      <c r="H47" t="str">
        <f t="shared" ca="1" si="5"/>
        <v>No</v>
      </c>
      <c r="I47" s="5">
        <f t="shared" ca="1" si="6"/>
        <v>-6.9864237662243034E-2</v>
      </c>
    </row>
    <row r="48" spans="1:12" x14ac:dyDescent="0.2">
      <c r="A48">
        <v>3</v>
      </c>
      <c r="B48" t="str">
        <f t="shared" ca="1" si="2"/>
        <v>Wed</v>
      </c>
      <c r="C48" s="2">
        <f ca="1">OFFSET(Data!$A$1,$C$25-A48,0,1,1)</f>
        <v>45210</v>
      </c>
      <c r="D48" s="5">
        <f ca="1">_xlfn.XLOOKUP(C48,Data!$A:$A,Data!$I:$I)</f>
        <v>-2.9072253099615253E-2</v>
      </c>
      <c r="E48" s="5">
        <f ca="1">$E$25+$F$25*_xlfn.XLOOKUP(C48,Data!$A:$A,Data!$F:$F)</f>
        <v>-2.101608904312385E-3</v>
      </c>
      <c r="F48" s="5">
        <f t="shared" ca="1" si="3"/>
        <v>-2.6970644195302866E-2</v>
      </c>
      <c r="G48" s="13">
        <f t="shared" ca="1" si="4"/>
        <v>-2.2917949611207993</v>
      </c>
      <c r="H48" t="str">
        <f t="shared" ca="1" si="5"/>
        <v>Yes</v>
      </c>
      <c r="I48" s="5">
        <f t="shared" ca="1" si="6"/>
        <v>-8.3292255389648351E-2</v>
      </c>
    </row>
    <row r="49" spans="1:9" x14ac:dyDescent="0.2">
      <c r="A49">
        <v>2</v>
      </c>
      <c r="B49" t="str">
        <f t="shared" ca="1" si="2"/>
        <v>Tue</v>
      </c>
      <c r="C49" s="2">
        <f ca="1">OFFSET(Data!$A$1,$C$25-A49,0,1,1)</f>
        <v>45209</v>
      </c>
      <c r="D49" s="5">
        <f ca="1">_xlfn.XLOOKUP(C49,Data!$A:$A,Data!$I:$I)</f>
        <v>5.1568543188655891E-3</v>
      </c>
      <c r="E49" s="5">
        <f ca="1">$E$25+$F$25*_xlfn.XLOOKUP(C49,Data!$A:$A,Data!$F:$F)</f>
        <v>1.0954918813177259E-3</v>
      </c>
      <c r="F49" s="5">
        <f t="shared" ca="1" si="3"/>
        <v>4.0613624375478632E-3</v>
      </c>
      <c r="G49" s="13">
        <f t="shared" ca="1" si="4"/>
        <v>0.34510892295551854</v>
      </c>
      <c r="H49" t="str">
        <f t="shared" ca="1" si="5"/>
        <v>No</v>
      </c>
      <c r="I49" s="5">
        <f t="shared" ca="1" si="6"/>
        <v>-5.7882746145687891E-2</v>
      </c>
    </row>
    <row r="50" spans="1:9" x14ac:dyDescent="0.2">
      <c r="A50">
        <v>1</v>
      </c>
      <c r="B50" t="str">
        <f t="shared" ca="1" si="2"/>
        <v>Mon</v>
      </c>
      <c r="C50" s="2">
        <f ca="1">OFFSET(Data!$A$1,$C$25-A50,0,1,1)</f>
        <v>45208</v>
      </c>
      <c r="D50" s="5">
        <f ca="1">_xlfn.XLOOKUP(C50,Data!$A:$A,Data!$I:$I)</f>
        <v>1.8380743982494563E-2</v>
      </c>
      <c r="E50" s="5">
        <f ca="1">$E$25+$F$25*_xlfn.XLOOKUP(C50,Data!$A:$A,Data!$F:$F)</f>
        <v>2.9914603101508863E-4</v>
      </c>
      <c r="F50" s="5">
        <f t="shared" ca="1" si="3"/>
        <v>1.8081597951479473E-2</v>
      </c>
      <c r="G50" s="13">
        <f t="shared" ca="1" si="4"/>
        <v>1.5364599664041314</v>
      </c>
      <c r="H50" t="str">
        <f t="shared" ca="1" si="5"/>
        <v>No</v>
      </c>
      <c r="I50" s="5">
        <f t="shared" ca="1" si="6"/>
        <v>-6.169354872181787E-2</v>
      </c>
    </row>
    <row r="51" spans="1:9" x14ac:dyDescent="0.2">
      <c r="A51">
        <v>0</v>
      </c>
      <c r="B51" t="str">
        <f t="shared" ca="1" si="2"/>
        <v>Sun</v>
      </c>
      <c r="C51" s="2">
        <f ca="1">OFFSET(Data!$A$1,$C$25-A51,0,1,1)</f>
        <v>45207</v>
      </c>
      <c r="D51" s="5">
        <f ca="1">_xlfn.XLOOKUP(C51,Data!$A:$A,Data!$I:$I)</f>
        <v>-5.3438276719138367E-2</v>
      </c>
      <c r="E51" s="5">
        <f ca="1">$E$25+$F$25*_xlfn.XLOOKUP(C51,Data!$A:$A,Data!$F:$F)</f>
        <v>-7.9616965363993528E-3</v>
      </c>
      <c r="F51" s="5">
        <f t="shared" ca="1" si="3"/>
        <v>-4.5476580182739014E-2</v>
      </c>
      <c r="G51" s="13">
        <f t="shared" ca="1" si="4"/>
        <v>-3.8643124931349795</v>
      </c>
      <c r="H51" t="str">
        <f t="shared" ca="1" si="5"/>
        <v>Yes</v>
      </c>
      <c r="I51" s="5">
        <f t="shared" ca="1" si="6"/>
        <v>-7.8358303336211854E-2</v>
      </c>
    </row>
    <row r="52" spans="1:9" x14ac:dyDescent="0.2">
      <c r="A52">
        <v>-1</v>
      </c>
      <c r="B52" t="str">
        <f t="shared" ca="1" si="2"/>
        <v>Thu</v>
      </c>
      <c r="C52" s="2">
        <f ca="1">OFFSET(Data!$A$1,$C$25-A52,0,1,1)</f>
        <v>45204</v>
      </c>
      <c r="D52" s="5">
        <f ca="1">_xlfn.XLOOKUP(C52,Data!$A:$A,Data!$I:$I)</f>
        <v>1.2442969722106234E-3</v>
      </c>
      <c r="E52" s="5">
        <f ca="1">$E$25+$F$25*_xlfn.XLOOKUP(C52,Data!$A:$A,Data!$F:$F)</f>
        <v>-8.43797300770789E-4</v>
      </c>
      <c r="F52" s="5">
        <f t="shared" ca="1" si="3"/>
        <v>2.0880942729814122E-3</v>
      </c>
      <c r="G52" s="13">
        <f t="shared" ca="1" si="4"/>
        <v>0.17743306012681101</v>
      </c>
      <c r="H52" t="str">
        <f t="shared" ca="1" si="5"/>
        <v>No</v>
      </c>
      <c r="I52" s="5">
        <f t="shared" ca="1" si="6"/>
        <v>-3.444831469904408E-2</v>
      </c>
    </row>
    <row r="53" spans="1:9" x14ac:dyDescent="0.2">
      <c r="A53">
        <v>-2</v>
      </c>
      <c r="B53" t="str">
        <f t="shared" ca="1" si="2"/>
        <v>Wed</v>
      </c>
      <c r="C53" s="2">
        <f ca="1">OFFSET(Data!$A$1,$C$25-A53,0,1,1)</f>
        <v>45203</v>
      </c>
      <c r="D53" s="5">
        <f ca="1">_xlfn.XLOOKUP(C53,Data!$A:$A,Data!$I:$I)</f>
        <v>2.9118136439267861E-3</v>
      </c>
      <c r="E53" s="5">
        <f ca="1">$E$25+$F$25*_xlfn.XLOOKUP(C53,Data!$A:$A,Data!$F:$F)</f>
        <v>-1.7822279235796446E-3</v>
      </c>
      <c r="F53" s="5">
        <f t="shared" ca="1" si="3"/>
        <v>4.6940415675064302E-3</v>
      </c>
      <c r="G53" s="13">
        <f t="shared" ca="1" si="4"/>
        <v>0.39886999857335115</v>
      </c>
      <c r="H53" t="str">
        <f t="shared" ca="1" si="5"/>
        <v>No</v>
      </c>
      <c r="I53" s="5">
        <f t="shared" ca="1" si="6"/>
        <v>-3.6460276477521592E-2</v>
      </c>
    </row>
    <row r="54" spans="1:9" x14ac:dyDescent="0.2">
      <c r="A54">
        <v>-3</v>
      </c>
      <c r="B54" t="str">
        <f t="shared" ca="1" si="2"/>
        <v>Tue</v>
      </c>
      <c r="C54" s="2">
        <f ca="1">OFFSET(Data!$A$1,$C$25-A54,0,1,1)</f>
        <v>45202</v>
      </c>
      <c r="D54" s="5">
        <f ca="1">_xlfn.XLOOKUP(C54,Data!$A:$A,Data!$I:$I)</f>
        <v>0</v>
      </c>
      <c r="E54" s="5">
        <f ca="1">$E$25+$F$25*_xlfn.XLOOKUP(C54,Data!$A:$A,Data!$F:$F)</f>
        <v>-1.4796218156419736E-3</v>
      </c>
      <c r="F54" s="5">
        <f t="shared" ca="1" si="3"/>
        <v>1.4796218156419736E-3</v>
      </c>
      <c r="G54" s="13">
        <f t="shared" ca="1" si="4"/>
        <v>0.12572891462649044</v>
      </c>
      <c r="H54" t="str">
        <f t="shared" ca="1" si="5"/>
        <v>No</v>
      </c>
      <c r="I54" s="5">
        <f t="shared" ca="1" si="6"/>
        <v>-4.0962040524118004E-2</v>
      </c>
    </row>
    <row r="55" spans="1:9" x14ac:dyDescent="0.2">
      <c r="A55">
        <v>-4</v>
      </c>
      <c r="B55" t="str">
        <f t="shared" ca="1" si="2"/>
        <v>Mon</v>
      </c>
      <c r="C55" s="2">
        <f ca="1">OFFSET(Data!$A$1,$C$25-A55,0,1,1)</f>
        <v>45201</v>
      </c>
      <c r="D55" s="5">
        <f ca="1">_xlfn.XLOOKUP(C55,Data!$A:$A,Data!$I:$I)</f>
        <v>0</v>
      </c>
      <c r="E55" s="5">
        <f ca="1">$E$25+$F$25*_xlfn.XLOOKUP(C55,Data!$A:$A,Data!$F:$F)</f>
        <v>-2.0012258970447661E-4</v>
      </c>
      <c r="F55" s="5">
        <f t="shared" ca="1" si="3"/>
        <v>2.0012258970447661E-4</v>
      </c>
      <c r="G55" s="13">
        <f t="shared" ca="1" si="4"/>
        <v>1.7005153431635132E-2</v>
      </c>
      <c r="H55" t="str">
        <f t="shared" ca="1" si="5"/>
        <v>No</v>
      </c>
      <c r="I55" s="5">
        <f t="shared" ca="1" si="6"/>
        <v>-4.2378957509704329E-2</v>
      </c>
    </row>
    <row r="56" spans="1:9" x14ac:dyDescent="0.2">
      <c r="A56">
        <v>-5</v>
      </c>
      <c r="B56" t="str">
        <f t="shared" ca="1" si="2"/>
        <v>Sun</v>
      </c>
      <c r="C56" s="2">
        <f ca="1">OFFSET(Data!$A$1,$C$25-A56,0,1,1)</f>
        <v>45200</v>
      </c>
      <c r="D56" s="5">
        <f ca="1">_xlfn.XLOOKUP(C56,Data!$A:$A,Data!$I:$I)</f>
        <v>2.5020850708923348E-3</v>
      </c>
      <c r="E56" s="5">
        <f ca="1">$E$25+$F$25*_xlfn.XLOOKUP(C56,Data!$A:$A,Data!$F:$F)</f>
        <v>9.2534745422689555E-4</v>
      </c>
      <c r="F56" s="5">
        <f t="shared" ca="1" si="3"/>
        <v>1.5767376166654391E-3</v>
      </c>
      <c r="G56" s="13">
        <f t="shared" ca="1" si="4"/>
        <v>0.13398120188441029</v>
      </c>
      <c r="H56" t="str">
        <f t="shared" ca="1" si="5"/>
        <v>No</v>
      </c>
      <c r="I56" s="5">
        <f t="shared" ca="1" si="6"/>
        <v>-4.2570560768542487E-2</v>
      </c>
    </row>
    <row r="57" spans="1:9" x14ac:dyDescent="0.2">
      <c r="A57">
        <v>-6</v>
      </c>
      <c r="B57" t="str">
        <f t="shared" ca="1" si="2"/>
        <v>Thu</v>
      </c>
      <c r="C57" s="2">
        <f ca="1">OFFSET(Data!$A$1,$C$25-A57,0,1,1)</f>
        <v>45197</v>
      </c>
      <c r="D57" s="5">
        <f ca="1">_xlfn.XLOOKUP(C57,Data!$A:$A,Data!$I:$I)</f>
        <v>0</v>
      </c>
      <c r="E57" s="5">
        <f ca="1">$E$25+$F$25*_xlfn.XLOOKUP(C57,Data!$A:$A,Data!$F:$F)</f>
        <v>-2.4996848405382251E-4</v>
      </c>
      <c r="F57" s="5">
        <f t="shared" ca="1" si="3"/>
        <v>2.4996848405382251E-4</v>
      </c>
      <c r="G57" s="13">
        <f t="shared" ca="1" si="4"/>
        <v>2.1240742640226812E-2</v>
      </c>
      <c r="H57" t="str">
        <f t="shared" ca="1" si="5"/>
        <v>No</v>
      </c>
      <c r="I57" s="5">
        <f t="shared" ca="1" si="6"/>
        <v>-4.4077799261053263E-2</v>
      </c>
    </row>
    <row r="58" spans="1:9" x14ac:dyDescent="0.2">
      <c r="A58">
        <v>-7</v>
      </c>
      <c r="B58" t="str">
        <f t="shared" ca="1" si="2"/>
        <v>Wed</v>
      </c>
      <c r="C58" s="2">
        <f ca="1">OFFSET(Data!$A$1,$C$25-A58,0,1,1)</f>
        <v>45196</v>
      </c>
      <c r="D58" s="5">
        <f ca="1">_xlfn.XLOOKUP(C58,Data!$A:$A,Data!$I:$I)</f>
        <v>0</v>
      </c>
      <c r="E58" s="5">
        <f ca="1">$E$25+$F$25*_xlfn.XLOOKUP(C58,Data!$A:$A,Data!$F:$F)</f>
        <v>2.1384560889121441E-5</v>
      </c>
      <c r="F58" s="5">
        <f t="shared" ca="1" si="3"/>
        <v>-2.1384560889121441E-5</v>
      </c>
      <c r="G58" s="13">
        <f t="shared" ca="1" si="4"/>
        <v>-1.8171248909213938E-3</v>
      </c>
      <c r="H58" t="str">
        <f t="shared" ca="1" si="5"/>
        <v>No</v>
      </c>
      <c r="I58" s="5">
        <f t="shared" ca="1" si="6"/>
        <v>-4.4316689969297163E-2</v>
      </c>
    </row>
    <row r="59" spans="1:9" x14ac:dyDescent="0.2">
      <c r="A59">
        <v>-8</v>
      </c>
      <c r="B59" t="str">
        <f t="shared" ca="1" si="2"/>
        <v>Tue</v>
      </c>
      <c r="C59" s="2">
        <f ca="1">OFFSET(Data!$A$1,$C$25-A59,0,1,1)</f>
        <v>45195</v>
      </c>
      <c r="D59" s="5">
        <f ca="1">_xlfn.XLOOKUP(C59,Data!$A:$A,Data!$I:$I)</f>
        <v>-2.6785714285714302E-2</v>
      </c>
      <c r="E59" s="5">
        <f ca="1">$E$25+$F$25*_xlfn.XLOOKUP(C59,Data!$A:$A,Data!$F:$F)</f>
        <v>-1.7345725389761165E-3</v>
      </c>
      <c r="F59" s="5">
        <f t="shared" ca="1" si="3"/>
        <v>-2.5051141746738184E-2</v>
      </c>
      <c r="G59" s="13">
        <f t="shared" ca="1" si="4"/>
        <v>-2.1286877691818797</v>
      </c>
      <c r="H59" t="str">
        <f t="shared" ca="1" si="5"/>
        <v>Yes</v>
      </c>
      <c r="I59" s="5">
        <f t="shared" ca="1" si="6"/>
        <v>-4.4296252664320357E-2</v>
      </c>
    </row>
    <row r="60" spans="1:9" x14ac:dyDescent="0.2">
      <c r="A60">
        <v>-9</v>
      </c>
      <c r="B60" t="str">
        <f t="shared" ca="1" si="2"/>
        <v>Thu</v>
      </c>
      <c r="C60" s="2">
        <f ca="1">OFFSET(Data!$A$1,$C$25-A60,0,1,1)</f>
        <v>45190</v>
      </c>
      <c r="D60" s="5">
        <f ca="1">_xlfn.XLOOKUP(C60,Data!$A:$A,Data!$I:$I)</f>
        <v>-1.9498607242339872E-2</v>
      </c>
      <c r="E60" s="5">
        <f ca="1">$E$25+$F$25*_xlfn.XLOOKUP(C60,Data!$A:$A,Data!$F:$F)</f>
        <v>-5.128564558911109E-4</v>
      </c>
      <c r="F60" s="5">
        <f t="shared" ca="1" si="3"/>
        <v>-1.8985750786448759E-2</v>
      </c>
      <c r="G60" s="13">
        <f t="shared" ca="1" si="4"/>
        <v>-1.6132891624834218</v>
      </c>
      <c r="H60" t="str">
        <f t="shared" ca="1" si="5"/>
        <v>No</v>
      </c>
      <c r="I60" s="5">
        <f t="shared" ca="1" si="6"/>
        <v>-1.9739610703336963E-2</v>
      </c>
    </row>
    <row r="61" spans="1:9" x14ac:dyDescent="0.2">
      <c r="A61">
        <v>-10</v>
      </c>
      <c r="B61" t="str">
        <f t="shared" ca="1" si="2"/>
        <v>Wed</v>
      </c>
      <c r="C61" s="2">
        <f ca="1">OFFSET(Data!$A$1,$C$25-A61,0,1,1)</f>
        <v>45189</v>
      </c>
      <c r="D61" s="5">
        <f ca="1">_xlfn.XLOOKUP(C61,Data!$A:$A,Data!$I:$I)</f>
        <v>0</v>
      </c>
      <c r="E61" s="5">
        <f ca="1">$E$25+$F$25*_xlfn.XLOOKUP(C61,Data!$A:$A,Data!$F:$F)</f>
        <v>7.6844950773400321E-4</v>
      </c>
      <c r="F61" s="5">
        <f t="shared" ca="1" si="3"/>
        <v>-7.6844950773400321E-4</v>
      </c>
      <c r="G61" s="13">
        <f t="shared" ca="1" si="4"/>
        <v>-6.5297984614222176E-2</v>
      </c>
      <c r="H61" t="str">
        <f t="shared" ca="1" si="5"/>
        <v>No</v>
      </c>
      <c r="I61" s="5">
        <f ca="1">F61</f>
        <v>-7.6844950773400321E-4</v>
      </c>
    </row>
    <row r="63" spans="1:9" x14ac:dyDescent="0.2">
      <c r="A63" s="3" t="s">
        <v>50</v>
      </c>
      <c r="B63" t="str">
        <f>E11</f>
        <v>First hostage truce (105 freed)</v>
      </c>
    </row>
    <row r="64" spans="1:9" x14ac:dyDescent="0.2">
      <c r="A64" s="12" t="s">
        <v>42</v>
      </c>
      <c r="B64" s="12" t="s">
        <v>43</v>
      </c>
      <c r="C64" s="12" t="s">
        <v>0</v>
      </c>
      <c r="D64" s="12" t="s">
        <v>44</v>
      </c>
      <c r="E64" s="12" t="s">
        <v>45</v>
      </c>
      <c r="F64" s="12" t="s">
        <v>46</v>
      </c>
      <c r="G64" s="12" t="s">
        <v>47</v>
      </c>
      <c r="H64" s="12" t="s">
        <v>48</v>
      </c>
      <c r="I64" s="12" t="s">
        <v>49</v>
      </c>
    </row>
    <row r="65" spans="1:9" x14ac:dyDescent="0.2">
      <c r="A65">
        <v>10</v>
      </c>
      <c r="B65" t="str">
        <f t="shared" ref="B65:B85" ca="1" si="7">TEXT(WEEKDAY(C65),"ddd")</f>
        <v>Wed</v>
      </c>
      <c r="C65" s="2">
        <f ca="1">OFFSET(Data!$A$1,$C$26-A65,0,1,1)</f>
        <v>45266</v>
      </c>
      <c r="D65" s="5">
        <f ca="1">_xlfn.XLOOKUP(C65,Data!$A:$A,Data!$I:$I)</f>
        <v>-1.1627906976744207E-2</v>
      </c>
      <c r="E65" s="5">
        <f ca="1">$E$26+$F$26*_xlfn.XLOOKUP(C65,Data!$A:$A,Data!$F:$F)</f>
        <v>-4.558597239424492E-4</v>
      </c>
      <c r="F65" s="5">
        <f t="shared" ref="F65:F85" ca="1" si="8">D65-E65</f>
        <v>-1.1172047252801758E-2</v>
      </c>
      <c r="G65" s="13">
        <f t="shared" ref="G65:G85" ca="1" si="9">F65/$I$26</f>
        <v>-0.87026871747041112</v>
      </c>
      <c r="H65" t="str">
        <f t="shared" ref="H65:H85" ca="1" si="10">IF(ABS(G65)&lt;$B$6,"No","Yes")</f>
        <v>No</v>
      </c>
      <c r="I65" s="5">
        <f t="shared" ref="I65:I84" ca="1" si="11">(1+I66)*(1+F65)-1</f>
        <v>-4.6738361678267726E-2</v>
      </c>
    </row>
    <row r="66" spans="1:9" x14ac:dyDescent="0.2">
      <c r="A66">
        <v>9</v>
      </c>
      <c r="B66" t="str">
        <f t="shared" ca="1" si="7"/>
        <v>Tue</v>
      </c>
      <c r="C66" s="2">
        <f ca="1">OFFSET(Data!$A$1,$C$26-A66,0,1,1)</f>
        <v>45265</v>
      </c>
      <c r="D66" s="5">
        <f ca="1">_xlfn.XLOOKUP(C66,Data!$A:$A,Data!$I:$I)</f>
        <v>-2.2727272727272707E-2</v>
      </c>
      <c r="E66" s="5">
        <f ca="1">$E$26+$F$26*_xlfn.XLOOKUP(C66,Data!$A:$A,Data!$F:$F)</f>
        <v>1.943735584307874E-3</v>
      </c>
      <c r="F66" s="5">
        <f t="shared" ca="1" si="8"/>
        <v>-2.4671008311580582E-2</v>
      </c>
      <c r="G66" s="13">
        <f t="shared" ca="1" si="9"/>
        <v>-1.9217969881604893</v>
      </c>
      <c r="H66" t="str">
        <f t="shared" ca="1" si="10"/>
        <v>No</v>
      </c>
      <c r="I66" s="5">
        <f t="shared" ca="1" si="11"/>
        <v>-3.5968152322812363E-2</v>
      </c>
    </row>
    <row r="67" spans="1:9" x14ac:dyDescent="0.2">
      <c r="A67">
        <v>8</v>
      </c>
      <c r="B67" t="str">
        <f t="shared" ca="1" si="7"/>
        <v>Mon</v>
      </c>
      <c r="C67" s="2">
        <f ca="1">OFFSET(Data!$A$1,$C$26-A67,0,1,1)</f>
        <v>45264</v>
      </c>
      <c r="D67" s="5">
        <f ca="1">_xlfn.XLOOKUP(C67,Data!$A:$A,Data!$I:$I)</f>
        <v>2.3731968357375566E-2</v>
      </c>
      <c r="E67" s="5">
        <f ca="1">$E$26+$F$26*_xlfn.XLOOKUP(C67,Data!$A:$A,Data!$F:$F)</f>
        <v>-4.2399763469936377E-4</v>
      </c>
      <c r="F67" s="5">
        <f t="shared" ca="1" si="8"/>
        <v>2.4155965992074931E-2</v>
      </c>
      <c r="G67" s="13">
        <f t="shared" ca="1" si="9"/>
        <v>1.8816767480024681</v>
      </c>
      <c r="H67" t="str">
        <f t="shared" ca="1" si="10"/>
        <v>No</v>
      </c>
      <c r="I67" s="5">
        <f t="shared" ca="1" si="11"/>
        <v>-1.1582905980960345E-2</v>
      </c>
    </row>
    <row r="68" spans="1:9" x14ac:dyDescent="0.2">
      <c r="A68">
        <v>7</v>
      </c>
      <c r="B68" t="str">
        <f t="shared" ca="1" si="7"/>
        <v>Sun</v>
      </c>
      <c r="C68" s="2">
        <f ca="1">OFFSET(Data!$A$1,$C$26-A68,0,1,1)</f>
        <v>45263</v>
      </c>
      <c r="D68" s="5">
        <f ca="1">_xlfn.XLOOKUP(C68,Data!$A:$A,Data!$I:$I)</f>
        <v>0</v>
      </c>
      <c r="E68" s="5">
        <f ca="1">$E$26+$F$26*_xlfn.XLOOKUP(C68,Data!$A:$A,Data!$F:$F)</f>
        <v>1.2015219704642195E-3</v>
      </c>
      <c r="F68" s="5">
        <f t="shared" ca="1" si="8"/>
        <v>-1.2015219704642195E-3</v>
      </c>
      <c r="G68" s="13">
        <f t="shared" ca="1" si="9"/>
        <v>-9.359493032811754E-2</v>
      </c>
      <c r="H68" t="str">
        <f t="shared" ca="1" si="10"/>
        <v>No</v>
      </c>
      <c r="I68" s="5">
        <f t="shared" ca="1" si="11"/>
        <v>-3.4895927143690386E-2</v>
      </c>
    </row>
    <row r="69" spans="1:9" x14ac:dyDescent="0.2">
      <c r="A69">
        <v>6</v>
      </c>
      <c r="B69" t="str">
        <f t="shared" ca="1" si="7"/>
        <v>Thu</v>
      </c>
      <c r="C69" s="2">
        <f ca="1">OFFSET(Data!$A$1,$C$26-A69,0,1,1)</f>
        <v>45260</v>
      </c>
      <c r="D69" s="5">
        <f ca="1">_xlfn.XLOOKUP(C69,Data!$A:$A,Data!$I:$I)</f>
        <v>-5.3303964757709266E-2</v>
      </c>
      <c r="E69" s="5">
        <f ca="1">$E$26+$F$26*_xlfn.XLOOKUP(C69,Data!$A:$A,Data!$F:$F)</f>
        <v>-4.6524788954552939E-3</v>
      </c>
      <c r="F69" s="5">
        <f t="shared" ca="1" si="8"/>
        <v>-4.8651485862253971E-2</v>
      </c>
      <c r="G69" s="13">
        <f t="shared" ca="1" si="9"/>
        <v>-3.7898037169289176</v>
      </c>
      <c r="H69" t="str">
        <f t="shared" ca="1" si="10"/>
        <v>Yes</v>
      </c>
      <c r="I69" s="5">
        <f t="shared" ca="1" si="11"/>
        <v>-3.3734938442937623E-2</v>
      </c>
    </row>
    <row r="70" spans="1:9" x14ac:dyDescent="0.2">
      <c r="A70">
        <v>5</v>
      </c>
      <c r="B70" t="str">
        <f t="shared" ca="1" si="7"/>
        <v>Wed</v>
      </c>
      <c r="C70" s="2">
        <f ca="1">OFFSET(Data!$A$1,$C$26-A70,0,1,1)</f>
        <v>45259</v>
      </c>
      <c r="D70" s="5">
        <f ca="1">_xlfn.XLOOKUP(C70,Data!$A:$A,Data!$I:$I)</f>
        <v>0</v>
      </c>
      <c r="E70" s="5">
        <f ca="1">$E$26+$F$26*_xlfn.XLOOKUP(C70,Data!$A:$A,Data!$F:$F)</f>
        <v>1.2526187632650315E-3</v>
      </c>
      <c r="F70" s="5">
        <f t="shared" ca="1" si="8"/>
        <v>-1.2526187632650315E-3</v>
      </c>
      <c r="G70" s="13">
        <f t="shared" ca="1" si="9"/>
        <v>-9.7575216065493228E-2</v>
      </c>
      <c r="H70" t="str">
        <f t="shared" ca="1" si="10"/>
        <v>No</v>
      </c>
      <c r="I70" s="5">
        <f t="shared" ca="1" si="11"/>
        <v>1.567937217291604E-2</v>
      </c>
    </row>
    <row r="71" spans="1:9" x14ac:dyDescent="0.2">
      <c r="A71">
        <v>4</v>
      </c>
      <c r="B71" t="str">
        <f t="shared" ca="1" si="7"/>
        <v>Tue</v>
      </c>
      <c r="C71" s="2">
        <f ca="1">OFFSET(Data!$A$1,$C$26-A71,0,1,1)</f>
        <v>45258</v>
      </c>
      <c r="D71" s="5">
        <f ca="1">_xlfn.XLOOKUP(C71,Data!$A:$A,Data!$I:$I)</f>
        <v>8.818342151675207E-4</v>
      </c>
      <c r="E71" s="5">
        <f ca="1">$E$26+$F$26*_xlfn.XLOOKUP(C71,Data!$A:$A,Data!$F:$F)</f>
        <v>3.0937311416700923E-4</v>
      </c>
      <c r="F71" s="5">
        <f t="shared" ca="1" si="8"/>
        <v>5.7246110100051147E-4</v>
      </c>
      <c r="G71" s="13">
        <f t="shared" ca="1" si="9"/>
        <v>4.4592989708710361E-2</v>
      </c>
      <c r="H71" t="str">
        <f t="shared" ca="1" si="10"/>
        <v>No</v>
      </c>
      <c r="I71" s="5">
        <f t="shared" ca="1" si="11"/>
        <v>1.6953226866251558E-2</v>
      </c>
    </row>
    <row r="72" spans="1:9" x14ac:dyDescent="0.2">
      <c r="A72">
        <v>3</v>
      </c>
      <c r="B72" t="str">
        <f t="shared" ca="1" si="7"/>
        <v>Mon</v>
      </c>
      <c r="C72" s="2">
        <f ca="1">OFFSET(Data!$A$1,$C$26-A72,0,1,1)</f>
        <v>45257</v>
      </c>
      <c r="D72" s="5">
        <f ca="1">_xlfn.XLOOKUP(C72,Data!$A:$A,Data!$I:$I)</f>
        <v>0</v>
      </c>
      <c r="E72" s="5">
        <f ca="1">$E$26+$F$26*_xlfn.XLOOKUP(C72,Data!$A:$A,Data!$F:$F)</f>
        <v>-2.8229090313002287E-3</v>
      </c>
      <c r="F72" s="5">
        <f t="shared" ca="1" si="8"/>
        <v>2.8229090313002287E-3</v>
      </c>
      <c r="G72" s="13">
        <f t="shared" ca="1" si="9"/>
        <v>0.21989608230391214</v>
      </c>
      <c r="H72" t="str">
        <f t="shared" ca="1" si="10"/>
        <v>No</v>
      </c>
      <c r="I72" s="5">
        <f t="shared" ca="1" si="11"/>
        <v>1.6371393779143428E-2</v>
      </c>
    </row>
    <row r="73" spans="1:9" x14ac:dyDescent="0.2">
      <c r="A73">
        <v>2</v>
      </c>
      <c r="B73" t="str">
        <f t="shared" ca="1" si="7"/>
        <v>Sun</v>
      </c>
      <c r="C73" s="2">
        <f ca="1">OFFSET(Data!$A$1,$C$26-A73,0,1,1)</f>
        <v>45256</v>
      </c>
      <c r="D73" s="5">
        <f ca="1">_xlfn.XLOOKUP(C73,Data!$A:$A,Data!$I:$I)</f>
        <v>3.9840637450199168E-3</v>
      </c>
      <c r="E73" s="5">
        <f ca="1">$E$26+$F$26*_xlfn.XLOOKUP(C73,Data!$A:$A,Data!$F:$F)</f>
        <v>-1.0252541132080642E-5</v>
      </c>
      <c r="F73" s="5">
        <f t="shared" ca="1" si="8"/>
        <v>3.9943162861519974E-3</v>
      </c>
      <c r="G73" s="13">
        <f t="shared" ca="1" si="9"/>
        <v>0.31114516729679254</v>
      </c>
      <c r="H73" t="str">
        <f t="shared" ca="1" si="10"/>
        <v>No</v>
      </c>
      <c r="I73" s="5">
        <f t="shared" ca="1" si="11"/>
        <v>1.3510346269343332E-2</v>
      </c>
    </row>
    <row r="74" spans="1:9" x14ac:dyDescent="0.2">
      <c r="A74">
        <v>1</v>
      </c>
      <c r="B74" t="str">
        <f t="shared" ca="1" si="7"/>
        <v>Thu</v>
      </c>
      <c r="C74" s="2">
        <f ca="1">OFFSET(Data!$A$1,$C$26-A74,0,1,1)</f>
        <v>45253</v>
      </c>
      <c r="D74" s="5">
        <f ca="1">_xlfn.XLOOKUP(C74,Data!$A:$A,Data!$I:$I)</f>
        <v>-3.8723404255319172E-2</v>
      </c>
      <c r="E74" s="5">
        <f ca="1">$E$26+$F$26*_xlfn.XLOOKUP(C74,Data!$A:$A,Data!$F:$F)</f>
        <v>-2.7369500576207052E-4</v>
      </c>
      <c r="F74" s="5">
        <f t="shared" ca="1" si="8"/>
        <v>-3.8449709249557103E-2</v>
      </c>
      <c r="G74" s="13">
        <f t="shared" ca="1" si="9"/>
        <v>-2.9951161500261891</v>
      </c>
      <c r="H74" t="str">
        <f t="shared" ca="1" si="10"/>
        <v>Yes</v>
      </c>
      <c r="I74" s="5">
        <f t="shared" ca="1" si="11"/>
        <v>9.4781711697251581E-3</v>
      </c>
    </row>
    <row r="75" spans="1:9" x14ac:dyDescent="0.2">
      <c r="A75">
        <v>0</v>
      </c>
      <c r="B75" t="str">
        <f t="shared" ca="1" si="7"/>
        <v>Wed</v>
      </c>
      <c r="C75" s="2">
        <f ca="1">OFFSET(Data!$A$1,$C$26-A75,0,1,1)</f>
        <v>45252</v>
      </c>
      <c r="D75" s="5">
        <f ca="1">_xlfn.XLOOKUP(C75,Data!$A:$A,Data!$I:$I)</f>
        <v>3.524229074889873E-2</v>
      </c>
      <c r="E75" s="5">
        <f ca="1">$E$26+$F$26*_xlfn.XLOOKUP(C75,Data!$A:$A,Data!$F:$F)</f>
        <v>4.3078420208963837E-3</v>
      </c>
      <c r="F75" s="5">
        <f t="shared" ca="1" si="8"/>
        <v>3.0934448728002346E-2</v>
      </c>
      <c r="G75" s="13">
        <f t="shared" ca="1" si="9"/>
        <v>2.4097000675880063</v>
      </c>
      <c r="H75" t="str">
        <f t="shared" ca="1" si="10"/>
        <v>Yes</v>
      </c>
      <c r="I75" s="5">
        <f t="shared" ca="1" si="11"/>
        <v>4.9844382431497136E-2</v>
      </c>
    </row>
    <row r="76" spans="1:9" x14ac:dyDescent="0.2">
      <c r="A76">
        <v>-1</v>
      </c>
      <c r="B76" t="str">
        <f t="shared" ca="1" si="7"/>
        <v>Tue</v>
      </c>
      <c r="C76" s="2">
        <f ca="1">OFFSET(Data!$A$1,$C$26-A76,0,1,1)</f>
        <v>45251</v>
      </c>
      <c r="D76" s="5">
        <f ca="1">_xlfn.XLOOKUP(C76,Data!$A:$A,Data!$I:$I)</f>
        <v>0</v>
      </c>
      <c r="E76" s="5">
        <f ca="1">$E$26+$F$26*_xlfn.XLOOKUP(C76,Data!$A:$A,Data!$F:$F)</f>
        <v>6.7245887600385476E-4</v>
      </c>
      <c r="F76" s="5">
        <f t="shared" ca="1" si="8"/>
        <v>-6.7245887600385476E-4</v>
      </c>
      <c r="G76" s="13">
        <f t="shared" ca="1" si="9"/>
        <v>-5.2382514173908976E-2</v>
      </c>
      <c r="H76" t="str">
        <f t="shared" ca="1" si="10"/>
        <v>No</v>
      </c>
      <c r="I76" s="5">
        <f t="shared" ca="1" si="11"/>
        <v>1.8342518020254772E-2</v>
      </c>
    </row>
    <row r="77" spans="1:9" x14ac:dyDescent="0.2">
      <c r="A77">
        <v>-2</v>
      </c>
      <c r="B77" t="str">
        <f t="shared" ca="1" si="7"/>
        <v>Mon</v>
      </c>
      <c r="C77" s="2">
        <f ca="1">OFFSET(Data!$A$1,$C$26-A77,0,1,1)</f>
        <v>45250</v>
      </c>
      <c r="D77" s="5">
        <f ca="1">_xlfn.XLOOKUP(C77,Data!$A:$A,Data!$I:$I)</f>
        <v>4.4072278536799736E-4</v>
      </c>
      <c r="E77" s="5">
        <f ca="1">$E$26+$F$26*_xlfn.XLOOKUP(C77,Data!$A:$A,Data!$F:$F)</f>
        <v>1.9026671992811335E-3</v>
      </c>
      <c r="F77" s="5">
        <f t="shared" ca="1" si="8"/>
        <v>-1.4619444139131361E-3</v>
      </c>
      <c r="G77" s="13">
        <f t="shared" ca="1" si="9"/>
        <v>-0.11388105163895988</v>
      </c>
      <c r="H77" t="str">
        <f t="shared" ca="1" si="10"/>
        <v>No</v>
      </c>
      <c r="I77" s="5">
        <f t="shared" ca="1" si="11"/>
        <v>1.9027772290626022E-2</v>
      </c>
    </row>
    <row r="78" spans="1:9" x14ac:dyDescent="0.2">
      <c r="A78">
        <v>-3</v>
      </c>
      <c r="B78" t="str">
        <f t="shared" ca="1" si="7"/>
        <v>Sun</v>
      </c>
      <c r="C78" s="2">
        <f ca="1">OFFSET(Data!$A$1,$C$26-A78,0,1,1)</f>
        <v>45249</v>
      </c>
      <c r="D78" s="5">
        <f ca="1">_xlfn.XLOOKUP(C78,Data!$A:$A,Data!$I:$I)</f>
        <v>0</v>
      </c>
      <c r="E78" s="5">
        <f ca="1">$E$26+$F$26*_xlfn.XLOOKUP(C78,Data!$A:$A,Data!$F:$F)</f>
        <v>-1.7417780533955911E-3</v>
      </c>
      <c r="F78" s="5">
        <f t="shared" ca="1" si="8"/>
        <v>1.7417780533955911E-3</v>
      </c>
      <c r="G78" s="13">
        <f t="shared" ca="1" si="9"/>
        <v>0.13567924645740737</v>
      </c>
      <c r="H78" t="str">
        <f t="shared" ca="1" si="10"/>
        <v>No</v>
      </c>
      <c r="I78" s="5">
        <f t="shared" ca="1" si="11"/>
        <v>2.0519715387825377E-2</v>
      </c>
    </row>
    <row r="79" spans="1:9" x14ac:dyDescent="0.2">
      <c r="A79">
        <v>-4</v>
      </c>
      <c r="B79" t="str">
        <f t="shared" ca="1" si="7"/>
        <v>Thu</v>
      </c>
      <c r="C79" s="2">
        <f ca="1">OFFSET(Data!$A$1,$C$26-A79,0,1,1)</f>
        <v>45246</v>
      </c>
      <c r="D79" s="5">
        <f ca="1">_xlfn.XLOOKUP(C79,Data!$A:$A,Data!$I:$I)</f>
        <v>0</v>
      </c>
      <c r="E79" s="5">
        <f ca="1">$E$26+$F$26*_xlfn.XLOOKUP(C79,Data!$A:$A,Data!$F:$F)</f>
        <v>1.7563911377272887E-3</v>
      </c>
      <c r="F79" s="5">
        <f t="shared" ca="1" si="8"/>
        <v>-1.7563911377272887E-3</v>
      </c>
      <c r="G79" s="13">
        <f t="shared" ca="1" si="9"/>
        <v>-0.13681756156401811</v>
      </c>
      <c r="H79" t="str">
        <f t="shared" ca="1" si="10"/>
        <v>No</v>
      </c>
      <c r="I79" s="5">
        <f t="shared" ca="1" si="11"/>
        <v>1.8745287204572358E-2</v>
      </c>
    </row>
    <row r="80" spans="1:9" x14ac:dyDescent="0.2">
      <c r="A80">
        <v>-5</v>
      </c>
      <c r="B80" t="str">
        <f t="shared" ca="1" si="7"/>
        <v>Wed</v>
      </c>
      <c r="C80" s="2">
        <f ca="1">OFFSET(Data!$A$1,$C$26-A80,0,1,1)</f>
        <v>45245</v>
      </c>
      <c r="D80" s="5">
        <f ca="1">_xlfn.XLOOKUP(C80,Data!$A:$A,Data!$I:$I)</f>
        <v>-3.5699107522311979E-2</v>
      </c>
      <c r="E80" s="5">
        <f ca="1">$E$26+$F$26*_xlfn.XLOOKUP(C80,Data!$A:$A,Data!$F:$F)</f>
        <v>-1.3180999652826191E-4</v>
      </c>
      <c r="F80" s="5">
        <f t="shared" ca="1" si="8"/>
        <v>-3.556729752578372E-2</v>
      </c>
      <c r="G80" s="13">
        <f t="shared" ca="1" si="9"/>
        <v>-2.7705849878042557</v>
      </c>
      <c r="H80" t="str">
        <f t="shared" ca="1" si="10"/>
        <v>Yes</v>
      </c>
      <c r="I80" s="5">
        <f t="shared" ca="1" si="11"/>
        <v>2.0537750665557519E-2</v>
      </c>
    </row>
    <row r="81" spans="1:9" x14ac:dyDescent="0.2">
      <c r="A81">
        <v>-6</v>
      </c>
      <c r="B81" t="str">
        <f t="shared" ca="1" si="7"/>
        <v>Tue</v>
      </c>
      <c r="C81" s="2">
        <f ca="1">OFFSET(Data!$A$1,$C$26-A81,0,1,1)</f>
        <v>45244</v>
      </c>
      <c r="D81" s="5">
        <f ca="1">_xlfn.XLOOKUP(C81,Data!$A:$A,Data!$I:$I)</f>
        <v>6.8463842533161845E-3</v>
      </c>
      <c r="E81" s="5">
        <f ca="1">$E$26+$F$26*_xlfn.XLOOKUP(C81,Data!$A:$A,Data!$F:$F)</f>
        <v>3.8236545266920295E-3</v>
      </c>
      <c r="F81" s="5">
        <f t="shared" ca="1" si="8"/>
        <v>3.022729726624155E-3</v>
      </c>
      <c r="G81" s="13">
        <f t="shared" ca="1" si="9"/>
        <v>0.23546151058295817</v>
      </c>
      <c r="H81" t="str">
        <f t="shared" ca="1" si="10"/>
        <v>No</v>
      </c>
      <c r="I81" s="5">
        <f t="shared" ca="1" si="11"/>
        <v>5.8174145326476134E-2</v>
      </c>
    </row>
    <row r="82" spans="1:9" x14ac:dyDescent="0.2">
      <c r="A82">
        <v>-7</v>
      </c>
      <c r="B82" t="str">
        <f t="shared" ca="1" si="7"/>
        <v>Mon</v>
      </c>
      <c r="C82" s="2">
        <f ca="1">OFFSET(Data!$A$1,$C$26-A82,0,1,1)</f>
        <v>45243</v>
      </c>
      <c r="D82" s="5">
        <f ca="1">_xlfn.XLOOKUP(C82,Data!$A:$A,Data!$I:$I)</f>
        <v>0</v>
      </c>
      <c r="E82" s="5">
        <f ca="1">$E$26+$F$26*_xlfn.XLOOKUP(C82,Data!$A:$A,Data!$F:$F)</f>
        <v>-1.9951614053017332E-3</v>
      </c>
      <c r="F82" s="5">
        <f t="shared" ca="1" si="8"/>
        <v>1.9951614053017332E-3</v>
      </c>
      <c r="G82" s="13">
        <f t="shared" ca="1" si="9"/>
        <v>0.15541704381020779</v>
      </c>
      <c r="H82" t="str">
        <f t="shared" ca="1" si="10"/>
        <v>No</v>
      </c>
      <c r="I82" s="5">
        <f t="shared" ca="1" si="11"/>
        <v>5.4985210170544807E-2</v>
      </c>
    </row>
    <row r="83" spans="1:9" x14ac:dyDescent="0.2">
      <c r="A83">
        <v>-8</v>
      </c>
      <c r="B83" t="str">
        <f t="shared" ca="1" si="7"/>
        <v>Sun</v>
      </c>
      <c r="C83" s="2">
        <f ca="1">OFFSET(Data!$A$1,$C$26-A83,0,1,1)</f>
        <v>45242</v>
      </c>
      <c r="D83" s="5">
        <f ca="1">_xlfn.XLOOKUP(C83,Data!$A:$A,Data!$I:$I)</f>
        <v>8.565310492505418E-4</v>
      </c>
      <c r="E83" s="5">
        <f ca="1">$E$26+$F$26*_xlfn.XLOOKUP(C83,Data!$A:$A,Data!$F:$F)</f>
        <v>-4.4350011363938581E-3</v>
      </c>
      <c r="F83" s="5">
        <f t="shared" ca="1" si="8"/>
        <v>5.2915321856443999E-3</v>
      </c>
      <c r="G83" s="13">
        <f t="shared" ca="1" si="9"/>
        <v>0.41219436549548111</v>
      </c>
      <c r="H83" t="str">
        <f t="shared" ca="1" si="10"/>
        <v>No</v>
      </c>
      <c r="I83" s="5">
        <f t="shared" ca="1" si="11"/>
        <v>5.288453558091466E-2</v>
      </c>
    </row>
    <row r="84" spans="1:9" x14ac:dyDescent="0.2">
      <c r="A84">
        <v>-9</v>
      </c>
      <c r="B84" t="str">
        <f t="shared" ca="1" si="7"/>
        <v>Thu</v>
      </c>
      <c r="C84" s="2">
        <f ca="1">OFFSET(Data!$A$1,$C$26-A84,0,1,1)</f>
        <v>45239</v>
      </c>
      <c r="D84" s="5">
        <f ca="1">_xlfn.XLOOKUP(C84,Data!$A:$A,Data!$I:$I)</f>
        <v>6.4655172413792261E-3</v>
      </c>
      <c r="E84" s="5">
        <f ca="1">$E$26+$F$26*_xlfn.XLOOKUP(C84,Data!$A:$A,Data!$F:$F)</f>
        <v>-2.1203064754779931E-3</v>
      </c>
      <c r="F84" s="5">
        <f t="shared" ca="1" si="8"/>
        <v>8.5858237168572188E-3</v>
      </c>
      <c r="G84" s="13">
        <f t="shared" ca="1" si="9"/>
        <v>0.66880971995732719</v>
      </c>
      <c r="H84" t="str">
        <f t="shared" ca="1" si="10"/>
        <v>No</v>
      </c>
      <c r="I84" s="5">
        <f t="shared" ca="1" si="11"/>
        <v>4.7342489090499429E-2</v>
      </c>
    </row>
    <row r="85" spans="1:9" x14ac:dyDescent="0.2">
      <c r="A85">
        <v>-10</v>
      </c>
      <c r="B85" t="str">
        <f t="shared" ca="1" si="7"/>
        <v>Wed</v>
      </c>
      <c r="C85" s="2">
        <f ca="1">OFFSET(Data!$A$1,$C$26-A85,0,1,1)</f>
        <v>45238</v>
      </c>
      <c r="D85" s="5">
        <f ca="1">_xlfn.XLOOKUP(C85,Data!$A:$A,Data!$I:$I)</f>
        <v>3.6176864671728426E-2</v>
      </c>
      <c r="E85" s="5">
        <f ca="1">$E$26+$F$26*_xlfn.XLOOKUP(C85,Data!$A:$A,Data!$F:$F)</f>
        <v>-2.2498754849155107E-3</v>
      </c>
      <c r="F85" s="5">
        <f t="shared" ca="1" si="8"/>
        <v>3.8426740156643935E-2</v>
      </c>
      <c r="G85" s="13">
        <f t="shared" ca="1" si="9"/>
        <v>2.9933269271041336</v>
      </c>
      <c r="H85" t="str">
        <f t="shared" ca="1" si="10"/>
        <v>Yes</v>
      </c>
      <c r="I85" s="5">
        <f ca="1">F85</f>
        <v>3.8426740156643935E-2</v>
      </c>
    </row>
    <row r="87" spans="1:9" x14ac:dyDescent="0.2">
      <c r="A87" s="3" t="s">
        <v>51</v>
      </c>
      <c r="B87" t="str">
        <f>E12</f>
        <v>Iran first direct attack</v>
      </c>
    </row>
    <row r="88" spans="1:9" x14ac:dyDescent="0.2">
      <c r="A88" s="12" t="s">
        <v>42</v>
      </c>
      <c r="B88" s="12" t="s">
        <v>43</v>
      </c>
      <c r="C88" s="12" t="s">
        <v>0</v>
      </c>
      <c r="D88" s="12" t="s">
        <v>44</v>
      </c>
      <c r="E88" s="12" t="s">
        <v>45</v>
      </c>
      <c r="F88" s="12" t="s">
        <v>46</v>
      </c>
      <c r="G88" s="12" t="s">
        <v>47</v>
      </c>
      <c r="H88" s="12" t="s">
        <v>48</v>
      </c>
      <c r="I88" s="12" t="s">
        <v>49</v>
      </c>
    </row>
    <row r="89" spans="1:9" x14ac:dyDescent="0.2">
      <c r="A89">
        <v>10</v>
      </c>
      <c r="B89" t="str">
        <f t="shared" ref="B89:B109" ca="1" si="12">TEXT(WEEKDAY(C89),"ddd")</f>
        <v>Thu</v>
      </c>
      <c r="C89" s="2">
        <f ca="1">OFFSET(Data!$A$1,$C$27-A89,0,1,1)</f>
        <v>45414</v>
      </c>
      <c r="D89" s="5">
        <f ca="1">_xlfn.XLOOKUP(C89,Data!$A:$A,Data!$I:$I)</f>
        <v>0</v>
      </c>
      <c r="E89" s="5">
        <f ca="1">$E$27+$F$27*_xlfn.XLOOKUP(C89,Data!$A:$A,Data!$F:$F)</f>
        <v>9.9425402730822358E-4</v>
      </c>
      <c r="F89" s="5">
        <f t="shared" ref="F89:F109" ca="1" si="13">D89-E89</f>
        <v>-9.9425402730822358E-4</v>
      </c>
      <c r="G89" s="13">
        <f t="shared" ref="G89:G109" ca="1" si="14">F89/$I$27</f>
        <v>-7.215001999117833E-2</v>
      </c>
      <c r="H89" t="str">
        <f t="shared" ref="H89:H109" ca="1" si="15">IF(ABS(G89)&lt;$B$6,"No","Yes")</f>
        <v>No</v>
      </c>
      <c r="I89" s="5">
        <f t="shared" ref="I89:I108" ca="1" si="16">(1+I90)*(1+F89)-1</f>
        <v>-3.1214934646877412E-2</v>
      </c>
    </row>
    <row r="90" spans="1:9" x14ac:dyDescent="0.2">
      <c r="A90">
        <v>9</v>
      </c>
      <c r="B90" t="str">
        <f t="shared" ca="1" si="12"/>
        <v>Wed</v>
      </c>
      <c r="C90" s="2">
        <f ca="1">OFFSET(Data!$A$1,$C$27-A90,0,1,1)</f>
        <v>45413</v>
      </c>
      <c r="D90" s="5">
        <f ca="1">_xlfn.XLOOKUP(C90,Data!$A:$A,Data!$I:$I)</f>
        <v>0</v>
      </c>
      <c r="E90" s="5">
        <f ca="1">$E$27+$F$27*_xlfn.XLOOKUP(C90,Data!$A:$A,Data!$F:$F)</f>
        <v>-1.6516577666187203E-3</v>
      </c>
      <c r="F90" s="5">
        <f t="shared" ca="1" si="13"/>
        <v>1.6516577666187203E-3</v>
      </c>
      <c r="G90" s="13">
        <f t="shared" ca="1" si="14"/>
        <v>0.11985582920166862</v>
      </c>
      <c r="H90" t="str">
        <f t="shared" ca="1" si="15"/>
        <v>No</v>
      </c>
      <c r="I90" s="5">
        <f t="shared" ca="1" si="16"/>
        <v>-3.0250757557099495E-2</v>
      </c>
    </row>
    <row r="91" spans="1:9" x14ac:dyDescent="0.2">
      <c r="A91">
        <v>8</v>
      </c>
      <c r="B91" t="str">
        <f t="shared" ca="1" si="12"/>
        <v>Tue</v>
      </c>
      <c r="C91" s="2">
        <f ca="1">OFFSET(Data!$A$1,$C$27-A91,0,1,1)</f>
        <v>45412</v>
      </c>
      <c r="D91" s="5">
        <f ca="1">_xlfn.XLOOKUP(C91,Data!$A:$A,Data!$I:$I)</f>
        <v>0</v>
      </c>
      <c r="E91" s="5">
        <f ca="1">$E$27+$F$27*_xlfn.XLOOKUP(C91,Data!$A:$A,Data!$F:$F)</f>
        <v>2.8859475759619628E-3</v>
      </c>
      <c r="F91" s="5">
        <f t="shared" ca="1" si="13"/>
        <v>-2.8859475759619628E-3</v>
      </c>
      <c r="G91" s="13">
        <f t="shared" ca="1" si="14"/>
        <v>-0.20942452288865476</v>
      </c>
      <c r="H91" t="str">
        <f t="shared" ca="1" si="15"/>
        <v>No</v>
      </c>
      <c r="I91" s="5">
        <f t="shared" ca="1" si="16"/>
        <v>-3.1849810337109652E-2</v>
      </c>
    </row>
    <row r="92" spans="1:9" x14ac:dyDescent="0.2">
      <c r="A92">
        <v>7</v>
      </c>
      <c r="B92" t="str">
        <f t="shared" ca="1" si="12"/>
        <v>Thu</v>
      </c>
      <c r="C92" s="2">
        <f ca="1">OFFSET(Data!$A$1,$C$27-A92,0,1,1)</f>
        <v>45407</v>
      </c>
      <c r="D92" s="5">
        <f ca="1">_xlfn.XLOOKUP(C92,Data!$A:$A,Data!$I:$I)</f>
        <v>0</v>
      </c>
      <c r="E92" s="5">
        <f ca="1">$E$27+$F$27*_xlfn.XLOOKUP(C92,Data!$A:$A,Data!$F:$F)</f>
        <v>-1.4843025626885547E-3</v>
      </c>
      <c r="F92" s="5">
        <f t="shared" ca="1" si="13"/>
        <v>1.4843025626885547E-3</v>
      </c>
      <c r="G92" s="13">
        <f t="shared" ca="1" si="14"/>
        <v>0.10771136613936717</v>
      </c>
      <c r="H92" t="str">
        <f t="shared" ca="1" si="15"/>
        <v>No</v>
      </c>
      <c r="I92" s="5">
        <f t="shared" ca="1" si="16"/>
        <v>-2.9047692880002085E-2</v>
      </c>
    </row>
    <row r="93" spans="1:9" x14ac:dyDescent="0.2">
      <c r="A93">
        <v>6</v>
      </c>
      <c r="B93" t="str">
        <f t="shared" ca="1" si="12"/>
        <v>Wed</v>
      </c>
      <c r="C93" s="2">
        <f ca="1">OFFSET(Data!$A$1,$C$27-A93,0,1,1)</f>
        <v>45406</v>
      </c>
      <c r="D93" s="5">
        <f ca="1">_xlfn.XLOOKUP(C93,Data!$A:$A,Data!$I:$I)</f>
        <v>0</v>
      </c>
      <c r="E93" s="5">
        <f ca="1">$E$27+$F$27*_xlfn.XLOOKUP(C93,Data!$A:$A,Data!$F:$F)</f>
        <v>7.6715718101023249E-4</v>
      </c>
      <c r="F93" s="5">
        <f t="shared" ca="1" si="13"/>
        <v>-7.6715718101023249E-4</v>
      </c>
      <c r="G93" s="13">
        <f t="shared" ca="1" si="14"/>
        <v>-5.5670285888724282E-2</v>
      </c>
      <c r="H93" t="str">
        <f t="shared" ca="1" si="15"/>
        <v>No</v>
      </c>
      <c r="I93" s="5">
        <f t="shared" ca="1" si="16"/>
        <v>-3.0486743890605683E-2</v>
      </c>
    </row>
    <row r="94" spans="1:9" x14ac:dyDescent="0.2">
      <c r="A94">
        <v>5</v>
      </c>
      <c r="B94" t="str">
        <f t="shared" ca="1" si="12"/>
        <v>Sun</v>
      </c>
      <c r="C94" s="2">
        <f ca="1">OFFSET(Data!$A$1,$C$27-A94,0,1,1)</f>
        <v>45403</v>
      </c>
      <c r="D94" s="5">
        <f ca="1">_xlfn.XLOOKUP(C94,Data!$A:$A,Data!$I:$I)</f>
        <v>0</v>
      </c>
      <c r="E94" s="5">
        <f ca="1">$E$27+$F$27*_xlfn.XLOOKUP(C94,Data!$A:$A,Data!$F:$F)</f>
        <v>3.0290964226297175E-3</v>
      </c>
      <c r="F94" s="5">
        <f t="shared" ca="1" si="13"/>
        <v>-3.0290964226297175E-3</v>
      </c>
      <c r="G94" s="13">
        <f t="shared" ca="1" si="14"/>
        <v>-0.21981240351585671</v>
      </c>
      <c r="H94" t="str">
        <f t="shared" ca="1" si="15"/>
        <v>No</v>
      </c>
      <c r="I94" s="5">
        <f t="shared" ca="1" si="16"/>
        <v>-2.9742403808257434E-2</v>
      </c>
    </row>
    <row r="95" spans="1:9" x14ac:dyDescent="0.2">
      <c r="A95">
        <v>4</v>
      </c>
      <c r="B95" t="str">
        <f t="shared" ca="1" si="12"/>
        <v>Thu</v>
      </c>
      <c r="C95" s="2">
        <f ca="1">OFFSET(Data!$A$1,$C$27-A95,0,1,1)</f>
        <v>45400</v>
      </c>
      <c r="D95" s="5">
        <f ca="1">_xlfn.XLOOKUP(C95,Data!$A:$A,Data!$I:$I)</f>
        <v>0</v>
      </c>
      <c r="E95" s="5">
        <f ca="1">$E$27+$F$27*_xlfn.XLOOKUP(C95,Data!$A:$A,Data!$F:$F)</f>
        <v>2.8071011293846547E-3</v>
      </c>
      <c r="F95" s="5">
        <f t="shared" ca="1" si="13"/>
        <v>-2.8071011293846547E-3</v>
      </c>
      <c r="G95" s="13">
        <f t="shared" ca="1" si="14"/>
        <v>-0.20370287375217849</v>
      </c>
      <c r="H95" t="str">
        <f t="shared" ca="1" si="15"/>
        <v>No</v>
      </c>
      <c r="I95" s="5">
        <f t="shared" ca="1" si="16"/>
        <v>-2.6794470420123617E-2</v>
      </c>
    </row>
    <row r="96" spans="1:9" x14ac:dyDescent="0.2">
      <c r="A96">
        <v>3</v>
      </c>
      <c r="B96" t="str">
        <f t="shared" ca="1" si="12"/>
        <v>Wed</v>
      </c>
      <c r="C96" s="2">
        <f ca="1">OFFSET(Data!$A$1,$C$27-A96,0,1,1)</f>
        <v>45399</v>
      </c>
      <c r="D96" s="5">
        <f ca="1">_xlfn.XLOOKUP(C96,Data!$A:$A,Data!$I:$I)</f>
        <v>0</v>
      </c>
      <c r="E96" s="5">
        <f ca="1">$E$27+$F$27*_xlfn.XLOOKUP(C96,Data!$A:$A,Data!$F:$F)</f>
        <v>-2.2111846174624919E-3</v>
      </c>
      <c r="F96" s="5">
        <f t="shared" ca="1" si="13"/>
        <v>2.2111846174624919E-3</v>
      </c>
      <c r="G96" s="13">
        <f t="shared" ca="1" si="14"/>
        <v>0.16045900742894104</v>
      </c>
      <c r="H96" t="str">
        <f t="shared" ca="1" si="15"/>
        <v>No</v>
      </c>
      <c r="I96" s="5">
        <f t="shared" ca="1" si="16"/>
        <v>-2.405489381032111E-2</v>
      </c>
    </row>
    <row r="97" spans="1:9" x14ac:dyDescent="0.2">
      <c r="A97">
        <v>2</v>
      </c>
      <c r="B97" t="str">
        <f t="shared" ca="1" si="12"/>
        <v>Tue</v>
      </c>
      <c r="C97" s="2">
        <f ca="1">OFFSET(Data!$A$1,$C$27-A97,0,1,1)</f>
        <v>45398</v>
      </c>
      <c r="D97" s="5">
        <f ca="1">_xlfn.XLOOKUP(C97,Data!$A:$A,Data!$I:$I)</f>
        <v>0</v>
      </c>
      <c r="E97" s="5">
        <f ca="1">$E$27+$F$27*_xlfn.XLOOKUP(C97,Data!$A:$A,Data!$F:$F)</f>
        <v>-5.9554526489798718E-4</v>
      </c>
      <c r="F97" s="5">
        <f t="shared" ca="1" si="13"/>
        <v>5.9554526489798718E-4</v>
      </c>
      <c r="G97" s="13">
        <f t="shared" ca="1" si="14"/>
        <v>4.3216926044917989E-2</v>
      </c>
      <c r="H97" t="str">
        <f t="shared" ca="1" si="15"/>
        <v>No</v>
      </c>
      <c r="I97" s="5">
        <f t="shared" ca="1" si="16"/>
        <v>-2.6208127419580785E-2</v>
      </c>
    </row>
    <row r="98" spans="1:9" x14ac:dyDescent="0.2">
      <c r="A98">
        <v>1</v>
      </c>
      <c r="B98" t="str">
        <f t="shared" ca="1" si="12"/>
        <v>Mon</v>
      </c>
      <c r="C98" s="2">
        <f ca="1">OFFSET(Data!$A$1,$C$27-A98,0,1,1)</f>
        <v>45397</v>
      </c>
      <c r="D98" s="5">
        <f ca="1">_xlfn.XLOOKUP(C98,Data!$A:$A,Data!$I:$I)</f>
        <v>0</v>
      </c>
      <c r="E98" s="5">
        <f ca="1">$E$27+$F$27*_xlfn.XLOOKUP(C98,Data!$A:$A,Data!$F:$F)</f>
        <v>-2.2687029699579608E-3</v>
      </c>
      <c r="F98" s="5">
        <f t="shared" ca="1" si="13"/>
        <v>2.2687029699579608E-3</v>
      </c>
      <c r="G98" s="13">
        <f t="shared" ca="1" si="14"/>
        <v>0.16463294101977899</v>
      </c>
      <c r="H98" t="str">
        <f t="shared" ca="1" si="15"/>
        <v>No</v>
      </c>
      <c r="I98" s="5">
        <f t="shared" ca="1" si="16"/>
        <v>-2.6787719385041653E-2</v>
      </c>
    </row>
    <row r="99" spans="1:9" x14ac:dyDescent="0.2">
      <c r="A99">
        <v>0</v>
      </c>
      <c r="B99" t="str">
        <f t="shared" ca="1" si="12"/>
        <v>Sun</v>
      </c>
      <c r="C99" s="2">
        <f ca="1">OFFSET(Data!$A$1,$C$27-A99,0,1,1)</f>
        <v>45396</v>
      </c>
      <c r="D99" s="5">
        <f ca="1">_xlfn.XLOOKUP(C99,Data!$A:$A,Data!$I:$I)</f>
        <v>0</v>
      </c>
      <c r="E99" s="5">
        <f ca="1">$E$27+$F$27*_xlfn.XLOOKUP(C99,Data!$A:$A,Data!$F:$F)</f>
        <v>9.1444519424701339E-4</v>
      </c>
      <c r="F99" s="5">
        <f t="shared" ca="1" si="13"/>
        <v>-9.1444519424701339E-4</v>
      </c>
      <c r="G99" s="13">
        <f t="shared" ca="1" si="14"/>
        <v>-6.6358533366348338E-2</v>
      </c>
      <c r="H99" t="str">
        <f t="shared" ca="1" si="15"/>
        <v>No</v>
      </c>
      <c r="I99" s="5">
        <f t="shared" ca="1" si="16"/>
        <v>-2.8990651178569804E-2</v>
      </c>
    </row>
    <row r="100" spans="1:9" x14ac:dyDescent="0.2">
      <c r="A100">
        <v>-1</v>
      </c>
      <c r="B100" t="str">
        <f t="shared" ca="1" si="12"/>
        <v>Thu</v>
      </c>
      <c r="C100" s="2">
        <f ca="1">OFFSET(Data!$A$1,$C$27-A100,0,1,1)</f>
        <v>45393</v>
      </c>
      <c r="D100" s="5">
        <f ca="1">_xlfn.XLOOKUP(C100,Data!$A:$A,Data!$I:$I)</f>
        <v>0</v>
      </c>
      <c r="E100" s="5">
        <f ca="1">$E$27+$F$27*_xlfn.XLOOKUP(C100,Data!$A:$A,Data!$F:$F)</f>
        <v>-3.6882839403514643E-3</v>
      </c>
      <c r="F100" s="5">
        <f t="shared" ca="1" si="13"/>
        <v>3.6882839403514643E-3</v>
      </c>
      <c r="G100" s="13">
        <f t="shared" ca="1" si="14"/>
        <v>0.26764765615277192</v>
      </c>
      <c r="H100" t="str">
        <f t="shared" ca="1" si="15"/>
        <v>No</v>
      </c>
      <c r="I100" s="5">
        <f t="shared" ca="1" si="16"/>
        <v>-2.8101903635051051E-2</v>
      </c>
    </row>
    <row r="101" spans="1:9" x14ac:dyDescent="0.2">
      <c r="A101">
        <v>-2</v>
      </c>
      <c r="B101" t="str">
        <f t="shared" ca="1" si="12"/>
        <v>Wed</v>
      </c>
      <c r="C101" s="2">
        <f ca="1">OFFSET(Data!$A$1,$C$27-A101,0,1,1)</f>
        <v>45392</v>
      </c>
      <c r="D101" s="5">
        <f ca="1">_xlfn.XLOOKUP(C101,Data!$A:$A,Data!$I:$I)</f>
        <v>0</v>
      </c>
      <c r="E101" s="5">
        <f ca="1">$E$27+$F$27*_xlfn.XLOOKUP(C101,Data!$A:$A,Data!$F:$F)</f>
        <v>-2.0683459214306931E-3</v>
      </c>
      <c r="F101" s="5">
        <f t="shared" ca="1" si="13"/>
        <v>2.0683459214306931E-3</v>
      </c>
      <c r="G101" s="13">
        <f t="shared" ca="1" si="14"/>
        <v>0.15009363349919252</v>
      </c>
      <c r="H101" t="str">
        <f t="shared" ca="1" si="15"/>
        <v>No</v>
      </c>
      <c r="I101" s="5">
        <f t="shared" ca="1" si="16"/>
        <v>-3.1673367203807756E-2</v>
      </c>
    </row>
    <row r="102" spans="1:9" x14ac:dyDescent="0.2">
      <c r="A102">
        <v>-3</v>
      </c>
      <c r="B102" t="str">
        <f t="shared" ca="1" si="12"/>
        <v>Tue</v>
      </c>
      <c r="C102" s="2">
        <f ca="1">OFFSET(Data!$A$1,$C$27-A102,0,1,1)</f>
        <v>45391</v>
      </c>
      <c r="D102" s="5">
        <f ca="1">_xlfn.XLOOKUP(C102,Data!$A:$A,Data!$I:$I)</f>
        <v>-2.3618726275832946E-2</v>
      </c>
      <c r="E102" s="5">
        <f ca="1">$E$27+$F$27*_xlfn.XLOOKUP(C102,Data!$A:$A,Data!$F:$F)</f>
        <v>-2.2636509515679385E-3</v>
      </c>
      <c r="F102" s="5">
        <f t="shared" ca="1" si="13"/>
        <v>-2.1355075324265008E-2</v>
      </c>
      <c r="G102" s="13">
        <f t="shared" ca="1" si="14"/>
        <v>-1.549673493131543</v>
      </c>
      <c r="H102" t="str">
        <f t="shared" ca="1" si="15"/>
        <v>No</v>
      </c>
      <c r="I102" s="5">
        <f t="shared" ca="1" si="16"/>
        <v>-3.367206764146613E-2</v>
      </c>
    </row>
    <row r="103" spans="1:9" x14ac:dyDescent="0.2">
      <c r="A103">
        <v>-4</v>
      </c>
      <c r="B103" t="str">
        <f t="shared" ca="1" si="12"/>
        <v>Mon</v>
      </c>
      <c r="C103" s="2">
        <f ca="1">OFFSET(Data!$A$1,$C$27-A103,0,1,1)</f>
        <v>45390</v>
      </c>
      <c r="D103" s="5">
        <f ca="1">_xlfn.XLOOKUP(C103,Data!$A:$A,Data!$I:$I)</f>
        <v>0</v>
      </c>
      <c r="E103" s="5">
        <f ca="1">$E$27+$F$27*_xlfn.XLOOKUP(C103,Data!$A:$A,Data!$F:$F)</f>
        <v>3.2572503881756619E-3</v>
      </c>
      <c r="F103" s="5">
        <f t="shared" ca="1" si="13"/>
        <v>-3.2572503881756619E-3</v>
      </c>
      <c r="G103" s="13">
        <f t="shared" ca="1" si="14"/>
        <v>-0.23636884957800922</v>
      </c>
      <c r="H103" t="str">
        <f t="shared" ca="1" si="15"/>
        <v>No</v>
      </c>
      <c r="I103" s="5">
        <f t="shared" ca="1" si="16"/>
        <v>-1.2585762217366181E-2</v>
      </c>
    </row>
    <row r="104" spans="1:9" x14ac:dyDescent="0.2">
      <c r="A104">
        <v>-5</v>
      </c>
      <c r="B104" t="str">
        <f t="shared" ca="1" si="12"/>
        <v>Sun</v>
      </c>
      <c r="C104" s="2">
        <f ca="1">OFFSET(Data!$A$1,$C$27-A104,0,1,1)</f>
        <v>45389</v>
      </c>
      <c r="D104" s="5">
        <f ca="1">_xlfn.XLOOKUP(C104,Data!$A:$A,Data!$I:$I)</f>
        <v>0</v>
      </c>
      <c r="E104" s="5">
        <f ca="1">$E$27+$F$27*_xlfn.XLOOKUP(C104,Data!$A:$A,Data!$F:$F)</f>
        <v>3.0430024135630579E-3</v>
      </c>
      <c r="F104" s="5">
        <f t="shared" ca="1" si="13"/>
        <v>-3.0430024135630579E-3</v>
      </c>
      <c r="G104" s="13">
        <f t="shared" ca="1" si="14"/>
        <v>-0.22082151939196132</v>
      </c>
      <c r="H104" t="str">
        <f t="shared" ca="1" si="15"/>
        <v>No</v>
      </c>
      <c r="I104" s="5">
        <f t="shared" ca="1" si="16"/>
        <v>-9.3589964239252366E-3</v>
      </c>
    </row>
    <row r="105" spans="1:9" x14ac:dyDescent="0.2">
      <c r="A105">
        <v>-6</v>
      </c>
      <c r="B105" t="str">
        <f t="shared" ca="1" si="12"/>
        <v>Thu</v>
      </c>
      <c r="C105" s="2">
        <f ca="1">OFFSET(Data!$A$1,$C$27-A105,0,1,1)</f>
        <v>45386</v>
      </c>
      <c r="D105" s="5">
        <f ca="1">_xlfn.XLOOKUP(C105,Data!$A:$A,Data!$I:$I)</f>
        <v>0</v>
      </c>
      <c r="E105" s="5">
        <f ca="1">$E$27+$F$27*_xlfn.XLOOKUP(C105,Data!$A:$A,Data!$F:$F)</f>
        <v>-3.5534156097277044E-3</v>
      </c>
      <c r="F105" s="5">
        <f t="shared" ca="1" si="13"/>
        <v>3.5534156097277044E-3</v>
      </c>
      <c r="G105" s="13">
        <f t="shared" ca="1" si="14"/>
        <v>0.25786066763332333</v>
      </c>
      <c r="H105" t="str">
        <f t="shared" ca="1" si="15"/>
        <v>No</v>
      </c>
      <c r="I105" s="5">
        <f t="shared" ca="1" si="16"/>
        <v>-6.3352722591373256E-3</v>
      </c>
    </row>
    <row r="106" spans="1:9" x14ac:dyDescent="0.2">
      <c r="A106">
        <v>-7</v>
      </c>
      <c r="B106" t="str">
        <f t="shared" ca="1" si="12"/>
        <v>Wed</v>
      </c>
      <c r="C106" s="2">
        <f ca="1">OFFSET(Data!$A$1,$C$27-A106,0,1,1)</f>
        <v>45385</v>
      </c>
      <c r="D106" s="5">
        <f ca="1">_xlfn.XLOOKUP(C106,Data!$A:$A,Data!$I:$I)</f>
        <v>-1.2905911740216491E-2</v>
      </c>
      <c r="E106" s="5">
        <f ca="1">$E$27+$F$27*_xlfn.XLOOKUP(C106,Data!$A:$A,Data!$F:$F)</f>
        <v>2.1502866090419018E-4</v>
      </c>
      <c r="F106" s="5">
        <f t="shared" ca="1" si="13"/>
        <v>-1.3120940401120681E-2</v>
      </c>
      <c r="G106" s="13">
        <f t="shared" ca="1" si="14"/>
        <v>-0.95214712361476039</v>
      </c>
      <c r="H106" t="str">
        <f t="shared" ca="1" si="15"/>
        <v>No</v>
      </c>
      <c r="I106" s="5">
        <f t="shared" ca="1" si="16"/>
        <v>-9.8536736710291839E-3</v>
      </c>
    </row>
    <row r="107" spans="1:9" x14ac:dyDescent="0.2">
      <c r="A107">
        <v>-8</v>
      </c>
      <c r="B107" t="str">
        <f t="shared" ca="1" si="12"/>
        <v>Tue</v>
      </c>
      <c r="C107" s="2">
        <f ca="1">OFFSET(Data!$A$1,$C$27-A107,0,1,1)</f>
        <v>45384</v>
      </c>
      <c r="D107" s="5">
        <f ca="1">_xlfn.XLOOKUP(C107,Data!$A:$A,Data!$I:$I)</f>
        <v>8.3333333333324155E-4</v>
      </c>
      <c r="E107" s="5">
        <f ca="1">$E$27+$F$27*_xlfn.XLOOKUP(C107,Data!$A:$A,Data!$F:$F)</f>
        <v>-3.4262643719681295E-3</v>
      </c>
      <c r="F107" s="5">
        <f t="shared" ca="1" si="13"/>
        <v>4.2595977053013715E-3</v>
      </c>
      <c r="G107" s="13">
        <f t="shared" ca="1" si="14"/>
        <v>0.30910617523362316</v>
      </c>
      <c r="H107" t="str">
        <f t="shared" ca="1" si="15"/>
        <v>No</v>
      </c>
      <c r="I107" s="5">
        <f t="shared" ca="1" si="16"/>
        <v>3.3107063102741918E-3</v>
      </c>
    </row>
    <row r="108" spans="1:9" x14ac:dyDescent="0.2">
      <c r="A108">
        <v>-9</v>
      </c>
      <c r="B108" t="str">
        <f t="shared" ca="1" si="12"/>
        <v>Mon</v>
      </c>
      <c r="C108" s="2">
        <f ca="1">OFFSET(Data!$A$1,$C$27-A108,0,1,1)</f>
        <v>45383</v>
      </c>
      <c r="D108" s="5">
        <f ca="1">_xlfn.XLOOKUP(C108,Data!$A:$A,Data!$I:$I)</f>
        <v>0</v>
      </c>
      <c r="E108" s="5">
        <f ca="1">$E$27+$F$27*_xlfn.XLOOKUP(C108,Data!$A:$A,Data!$F:$F)</f>
        <v>-4.1734778391373036E-4</v>
      </c>
      <c r="F108" s="5">
        <f t="shared" ca="1" si="13"/>
        <v>4.1734778391373036E-4</v>
      </c>
      <c r="G108" s="13">
        <f t="shared" ca="1" si="14"/>
        <v>3.0285671594584208E-2</v>
      </c>
      <c r="H108" t="str">
        <f t="shared" ca="1" si="15"/>
        <v>No</v>
      </c>
      <c r="I108" s="5">
        <f t="shared" ca="1" si="16"/>
        <v>-9.448666432416708E-4</v>
      </c>
    </row>
    <row r="109" spans="1:9" x14ac:dyDescent="0.2">
      <c r="A109">
        <v>-10</v>
      </c>
      <c r="B109" t="str">
        <f t="shared" ca="1" si="12"/>
        <v>Sun</v>
      </c>
      <c r="C109" s="2">
        <f ca="1">OFFSET(Data!$A$1,$C$27-A109,0,1,1)</f>
        <v>45382</v>
      </c>
      <c r="D109" s="5">
        <f ca="1">_xlfn.XLOOKUP(C109,Data!$A:$A,Data!$I:$I)</f>
        <v>0</v>
      </c>
      <c r="E109" s="5">
        <f ca="1">$E$27+$F$27*_xlfn.XLOOKUP(C109,Data!$A:$A,Data!$F:$F)</f>
        <v>1.3616461471535038E-3</v>
      </c>
      <c r="F109" s="5">
        <f t="shared" ca="1" si="13"/>
        <v>-1.3616461471535038E-3</v>
      </c>
      <c r="G109" s="13">
        <f t="shared" ca="1" si="14"/>
        <v>-9.8810559514666663E-2</v>
      </c>
      <c r="H109" t="str">
        <f t="shared" ca="1" si="15"/>
        <v>No</v>
      </c>
      <c r="I109" s="5">
        <f ca="1">F109</f>
        <v>-1.3616461471535038E-3</v>
      </c>
    </row>
    <row r="111" spans="1:9" x14ac:dyDescent="0.2">
      <c r="A111" s="3" t="s">
        <v>52</v>
      </c>
      <c r="B111" t="str">
        <f>E13</f>
        <v>Haniyeh assassinated in Tehran</v>
      </c>
    </row>
    <row r="112" spans="1:9" x14ac:dyDescent="0.2">
      <c r="A112" s="12" t="s">
        <v>42</v>
      </c>
      <c r="B112" s="12" t="s">
        <v>43</v>
      </c>
      <c r="C112" s="12" t="s">
        <v>0</v>
      </c>
      <c r="D112" s="12" t="s">
        <v>44</v>
      </c>
      <c r="E112" s="12" t="s">
        <v>45</v>
      </c>
      <c r="F112" s="12" t="s">
        <v>46</v>
      </c>
      <c r="G112" s="12" t="s">
        <v>47</v>
      </c>
      <c r="H112" s="12" t="s">
        <v>48</v>
      </c>
      <c r="I112" s="12" t="s">
        <v>49</v>
      </c>
    </row>
    <row r="113" spans="1:9" x14ac:dyDescent="0.2">
      <c r="A113">
        <v>10</v>
      </c>
      <c r="B113" t="str">
        <f t="shared" ref="B113:B133" ca="1" si="17">TEXT(WEEKDAY(C113),"ddd")</f>
        <v>Thu</v>
      </c>
      <c r="C113" s="2">
        <f ca="1">OFFSET(Data!$A$1,$C$28-A113,0,1,1)</f>
        <v>45519</v>
      </c>
      <c r="D113" s="5">
        <f ca="1">_xlfn.XLOOKUP(C113,Data!$A:$A,Data!$I:$I)</f>
        <v>0</v>
      </c>
      <c r="E113" s="5">
        <f ca="1">$E$28+$F$28*_xlfn.XLOOKUP(C113,Data!$A:$A,Data!$F:$F)</f>
        <v>3.8015681591055191E-3</v>
      </c>
      <c r="F113" s="5">
        <f t="shared" ref="F113:F133" ca="1" si="18">D113-E113</f>
        <v>-3.8015681591055191E-3</v>
      </c>
      <c r="G113" s="13">
        <f t="shared" ref="G113:G133" ca="1" si="19">F113/$I$28</f>
        <v>-0.28283593100441828</v>
      </c>
      <c r="H113" t="str">
        <f t="shared" ref="H113:H133" ca="1" si="20">IF(ABS(G113)&lt;$B$6,"No","Yes")</f>
        <v>No</v>
      </c>
      <c r="I113" s="5">
        <f t="shared" ref="I113:I132" ca="1" si="21">(1+I114)*(1+F113)-1</f>
        <v>3.1597398343683469E-3</v>
      </c>
    </row>
    <row r="114" spans="1:9" x14ac:dyDescent="0.2">
      <c r="A114">
        <v>9</v>
      </c>
      <c r="B114" t="str">
        <f t="shared" ca="1" si="17"/>
        <v>Wed</v>
      </c>
      <c r="C114" s="2">
        <f ca="1">OFFSET(Data!$A$1,$C$28-A114,0,1,1)</f>
        <v>45518</v>
      </c>
      <c r="D114" s="5">
        <f ca="1">_xlfn.XLOOKUP(C114,Data!$A:$A,Data!$I:$I)</f>
        <v>0</v>
      </c>
      <c r="E114" s="5">
        <f ca="1">$E$28+$F$28*_xlfn.XLOOKUP(C114,Data!$A:$A,Data!$F:$F)</f>
        <v>4.3669044213708614E-3</v>
      </c>
      <c r="F114" s="5">
        <f t="shared" ca="1" si="18"/>
        <v>-4.3669044213708614E-3</v>
      </c>
      <c r="G114" s="13">
        <f t="shared" ca="1" si="19"/>
        <v>-0.32489683886566223</v>
      </c>
      <c r="H114" t="str">
        <f t="shared" ca="1" si="20"/>
        <v>No</v>
      </c>
      <c r="I114" s="5">
        <f t="shared" ca="1" si="21"/>
        <v>6.9878728684704683E-3</v>
      </c>
    </row>
    <row r="115" spans="1:9" x14ac:dyDescent="0.2">
      <c r="A115">
        <v>8</v>
      </c>
      <c r="B115" t="str">
        <f t="shared" ca="1" si="17"/>
        <v>Mon</v>
      </c>
      <c r="C115" s="2">
        <f ca="1">OFFSET(Data!$A$1,$C$28-A115,0,1,1)</f>
        <v>45516</v>
      </c>
      <c r="D115" s="5">
        <f ca="1">_xlfn.XLOOKUP(C115,Data!$A:$A,Data!$I:$I)</f>
        <v>2.083333333333437E-3</v>
      </c>
      <c r="E115" s="5">
        <f ca="1">$E$28+$F$28*_xlfn.XLOOKUP(C115,Data!$A:$A,Data!$F:$F)</f>
        <v>-3.848650494128753E-3</v>
      </c>
      <c r="F115" s="5">
        <f t="shared" ca="1" si="18"/>
        <v>5.93198382746219E-3</v>
      </c>
      <c r="G115" s="13">
        <f t="shared" ca="1" si="19"/>
        <v>0.44133844201235883</v>
      </c>
      <c r="H115" t="str">
        <f t="shared" ca="1" si="20"/>
        <v>No</v>
      </c>
      <c r="I115" s="5">
        <f t="shared" ca="1" si="21"/>
        <v>1.1404580000670128E-2</v>
      </c>
    </row>
    <row r="116" spans="1:9" x14ac:dyDescent="0.2">
      <c r="A116">
        <v>7</v>
      </c>
      <c r="B116" t="str">
        <f t="shared" ca="1" si="17"/>
        <v>Sun</v>
      </c>
      <c r="C116" s="2">
        <f ca="1">OFFSET(Data!$A$1,$C$28-A116,0,1,1)</f>
        <v>45515</v>
      </c>
      <c r="D116" s="5">
        <f ca="1">_xlfn.XLOOKUP(C116,Data!$A:$A,Data!$I:$I)</f>
        <v>-4.9751243781094301E-3</v>
      </c>
      <c r="E116" s="5">
        <f ca="1">$E$28+$F$28*_xlfn.XLOOKUP(C116,Data!$A:$A,Data!$F:$F)</f>
        <v>5.7310597579514225E-4</v>
      </c>
      <c r="F116" s="5">
        <f t="shared" ca="1" si="18"/>
        <v>-5.5482303539045727E-3</v>
      </c>
      <c r="G116" s="13">
        <f t="shared" ca="1" si="19"/>
        <v>-0.41278725828311946</v>
      </c>
      <c r="H116" t="str">
        <f t="shared" ca="1" si="20"/>
        <v>No</v>
      </c>
      <c r="I116" s="5">
        <f t="shared" ca="1" si="21"/>
        <v>5.4403242576950284E-3</v>
      </c>
    </row>
    <row r="117" spans="1:9" x14ac:dyDescent="0.2">
      <c r="A117">
        <v>6</v>
      </c>
      <c r="B117" t="str">
        <f t="shared" ca="1" si="17"/>
        <v>Thu</v>
      </c>
      <c r="C117" s="2">
        <f ca="1">OFFSET(Data!$A$1,$C$28-A117,0,1,1)</f>
        <v>45512</v>
      </c>
      <c r="D117" s="5">
        <f ca="1">_xlfn.XLOOKUP(C117,Data!$A:$A,Data!$I:$I)</f>
        <v>0</v>
      </c>
      <c r="E117" s="5">
        <f ca="1">$E$28+$F$28*_xlfn.XLOOKUP(C117,Data!$A:$A,Data!$F:$F)</f>
        <v>3.1600440517958179E-3</v>
      </c>
      <c r="F117" s="5">
        <f t="shared" ca="1" si="18"/>
        <v>-3.1600440517958179E-3</v>
      </c>
      <c r="G117" s="13">
        <f t="shared" ca="1" si="19"/>
        <v>-0.23510666230299621</v>
      </c>
      <c r="H117" t="str">
        <f t="shared" ca="1" si="20"/>
        <v>No</v>
      </c>
      <c r="I117" s="5">
        <f t="shared" ca="1" si="21"/>
        <v>1.1049861790190407E-2</v>
      </c>
    </row>
    <row r="118" spans="1:9" x14ac:dyDescent="0.2">
      <c r="A118">
        <v>5</v>
      </c>
      <c r="B118" t="str">
        <f t="shared" ca="1" si="17"/>
        <v>Wed</v>
      </c>
      <c r="C118" s="2">
        <f ca="1">OFFSET(Data!$A$1,$C$28-A118,0,1,1)</f>
        <v>45511</v>
      </c>
      <c r="D118" s="5">
        <f ca="1">_xlfn.XLOOKUP(C118,Data!$A:$A,Data!$I:$I)</f>
        <v>0</v>
      </c>
      <c r="E118" s="5">
        <f ca="1">$E$28+$F$28*_xlfn.XLOOKUP(C118,Data!$A:$A,Data!$F:$F)</f>
        <v>4.3627282364648561E-3</v>
      </c>
      <c r="F118" s="5">
        <f t="shared" ca="1" si="18"/>
        <v>-4.3627282364648561E-3</v>
      </c>
      <c r="G118" s="13">
        <f t="shared" ca="1" si="19"/>
        <v>-0.32458613152161331</v>
      </c>
      <c r="H118" t="str">
        <f t="shared" ca="1" si="20"/>
        <v>No</v>
      </c>
      <c r="I118" s="5">
        <f t="shared" ca="1" si="21"/>
        <v>1.4254952118637254E-2</v>
      </c>
    </row>
    <row r="119" spans="1:9" x14ac:dyDescent="0.2">
      <c r="A119">
        <v>4</v>
      </c>
      <c r="B119" t="str">
        <f t="shared" ca="1" si="17"/>
        <v>Tue</v>
      </c>
      <c r="C119" s="2">
        <f ca="1">OFFSET(Data!$A$1,$C$28-A119,0,1,1)</f>
        <v>45510</v>
      </c>
      <c r="D119" s="5">
        <f ca="1">_xlfn.XLOOKUP(C119,Data!$A:$A,Data!$I:$I)</f>
        <v>2.0772746157042832E-3</v>
      </c>
      <c r="E119" s="5">
        <f ca="1">$E$28+$F$28*_xlfn.XLOOKUP(C119,Data!$A:$A,Data!$F:$F)</f>
        <v>3.7755175773545751E-3</v>
      </c>
      <c r="F119" s="5">
        <f t="shared" ca="1" si="18"/>
        <v>-1.6982429616502919E-3</v>
      </c>
      <c r="G119" s="13">
        <f t="shared" ca="1" si="19"/>
        <v>-0.12634894575797309</v>
      </c>
      <c r="H119" t="str">
        <f t="shared" ca="1" si="20"/>
        <v>No</v>
      </c>
      <c r="I119" s="5">
        <f t="shared" ca="1" si="21"/>
        <v>1.8699260145339291E-2</v>
      </c>
    </row>
    <row r="120" spans="1:9" x14ac:dyDescent="0.2">
      <c r="A120">
        <v>3</v>
      </c>
      <c r="B120" t="str">
        <f t="shared" ca="1" si="17"/>
        <v>Mon</v>
      </c>
      <c r="C120" s="2">
        <f ca="1">OFFSET(Data!$A$1,$C$28-A120,0,1,1)</f>
        <v>45509</v>
      </c>
      <c r="D120" s="5">
        <f ca="1">_xlfn.XLOOKUP(C120,Data!$A:$A,Data!$I:$I)</f>
        <v>-3.7251655629139124E-3</v>
      </c>
      <c r="E120" s="5">
        <f ca="1">$E$28+$F$28*_xlfn.XLOOKUP(C120,Data!$A:$A,Data!$F:$F)</f>
        <v>-2.3229391813338607E-3</v>
      </c>
      <c r="F120" s="5">
        <f t="shared" ca="1" si="18"/>
        <v>-1.4022263815800518E-3</v>
      </c>
      <c r="G120" s="13">
        <f t="shared" ca="1" si="19"/>
        <v>-0.10432536982487449</v>
      </c>
      <c r="H120" t="str">
        <f t="shared" ca="1" si="20"/>
        <v>No</v>
      </c>
      <c r="I120" s="5">
        <f t="shared" ca="1" si="21"/>
        <v>2.0432201950142392E-2</v>
      </c>
    </row>
    <row r="121" spans="1:9" x14ac:dyDescent="0.2">
      <c r="A121">
        <v>2</v>
      </c>
      <c r="B121" t="str">
        <f t="shared" ca="1" si="17"/>
        <v>Sun</v>
      </c>
      <c r="C121" s="2">
        <f ca="1">OFFSET(Data!$A$1,$C$28-A121,0,1,1)</f>
        <v>45508</v>
      </c>
      <c r="D121" s="5">
        <f ca="1">_xlfn.XLOOKUP(C121,Data!$A:$A,Data!$I:$I)</f>
        <v>0</v>
      </c>
      <c r="E121" s="5">
        <f ca="1">$E$28+$F$28*_xlfn.XLOOKUP(C121,Data!$A:$A,Data!$F:$F)</f>
        <v>-5.9300138674642979E-3</v>
      </c>
      <c r="F121" s="5">
        <f t="shared" ca="1" si="18"/>
        <v>5.9300138674642979E-3</v>
      </c>
      <c r="G121" s="13">
        <f t="shared" ca="1" si="19"/>
        <v>0.44119187737199833</v>
      </c>
      <c r="H121" t="str">
        <f t="shared" ca="1" si="20"/>
        <v>No</v>
      </c>
      <c r="I121" s="5">
        <f t="shared" ca="1" si="21"/>
        <v>2.1865088135141209E-2</v>
      </c>
    </row>
    <row r="122" spans="1:9" x14ac:dyDescent="0.2">
      <c r="A122">
        <v>1</v>
      </c>
      <c r="B122" t="str">
        <f t="shared" ca="1" si="17"/>
        <v>Thu</v>
      </c>
      <c r="C122" s="2">
        <f ca="1">OFFSET(Data!$A$1,$C$28-A122,0,1,1)</f>
        <v>45505</v>
      </c>
      <c r="D122" s="5">
        <f ca="1">_xlfn.XLOOKUP(C122,Data!$A:$A,Data!$I:$I)</f>
        <v>1.243265644426117E-3</v>
      </c>
      <c r="E122" s="5">
        <f ca="1">$E$28+$F$28*_xlfn.XLOOKUP(C122,Data!$A:$A,Data!$F:$F)</f>
        <v>-4.0731071085086529E-3</v>
      </c>
      <c r="F122" s="5">
        <f t="shared" ca="1" si="18"/>
        <v>5.3163727529347699E-3</v>
      </c>
      <c r="G122" s="13">
        <f t="shared" ca="1" si="19"/>
        <v>0.39553709790557279</v>
      </c>
      <c r="H122" t="str">
        <f t="shared" ca="1" si="20"/>
        <v>No</v>
      </c>
      <c r="I122" s="5">
        <f t="shared" ca="1" si="21"/>
        <v>1.5841136110863019E-2</v>
      </c>
    </row>
    <row r="123" spans="1:9" x14ac:dyDescent="0.2">
      <c r="A123">
        <v>0</v>
      </c>
      <c r="B123" t="str">
        <f t="shared" ca="1" si="17"/>
        <v>Wed</v>
      </c>
      <c r="C123" s="2">
        <f ca="1">OFFSET(Data!$A$1,$C$28-A123,0,1,1)</f>
        <v>45504</v>
      </c>
      <c r="D123" s="5">
        <f ca="1">_xlfn.XLOOKUP(C123,Data!$A:$A,Data!$I:$I)</f>
        <v>0</v>
      </c>
      <c r="E123" s="5">
        <f ca="1">$E$28+$F$28*_xlfn.XLOOKUP(C123,Data!$A:$A,Data!$F:$F)</f>
        <v>3.0737519375649704E-4</v>
      </c>
      <c r="F123" s="5">
        <f t="shared" ca="1" si="18"/>
        <v>-3.0737519375649704E-4</v>
      </c>
      <c r="G123" s="13">
        <f t="shared" ca="1" si="19"/>
        <v>-2.2868654580229297E-2</v>
      </c>
      <c r="H123" t="str">
        <f t="shared" ca="1" si="20"/>
        <v>No</v>
      </c>
      <c r="I123" s="5">
        <f t="shared" ca="1" si="21"/>
        <v>1.0469105689691949E-2</v>
      </c>
    </row>
    <row r="124" spans="1:9" x14ac:dyDescent="0.2">
      <c r="A124">
        <v>-1</v>
      </c>
      <c r="B124" t="str">
        <f t="shared" ca="1" si="17"/>
        <v>Tue</v>
      </c>
      <c r="C124" s="2">
        <f ca="1">OFFSET(Data!$A$1,$C$28-A124,0,1,1)</f>
        <v>45503</v>
      </c>
      <c r="D124" s="5">
        <f ca="1">_xlfn.XLOOKUP(C124,Data!$A:$A,Data!$I:$I)</f>
        <v>0</v>
      </c>
      <c r="E124" s="5">
        <f ca="1">$E$28+$F$28*_xlfn.XLOOKUP(C124,Data!$A:$A,Data!$F:$F)</f>
        <v>-2.3097373838949263E-3</v>
      </c>
      <c r="F124" s="5">
        <f t="shared" ca="1" si="18"/>
        <v>2.3097373838949263E-3</v>
      </c>
      <c r="G124" s="13">
        <f t="shared" ca="1" si="19"/>
        <v>0.17184401173628888</v>
      </c>
      <c r="H124" t="str">
        <f t="shared" ca="1" si="20"/>
        <v>No</v>
      </c>
      <c r="I124" s="5">
        <f t="shared" ca="1" si="21"/>
        <v>1.0779794324817571E-2</v>
      </c>
    </row>
    <row r="125" spans="1:9" x14ac:dyDescent="0.2">
      <c r="A125">
        <v>-2</v>
      </c>
      <c r="B125" t="str">
        <f t="shared" ca="1" si="17"/>
        <v>Mon</v>
      </c>
      <c r="C125" s="2">
        <f ca="1">OFFSET(Data!$A$1,$C$28-A125,0,1,1)</f>
        <v>45502</v>
      </c>
      <c r="D125" s="5">
        <f ca="1">_xlfn.XLOOKUP(C125,Data!$A:$A,Data!$I:$I)</f>
        <v>0</v>
      </c>
      <c r="E125" s="5">
        <f ca="1">$E$28+$F$28*_xlfn.XLOOKUP(C125,Data!$A:$A,Data!$F:$F)</f>
        <v>7.0311749462726467E-4</v>
      </c>
      <c r="F125" s="5">
        <f t="shared" ca="1" si="18"/>
        <v>-7.0311749462726467E-4</v>
      </c>
      <c r="G125" s="13">
        <f t="shared" ca="1" si="19"/>
        <v>-5.2311804727759599E-2</v>
      </c>
      <c r="H125" t="str">
        <f t="shared" ca="1" si="20"/>
        <v>No</v>
      </c>
      <c r="I125" s="5">
        <f t="shared" ca="1" si="21"/>
        <v>8.4505384164281772E-3</v>
      </c>
    </row>
    <row r="126" spans="1:9" x14ac:dyDescent="0.2">
      <c r="A126">
        <v>-3</v>
      </c>
      <c r="B126" t="str">
        <f t="shared" ca="1" si="17"/>
        <v>Sun</v>
      </c>
      <c r="C126" s="2">
        <f ca="1">OFFSET(Data!$A$1,$C$28-A126,0,1,1)</f>
        <v>45501</v>
      </c>
      <c r="D126" s="5">
        <f ca="1">_xlfn.XLOOKUP(C126,Data!$A:$A,Data!$I:$I)</f>
        <v>0</v>
      </c>
      <c r="E126" s="5">
        <f ca="1">$E$28+$F$28*_xlfn.XLOOKUP(C126,Data!$A:$A,Data!$F:$F)</f>
        <v>-6.2551065284299906E-3</v>
      </c>
      <c r="F126" s="5">
        <f t="shared" ca="1" si="18"/>
        <v>6.2551065284299906E-3</v>
      </c>
      <c r="G126" s="13">
        <f t="shared" ca="1" si="19"/>
        <v>0.46537870806361747</v>
      </c>
      <c r="H126" t="str">
        <f t="shared" ca="1" si="20"/>
        <v>No</v>
      </c>
      <c r="I126" s="5">
        <f t="shared" ca="1" si="21"/>
        <v>9.1600965351819053E-3</v>
      </c>
    </row>
    <row r="127" spans="1:9" x14ac:dyDescent="0.2">
      <c r="A127">
        <v>-4</v>
      </c>
      <c r="B127" t="str">
        <f t="shared" ca="1" si="17"/>
        <v>Thu</v>
      </c>
      <c r="C127" s="2">
        <f ca="1">OFFSET(Data!$A$1,$C$28-A127,0,1,1)</f>
        <v>45498</v>
      </c>
      <c r="D127" s="5">
        <f ca="1">_xlfn.XLOOKUP(C127,Data!$A:$A,Data!$I:$I)</f>
        <v>0</v>
      </c>
      <c r="E127" s="5">
        <f ca="1">$E$28+$F$28*_xlfn.XLOOKUP(C127,Data!$A:$A,Data!$F:$F)</f>
        <v>-1.4482508747918456E-3</v>
      </c>
      <c r="F127" s="5">
        <f t="shared" ca="1" si="18"/>
        <v>1.4482508747918456E-3</v>
      </c>
      <c r="G127" s="13">
        <f t="shared" ca="1" si="19"/>
        <v>0.10774958316046471</v>
      </c>
      <c r="H127" t="str">
        <f t="shared" ca="1" si="20"/>
        <v>No</v>
      </c>
      <c r="I127" s="5">
        <f t="shared" ca="1" si="21"/>
        <v>2.8869319399273952E-3</v>
      </c>
    </row>
    <row r="128" spans="1:9" x14ac:dyDescent="0.2">
      <c r="A128">
        <v>-5</v>
      </c>
      <c r="B128" t="str">
        <f t="shared" ca="1" si="17"/>
        <v>Wed</v>
      </c>
      <c r="C128" s="2">
        <f ca="1">OFFSET(Data!$A$1,$C$28-A128,0,1,1)</f>
        <v>45497</v>
      </c>
      <c r="D128" s="5">
        <f ca="1">_xlfn.XLOOKUP(C128,Data!$A:$A,Data!$I:$I)</f>
        <v>-4.1425020712515526E-4</v>
      </c>
      <c r="E128" s="5">
        <f ca="1">$E$28+$F$28*_xlfn.XLOOKUP(C128,Data!$A:$A,Data!$F:$F)</f>
        <v>-8.0636252937794342E-4</v>
      </c>
      <c r="F128" s="5">
        <f t="shared" ca="1" si="18"/>
        <v>3.9211232225278816E-4</v>
      </c>
      <c r="G128" s="13">
        <f t="shared" ca="1" si="19"/>
        <v>2.9173080444983152E-2</v>
      </c>
      <c r="H128" t="str">
        <f t="shared" ca="1" si="20"/>
        <v>No</v>
      </c>
      <c r="I128" s="5">
        <f t="shared" ca="1" si="21"/>
        <v>1.4366005071941856E-3</v>
      </c>
    </row>
    <row r="129" spans="1:9" x14ac:dyDescent="0.2">
      <c r="A129">
        <v>-6</v>
      </c>
      <c r="B129" t="str">
        <f t="shared" ca="1" si="17"/>
        <v>Tue</v>
      </c>
      <c r="C129" s="2">
        <f ca="1">OFFSET(Data!$A$1,$C$28-A129,0,1,1)</f>
        <v>45496</v>
      </c>
      <c r="D129" s="5">
        <f ca="1">_xlfn.XLOOKUP(C129,Data!$A:$A,Data!$I:$I)</f>
        <v>0</v>
      </c>
      <c r="E129" s="5">
        <f ca="1">$E$28+$F$28*_xlfn.XLOOKUP(C129,Data!$A:$A,Data!$F:$F)</f>
        <v>3.5301904732554226E-3</v>
      </c>
      <c r="F129" s="5">
        <f t="shared" ca="1" si="18"/>
        <v>-3.5301904732554226E-3</v>
      </c>
      <c r="G129" s="13">
        <f t="shared" ca="1" si="19"/>
        <v>-0.26264548400496301</v>
      </c>
      <c r="H129" t="str">
        <f t="shared" ca="1" si="20"/>
        <v>No</v>
      </c>
      <c r="I129" s="5">
        <f t="shared" ca="1" si="21"/>
        <v>1.0440787887828762E-3</v>
      </c>
    </row>
    <row r="130" spans="1:9" x14ac:dyDescent="0.2">
      <c r="A130">
        <v>-7</v>
      </c>
      <c r="B130" t="str">
        <f t="shared" ca="1" si="17"/>
        <v>Mon</v>
      </c>
      <c r="C130" s="2">
        <f ca="1">OFFSET(Data!$A$1,$C$28-A130,0,1,1)</f>
        <v>45495</v>
      </c>
      <c r="D130" s="5">
        <f ca="1">_xlfn.XLOOKUP(C130,Data!$A:$A,Data!$I:$I)</f>
        <v>1.0887772194304812E-2</v>
      </c>
      <c r="E130" s="5">
        <f ca="1">$E$28+$F$28*_xlfn.XLOOKUP(C130,Data!$A:$A,Data!$F:$F)</f>
        <v>1.4256424386212216E-3</v>
      </c>
      <c r="F130" s="5">
        <f t="shared" ca="1" si="18"/>
        <v>9.46212975568359E-3</v>
      </c>
      <c r="G130" s="13">
        <f t="shared" ca="1" si="19"/>
        <v>0.7039806118754619</v>
      </c>
      <c r="H130" t="str">
        <f t="shared" ca="1" si="20"/>
        <v>No</v>
      </c>
      <c r="I130" s="5">
        <f t="shared" ca="1" si="21"/>
        <v>4.5904745114262457E-3</v>
      </c>
    </row>
    <row r="131" spans="1:9" x14ac:dyDescent="0.2">
      <c r="A131">
        <v>-8</v>
      </c>
      <c r="B131" t="str">
        <f t="shared" ca="1" si="17"/>
        <v>Sun</v>
      </c>
      <c r="C131" s="2">
        <f ca="1">OFFSET(Data!$A$1,$C$28-A131,0,1,1)</f>
        <v>45494</v>
      </c>
      <c r="D131" s="5">
        <f ca="1">_xlfn.XLOOKUP(C131,Data!$A:$A,Data!$I:$I)</f>
        <v>-9.5396101202820383E-3</v>
      </c>
      <c r="E131" s="5">
        <f ca="1">$E$28+$F$28*_xlfn.XLOOKUP(C131,Data!$A:$A,Data!$F:$F)</f>
        <v>-2.4181819023203419E-3</v>
      </c>
      <c r="F131" s="5">
        <f t="shared" ca="1" si="18"/>
        <v>-7.1214282179616964E-3</v>
      </c>
      <c r="G131" s="13">
        <f t="shared" ca="1" si="19"/>
        <v>-0.52983287312208993</v>
      </c>
      <c r="H131" t="str">
        <f t="shared" ca="1" si="20"/>
        <v>No</v>
      </c>
      <c r="I131" s="5">
        <f t="shared" ca="1" si="21"/>
        <v>-4.8259910903605263E-3</v>
      </c>
    </row>
    <row r="132" spans="1:9" x14ac:dyDescent="0.2">
      <c r="A132">
        <v>-9</v>
      </c>
      <c r="B132" t="str">
        <f t="shared" ca="1" si="17"/>
        <v>Thu</v>
      </c>
      <c r="C132" s="2">
        <f ca="1">OFFSET(Data!$A$1,$C$28-A132,0,1,1)</f>
        <v>45491</v>
      </c>
      <c r="D132" s="5">
        <f ca="1">_xlfn.XLOOKUP(C132,Data!$A:$A,Data!$I:$I)</f>
        <v>-4.1459369817575809E-4</v>
      </c>
      <c r="E132" s="5">
        <f ca="1">$E$28+$F$28*_xlfn.XLOOKUP(C132,Data!$A:$A,Data!$F:$F)</f>
        <v>-1.1887976104182772E-3</v>
      </c>
      <c r="F132" s="5">
        <f t="shared" ca="1" si="18"/>
        <v>7.7420391224251916E-4</v>
      </c>
      <c r="G132" s="13">
        <f t="shared" ca="1" si="19"/>
        <v>5.7600620360282712E-2</v>
      </c>
      <c r="H132" t="str">
        <f t="shared" ca="1" si="20"/>
        <v>No</v>
      </c>
      <c r="I132" s="5">
        <f t="shared" ca="1" si="21"/>
        <v>2.3119011658003785E-3</v>
      </c>
    </row>
    <row r="133" spans="1:9" x14ac:dyDescent="0.2">
      <c r="A133">
        <v>-10</v>
      </c>
      <c r="B133" t="str">
        <f t="shared" ca="1" si="17"/>
        <v>Wed</v>
      </c>
      <c r="C133" s="2">
        <f ca="1">OFFSET(Data!$A$1,$C$28-A133,0,1,1)</f>
        <v>45490</v>
      </c>
      <c r="D133" s="5">
        <f ca="1">_xlfn.XLOOKUP(C133,Data!$A:$A,Data!$I:$I)</f>
        <v>0</v>
      </c>
      <c r="E133" s="5">
        <f ca="1">$E$28+$F$28*_xlfn.XLOOKUP(C133,Data!$A:$A,Data!$F:$F)</f>
        <v>-1.5365076832982558E-3</v>
      </c>
      <c r="F133" s="5">
        <f t="shared" ca="1" si="18"/>
        <v>1.5365076832982558E-3</v>
      </c>
      <c r="G133" s="13">
        <f t="shared" ca="1" si="19"/>
        <v>0.11431587253281218</v>
      </c>
      <c r="H133" t="str">
        <f t="shared" ca="1" si="20"/>
        <v>No</v>
      </c>
      <c r="I133" s="5">
        <f ca="1">F133</f>
        <v>1.5365076832982558E-3</v>
      </c>
    </row>
    <row r="135" spans="1:9" x14ac:dyDescent="0.2">
      <c r="A135" s="3" t="s">
        <v>53</v>
      </c>
      <c r="B135" t="str">
        <f>E14</f>
        <v>Iran second attack (~180 missiles)</v>
      </c>
    </row>
    <row r="136" spans="1:9" x14ac:dyDescent="0.2">
      <c r="A136" s="12" t="s">
        <v>42</v>
      </c>
      <c r="B136" s="12" t="s">
        <v>43</v>
      </c>
      <c r="C136" s="12" t="s">
        <v>0</v>
      </c>
      <c r="D136" s="12" t="s">
        <v>44</v>
      </c>
      <c r="E136" s="12" t="s">
        <v>45</v>
      </c>
      <c r="F136" s="12" t="s">
        <v>46</v>
      </c>
      <c r="G136" s="12" t="s">
        <v>47</v>
      </c>
      <c r="H136" s="12" t="s">
        <v>48</v>
      </c>
      <c r="I136" s="12" t="s">
        <v>49</v>
      </c>
    </row>
    <row r="137" spans="1:9" x14ac:dyDescent="0.2">
      <c r="A137">
        <v>10</v>
      </c>
      <c r="B137" t="str">
        <f t="shared" ref="B137:B157" ca="1" si="22">TEXT(WEEKDAY(C137),"ddd")</f>
        <v>Tue</v>
      </c>
      <c r="C137" s="2">
        <f ca="1">OFFSET(Data!$A$1,$C$29-A137,0,1,1)</f>
        <v>45587</v>
      </c>
      <c r="D137" s="5">
        <f ca="1">_xlfn.XLOOKUP(C137,Data!$A:$A,Data!$I:$I)</f>
        <v>0</v>
      </c>
      <c r="E137" s="5">
        <f ca="1">$E$29+$F$29*_xlfn.XLOOKUP(C137,Data!$A:$A,Data!$F:$F)</f>
        <v>-1.7005905412597244E-3</v>
      </c>
      <c r="F137" s="5">
        <f t="shared" ref="F137:F157" ca="1" si="23">D137-E137</f>
        <v>1.7005905412597244E-3</v>
      </c>
      <c r="G137" s="13">
        <f t="shared" ref="G137:G157" ca="1" si="24">F137/$I$29</f>
        <v>0.13260414264105402</v>
      </c>
      <c r="H137" t="str">
        <f t="shared" ref="H137:H157" ca="1" si="25">IF(ABS(G137)&lt;$B$6,"No","Yes")</f>
        <v>No</v>
      </c>
      <c r="I137" s="5">
        <f t="shared" ref="I137:I156" ca="1" si="26">(1+I138)*(1+F137)-1</f>
        <v>-5.4969545670092934E-2</v>
      </c>
    </row>
    <row r="138" spans="1:9" x14ac:dyDescent="0.2">
      <c r="A138">
        <v>9</v>
      </c>
      <c r="B138" t="str">
        <f t="shared" ca="1" si="22"/>
        <v>Mon</v>
      </c>
      <c r="C138" s="2">
        <f ca="1">OFFSET(Data!$A$1,$C$29-A138,0,1,1)</f>
        <v>45586</v>
      </c>
      <c r="D138" s="5">
        <f ca="1">_xlfn.XLOOKUP(C138,Data!$A:$A,Data!$I:$I)</f>
        <v>5.5437100213220347E-3</v>
      </c>
      <c r="E138" s="5">
        <f ca="1">$E$29+$F$29*_xlfn.XLOOKUP(C138,Data!$A:$A,Data!$F:$F)</f>
        <v>-4.5930570346996768E-4</v>
      </c>
      <c r="F138" s="5">
        <f t="shared" ca="1" si="23"/>
        <v>6.003015724792002E-3</v>
      </c>
      <c r="G138" s="13">
        <f t="shared" ca="1" si="24"/>
        <v>0.46808725212428148</v>
      </c>
      <c r="H138" t="str">
        <f t="shared" ca="1" si="25"/>
        <v>No</v>
      </c>
      <c r="I138" s="5">
        <f t="shared" ca="1" si="26"/>
        <v>-5.657392712600029E-2</v>
      </c>
    </row>
    <row r="139" spans="1:9" x14ac:dyDescent="0.2">
      <c r="A139">
        <v>8</v>
      </c>
      <c r="B139" t="str">
        <f t="shared" ca="1" si="22"/>
        <v>Sun</v>
      </c>
      <c r="C139" s="2">
        <f ca="1">OFFSET(Data!$A$1,$C$29-A139,0,1,1)</f>
        <v>45585</v>
      </c>
      <c r="D139" s="5">
        <f ca="1">_xlfn.XLOOKUP(C139,Data!$A:$A,Data!$I:$I)</f>
        <v>0</v>
      </c>
      <c r="E139" s="5">
        <f ca="1">$E$29+$F$29*_xlfn.XLOOKUP(C139,Data!$A:$A,Data!$F:$F)</f>
        <v>3.9326562800816225E-3</v>
      </c>
      <c r="F139" s="5">
        <f t="shared" ca="1" si="23"/>
        <v>-3.9326562800816225E-3</v>
      </c>
      <c r="G139" s="13">
        <f t="shared" ca="1" si="24"/>
        <v>-0.30665024982197392</v>
      </c>
      <c r="H139" t="str">
        <f t="shared" ca="1" si="25"/>
        <v>No</v>
      </c>
      <c r="I139" s="5">
        <f t="shared" ca="1" si="26"/>
        <v>-6.2203534057706178E-2</v>
      </c>
    </row>
    <row r="140" spans="1:9" x14ac:dyDescent="0.2">
      <c r="A140">
        <v>7</v>
      </c>
      <c r="B140" t="str">
        <f t="shared" ca="1" si="22"/>
        <v>Tue</v>
      </c>
      <c r="C140" s="2">
        <f ca="1">OFFSET(Data!$A$1,$C$29-A140,0,1,1)</f>
        <v>45580</v>
      </c>
      <c r="D140" s="5">
        <f ca="1">_xlfn.XLOOKUP(C140,Data!$A:$A,Data!$I:$I)</f>
        <v>-1.9648829431438086E-2</v>
      </c>
      <c r="E140" s="5">
        <f ca="1">$E$29+$F$29*_xlfn.XLOOKUP(C140,Data!$A:$A,Data!$F:$F)</f>
        <v>1.1932549928572026E-3</v>
      </c>
      <c r="F140" s="5">
        <f t="shared" ca="1" si="23"/>
        <v>-2.084208442429529E-2</v>
      </c>
      <c r="G140" s="13">
        <f t="shared" ca="1" si="24"/>
        <v>-1.625168827464416</v>
      </c>
      <c r="H140" t="str">
        <f t="shared" ca="1" si="25"/>
        <v>No</v>
      </c>
      <c r="I140" s="5">
        <f t="shared" ca="1" si="26"/>
        <v>-5.8500941874076284E-2</v>
      </c>
    </row>
    <row r="141" spans="1:9" x14ac:dyDescent="0.2">
      <c r="A141">
        <v>6</v>
      </c>
      <c r="B141" t="str">
        <f t="shared" ca="1" si="22"/>
        <v>Mon</v>
      </c>
      <c r="C141" s="2">
        <f ca="1">OFFSET(Data!$A$1,$C$29-A141,0,1,1)</f>
        <v>45579</v>
      </c>
      <c r="D141" s="5">
        <f ca="1">_xlfn.XLOOKUP(C141,Data!$A:$A,Data!$I:$I)</f>
        <v>5.0420168067226712E-3</v>
      </c>
      <c r="E141" s="5">
        <f ca="1">$E$29+$F$29*_xlfn.XLOOKUP(C141,Data!$A:$A,Data!$F:$F)</f>
        <v>1.1438341538111173E-3</v>
      </c>
      <c r="F141" s="5">
        <f t="shared" ca="1" si="23"/>
        <v>3.8981826529115539E-3</v>
      </c>
      <c r="G141" s="13">
        <f t="shared" ca="1" si="24"/>
        <v>0.30396215667803111</v>
      </c>
      <c r="H141" t="str">
        <f t="shared" ca="1" si="25"/>
        <v>No</v>
      </c>
      <c r="I141" s="5">
        <f t="shared" ca="1" si="26"/>
        <v>-3.8460453467956901E-2</v>
      </c>
    </row>
    <row r="142" spans="1:9" x14ac:dyDescent="0.2">
      <c r="A142">
        <v>5</v>
      </c>
      <c r="B142" t="str">
        <f t="shared" ca="1" si="22"/>
        <v>Sun</v>
      </c>
      <c r="C142" s="2">
        <f ca="1">OFFSET(Data!$A$1,$C$29-A142,0,1,1)</f>
        <v>45578</v>
      </c>
      <c r="D142" s="5">
        <f ca="1">_xlfn.XLOOKUP(C142,Data!$A:$A,Data!$I:$I)</f>
        <v>-1.2589173310952884E-3</v>
      </c>
      <c r="E142" s="5">
        <f ca="1">$E$29+$F$29*_xlfn.XLOOKUP(C142,Data!$A:$A,Data!$F:$F)</f>
        <v>1.6220115569355613E-3</v>
      </c>
      <c r="F142" s="5">
        <f t="shared" ca="1" si="23"/>
        <v>-2.8809288880308499E-3</v>
      </c>
      <c r="G142" s="13">
        <f t="shared" ca="1" si="24"/>
        <v>-0.22464143833482084</v>
      </c>
      <c r="H142" t="str">
        <f t="shared" ca="1" si="25"/>
        <v>No</v>
      </c>
      <c r="I142" s="5">
        <f t="shared" ca="1" si="26"/>
        <v>-4.2194155595472016E-2</v>
      </c>
    </row>
    <row r="143" spans="1:9" x14ac:dyDescent="0.2">
      <c r="A143">
        <v>4</v>
      </c>
      <c r="B143" t="str">
        <f t="shared" ca="1" si="22"/>
        <v>Thu</v>
      </c>
      <c r="C143" s="2">
        <f ca="1">OFFSET(Data!$A$1,$C$29-A143,0,1,1)</f>
        <v>45575</v>
      </c>
      <c r="D143" s="5">
        <f ca="1">_xlfn.XLOOKUP(C143,Data!$A:$A,Data!$I:$I)</f>
        <v>0</v>
      </c>
      <c r="E143" s="5">
        <f ca="1">$E$29+$F$29*_xlfn.XLOOKUP(C143,Data!$A:$A,Data!$F:$F)</f>
        <v>-1.8359621318030728E-3</v>
      </c>
      <c r="F143" s="5">
        <f t="shared" ca="1" si="23"/>
        <v>1.8359621318030728E-3</v>
      </c>
      <c r="G143" s="13">
        <f t="shared" ca="1" si="24"/>
        <v>0.14315978979210739</v>
      </c>
      <c r="H143" t="str">
        <f t="shared" ca="1" si="25"/>
        <v>No</v>
      </c>
      <c r="I143" s="5">
        <f t="shared" ca="1" si="26"/>
        <v>-3.9426812550681478E-2</v>
      </c>
    </row>
    <row r="144" spans="1:9" x14ac:dyDescent="0.2">
      <c r="A144">
        <v>3</v>
      </c>
      <c r="B144" t="str">
        <f t="shared" ca="1" si="22"/>
        <v>Wed</v>
      </c>
      <c r="C144" s="2">
        <f ca="1">OFFSET(Data!$A$1,$C$29-A144,0,1,1)</f>
        <v>45574</v>
      </c>
      <c r="D144" s="5">
        <f ca="1">_xlfn.XLOOKUP(C144,Data!$A:$A,Data!$I:$I)</f>
        <v>5.9096665259603665E-3</v>
      </c>
      <c r="E144" s="5">
        <f ca="1">$E$29+$F$29*_xlfn.XLOOKUP(C144,Data!$A:$A,Data!$F:$F)</f>
        <v>1.2946368450925732E-3</v>
      </c>
      <c r="F144" s="5">
        <f t="shared" ca="1" si="23"/>
        <v>4.6150296808677932E-3</v>
      </c>
      <c r="G144" s="13">
        <f t="shared" ca="1" si="24"/>
        <v>0.3598585545707953</v>
      </c>
      <c r="H144" t="str">
        <f t="shared" ca="1" si="25"/>
        <v>No</v>
      </c>
      <c r="I144" s="5">
        <f t="shared" ca="1" si="26"/>
        <v>-4.1187156622608856E-2</v>
      </c>
    </row>
    <row r="145" spans="1:9" x14ac:dyDescent="0.2">
      <c r="A145">
        <v>2</v>
      </c>
      <c r="B145" t="str">
        <f t="shared" ca="1" si="22"/>
        <v>Tue</v>
      </c>
      <c r="C145" s="2">
        <f ca="1">OFFSET(Data!$A$1,$C$29-A145,0,1,1)</f>
        <v>45573</v>
      </c>
      <c r="D145" s="5">
        <f ca="1">_xlfn.XLOOKUP(C145,Data!$A:$A,Data!$I:$I)</f>
        <v>-3.3061224489795871E-2</v>
      </c>
      <c r="E145" s="5">
        <f ca="1">$E$29+$F$29*_xlfn.XLOOKUP(C145,Data!$A:$A,Data!$F:$F)</f>
        <v>1.5701171064140201E-4</v>
      </c>
      <c r="F145" s="5">
        <f t="shared" ca="1" si="23"/>
        <v>-3.3218236200437276E-2</v>
      </c>
      <c r="G145" s="13">
        <f t="shared" ca="1" si="24"/>
        <v>-2.59020359371402</v>
      </c>
      <c r="H145" t="str">
        <f t="shared" ca="1" si="25"/>
        <v>Yes</v>
      </c>
      <c r="I145" s="5">
        <f t="shared" ca="1" si="26"/>
        <v>-4.5591778890692547E-2</v>
      </c>
    </row>
    <row r="146" spans="1:9" x14ac:dyDescent="0.2">
      <c r="A146">
        <v>1</v>
      </c>
      <c r="B146" t="str">
        <f t="shared" ca="1" si="22"/>
        <v>Mon</v>
      </c>
      <c r="C146" s="2">
        <f ca="1">OFFSET(Data!$A$1,$C$29-A146,0,1,1)</f>
        <v>45572</v>
      </c>
      <c r="D146" s="5">
        <f ca="1">_xlfn.XLOOKUP(C146,Data!$A:$A,Data!$I:$I)</f>
        <v>-4.0650406504064707E-3</v>
      </c>
      <c r="E146" s="5">
        <f ca="1">$E$29+$F$29*_xlfn.XLOOKUP(C146,Data!$A:$A,Data!$F:$F)</f>
        <v>4.3842748383574433E-4</v>
      </c>
      <c r="F146" s="5">
        <f t="shared" ca="1" si="23"/>
        <v>-4.5034681342422146E-3</v>
      </c>
      <c r="G146" s="13">
        <f t="shared" ca="1" si="24"/>
        <v>-0.35115950392746031</v>
      </c>
      <c r="H146" t="str">
        <f t="shared" ca="1" si="25"/>
        <v>No</v>
      </c>
      <c r="I146" s="5">
        <f t="shared" ca="1" si="26"/>
        <v>-1.2798692686988411E-2</v>
      </c>
    </row>
    <row r="147" spans="1:9" x14ac:dyDescent="0.2">
      <c r="A147">
        <v>0</v>
      </c>
      <c r="B147" t="str">
        <f t="shared" ca="1" si="22"/>
        <v>Sun</v>
      </c>
      <c r="C147" s="2">
        <f ca="1">OFFSET(Data!$A$1,$C$29-A147,0,1,1)</f>
        <v>45571</v>
      </c>
      <c r="D147" s="5">
        <f ca="1">_xlfn.XLOOKUP(C147,Data!$A:$A,Data!$I:$I)</f>
        <v>0</v>
      </c>
      <c r="E147" s="5">
        <f ca="1">$E$29+$F$29*_xlfn.XLOOKUP(C147,Data!$A:$A,Data!$F:$F)</f>
        <v>-6.8934407142779005E-4</v>
      </c>
      <c r="F147" s="5">
        <f t="shared" ca="1" si="23"/>
        <v>6.8934407142779005E-4</v>
      </c>
      <c r="G147" s="13">
        <f t="shared" ca="1" si="24"/>
        <v>5.3751845231752901E-2</v>
      </c>
      <c r="H147" t="str">
        <f t="shared" ca="1" si="25"/>
        <v>No</v>
      </c>
      <c r="I147" s="5">
        <f t="shared" ca="1" si="26"/>
        <v>-8.3327508305823805E-3</v>
      </c>
    </row>
    <row r="148" spans="1:9" x14ac:dyDescent="0.2">
      <c r="A148">
        <v>-1</v>
      </c>
      <c r="B148" t="str">
        <f t="shared" ca="1" si="22"/>
        <v>Tue</v>
      </c>
      <c r="C148" s="2">
        <f ca="1">OFFSET(Data!$A$1,$C$29-A148,0,1,1)</f>
        <v>45566</v>
      </c>
      <c r="D148" s="5">
        <f ca="1">_xlfn.XLOOKUP(C148,Data!$A:$A,Data!$I:$I)</f>
        <v>0</v>
      </c>
      <c r="E148" s="5">
        <f ca="1">$E$29+$F$29*_xlfn.XLOOKUP(C148,Data!$A:$A,Data!$F:$F)</f>
        <v>-2.3368444435494513E-3</v>
      </c>
      <c r="F148" s="5">
        <f t="shared" ca="1" si="23"/>
        <v>2.3368444435494513E-3</v>
      </c>
      <c r="G148" s="13">
        <f t="shared" ca="1" si="24"/>
        <v>0.18221626335334293</v>
      </c>
      <c r="H148" t="str">
        <f t="shared" ca="1" si="25"/>
        <v>No</v>
      </c>
      <c r="I148" s="5">
        <f t="shared" ca="1" si="26"/>
        <v>-9.0158798586807976E-3</v>
      </c>
    </row>
    <row r="149" spans="1:9" x14ac:dyDescent="0.2">
      <c r="A149">
        <v>-2</v>
      </c>
      <c r="B149" t="str">
        <f t="shared" ca="1" si="22"/>
        <v>Mon</v>
      </c>
      <c r="C149" s="2">
        <f ca="1">OFFSET(Data!$A$1,$C$29-A149,0,1,1)</f>
        <v>45565</v>
      </c>
      <c r="D149" s="5">
        <f ca="1">_xlfn.XLOOKUP(C149,Data!$A:$A,Data!$I:$I)</f>
        <v>0</v>
      </c>
      <c r="E149" s="5">
        <f ca="1">$E$29+$F$29*_xlfn.XLOOKUP(C149,Data!$A:$A,Data!$F:$F)</f>
        <v>4.5444738436962236E-4</v>
      </c>
      <c r="F149" s="5">
        <f t="shared" ca="1" si="23"/>
        <v>-4.5444738436962236E-4</v>
      </c>
      <c r="G149" s="13">
        <f t="shared" ca="1" si="24"/>
        <v>-3.5435693847364398E-2</v>
      </c>
      <c r="H149" t="str">
        <f t="shared" ca="1" si="25"/>
        <v>No</v>
      </c>
      <c r="I149" s="5">
        <f t="shared" ca="1" si="26"/>
        <v>-1.1326256602422591E-2</v>
      </c>
    </row>
    <row r="150" spans="1:9" x14ac:dyDescent="0.2">
      <c r="A150">
        <v>-3</v>
      </c>
      <c r="B150" t="str">
        <f t="shared" ca="1" si="22"/>
        <v>Sun</v>
      </c>
      <c r="C150" s="2">
        <f ca="1">OFFSET(Data!$A$1,$C$29-A150,0,1,1)</f>
        <v>45564</v>
      </c>
      <c r="D150" s="5">
        <f ca="1">_xlfn.XLOOKUP(C150,Data!$A:$A,Data!$I:$I)</f>
        <v>0</v>
      </c>
      <c r="E150" s="5">
        <f ca="1">$E$29+$F$29*_xlfn.XLOOKUP(C150,Data!$A:$A,Data!$F:$F)</f>
        <v>1.9193240182287428E-3</v>
      </c>
      <c r="F150" s="5">
        <f t="shared" ca="1" si="23"/>
        <v>-1.9193240182287428E-3</v>
      </c>
      <c r="G150" s="13">
        <f t="shared" ca="1" si="24"/>
        <v>-0.14965996206181109</v>
      </c>
      <c r="H150" t="str">
        <f t="shared" ca="1" si="25"/>
        <v>No</v>
      </c>
      <c r="I150" s="5">
        <f t="shared" ca="1" si="26"/>
        <v>-1.0876752129608702E-2</v>
      </c>
    </row>
    <row r="151" spans="1:9" x14ac:dyDescent="0.2">
      <c r="A151">
        <v>-4</v>
      </c>
      <c r="B151" t="str">
        <f t="shared" ca="1" si="22"/>
        <v>Thu</v>
      </c>
      <c r="C151" s="2">
        <f ca="1">OFFSET(Data!$A$1,$C$29-A151,0,1,1)</f>
        <v>45561</v>
      </c>
      <c r="D151" s="5">
        <f ca="1">_xlfn.XLOOKUP(C151,Data!$A:$A,Data!$I:$I)</f>
        <v>0</v>
      </c>
      <c r="E151" s="5">
        <f ca="1">$E$29+$F$29*_xlfn.XLOOKUP(C151,Data!$A:$A,Data!$F:$F)</f>
        <v>2.7878936714943446E-3</v>
      </c>
      <c r="F151" s="5">
        <f t="shared" ca="1" si="23"/>
        <v>-2.7878936714943446E-3</v>
      </c>
      <c r="G151" s="13">
        <f t="shared" ca="1" si="24"/>
        <v>-0.21738698476417501</v>
      </c>
      <c r="H151" t="str">
        <f t="shared" ca="1" si="25"/>
        <v>No</v>
      </c>
      <c r="I151" s="5">
        <f t="shared" ca="1" si="26"/>
        <v>-8.97465337916592E-3</v>
      </c>
    </row>
    <row r="152" spans="1:9" x14ac:dyDescent="0.2">
      <c r="A152">
        <v>-5</v>
      </c>
      <c r="B152" t="str">
        <f t="shared" ca="1" si="22"/>
        <v>Wed</v>
      </c>
      <c r="C152" s="2">
        <f ca="1">OFFSET(Data!$A$1,$C$29-A152,0,1,1)</f>
        <v>45560</v>
      </c>
      <c r="D152" s="5">
        <f ca="1">_xlfn.XLOOKUP(C152,Data!$A:$A,Data!$I:$I)</f>
        <v>0</v>
      </c>
      <c r="E152" s="5">
        <f ca="1">$E$29+$F$29*_xlfn.XLOOKUP(C152,Data!$A:$A,Data!$F:$F)</f>
        <v>1.6286934085113502E-3</v>
      </c>
      <c r="F152" s="5">
        <f t="shared" ca="1" si="23"/>
        <v>-1.6286934085113502E-3</v>
      </c>
      <c r="G152" s="13">
        <f t="shared" ca="1" si="24"/>
        <v>-0.12699793855186395</v>
      </c>
      <c r="H152" t="str">
        <f t="shared" ca="1" si="25"/>
        <v>No</v>
      </c>
      <c r="I152" s="5">
        <f t="shared" ca="1" si="26"/>
        <v>-6.2040559560089248E-3</v>
      </c>
    </row>
    <row r="153" spans="1:9" x14ac:dyDescent="0.2">
      <c r="A153">
        <v>-6</v>
      </c>
      <c r="B153" t="str">
        <f t="shared" ca="1" si="22"/>
        <v>Tue</v>
      </c>
      <c r="C153" s="2">
        <f ca="1">OFFSET(Data!$A$1,$C$29-A153,0,1,1)</f>
        <v>45559</v>
      </c>
      <c r="D153" s="5">
        <f ca="1">_xlfn.XLOOKUP(C153,Data!$A:$A,Data!$I:$I)</f>
        <v>0</v>
      </c>
      <c r="E153" s="5">
        <f ca="1">$E$29+$F$29*_xlfn.XLOOKUP(C153,Data!$A:$A,Data!$F:$F)</f>
        <v>2.2622030969597544E-3</v>
      </c>
      <c r="F153" s="5">
        <f t="shared" ca="1" si="23"/>
        <v>-2.2622030969597544E-3</v>
      </c>
      <c r="G153" s="13">
        <f t="shared" ca="1" si="24"/>
        <v>-0.17639607822943373</v>
      </c>
      <c r="H153" t="str">
        <f t="shared" ca="1" si="25"/>
        <v>No</v>
      </c>
      <c r="I153" s="5">
        <f t="shared" ca="1" si="26"/>
        <v>-4.5828265669194401E-3</v>
      </c>
    </row>
    <row r="154" spans="1:9" x14ac:dyDescent="0.2">
      <c r="A154">
        <v>-7</v>
      </c>
      <c r="B154" t="str">
        <f t="shared" ca="1" si="22"/>
        <v>Mon</v>
      </c>
      <c r="C154" s="2">
        <f ca="1">OFFSET(Data!$A$1,$C$29-A154,0,1,1)</f>
        <v>45558</v>
      </c>
      <c r="D154" s="5">
        <f ca="1">_xlfn.XLOOKUP(C154,Data!$A:$A,Data!$I:$I)</f>
        <v>0</v>
      </c>
      <c r="E154" s="5">
        <f ca="1">$E$29+$F$29*_xlfn.XLOOKUP(C154,Data!$A:$A,Data!$F:$F)</f>
        <v>1.0945293308232389E-3</v>
      </c>
      <c r="F154" s="5">
        <f t="shared" ca="1" si="23"/>
        <v>-1.0945293308232389E-3</v>
      </c>
      <c r="G154" s="13">
        <f t="shared" ca="1" si="24"/>
        <v>-8.5346307643102234E-2</v>
      </c>
      <c r="H154" t="str">
        <f t="shared" ca="1" si="25"/>
        <v>No</v>
      </c>
      <c r="I154" s="5">
        <f t="shared" ca="1" si="26"/>
        <v>-2.325885094423441E-3</v>
      </c>
    </row>
    <row r="155" spans="1:9" x14ac:dyDescent="0.2">
      <c r="A155">
        <v>-8</v>
      </c>
      <c r="B155" t="str">
        <f t="shared" ca="1" si="22"/>
        <v>Sun</v>
      </c>
      <c r="C155" s="2">
        <f ca="1">OFFSET(Data!$A$1,$C$29-A155,0,1,1)</f>
        <v>45557</v>
      </c>
      <c r="D155" s="5">
        <f ca="1">_xlfn.XLOOKUP(C155,Data!$A:$A,Data!$I:$I)</f>
        <v>0</v>
      </c>
      <c r="E155" s="5">
        <f ca="1">$E$29+$F$29*_xlfn.XLOOKUP(C155,Data!$A:$A,Data!$F:$F)</f>
        <v>1.3223320956004749E-3</v>
      </c>
      <c r="F155" s="5">
        <f t="shared" ca="1" si="23"/>
        <v>-1.3223320956004749E-3</v>
      </c>
      <c r="G155" s="13">
        <f t="shared" ca="1" si="24"/>
        <v>-0.10310930795484723</v>
      </c>
      <c r="H155" t="str">
        <f t="shared" ca="1" si="25"/>
        <v>No</v>
      </c>
      <c r="I155" s="5">
        <f t="shared" ca="1" si="26"/>
        <v>-1.2327049953738678E-3</v>
      </c>
    </row>
    <row r="156" spans="1:9" x14ac:dyDescent="0.2">
      <c r="A156">
        <v>-9</v>
      </c>
      <c r="B156" t="str">
        <f t="shared" ca="1" si="22"/>
        <v>Thu</v>
      </c>
      <c r="C156" s="2">
        <f ca="1">OFFSET(Data!$A$1,$C$29-A156,0,1,1)</f>
        <v>45554</v>
      </c>
      <c r="D156" s="5">
        <f ca="1">_xlfn.XLOOKUP(C156,Data!$A:$A,Data!$I:$I)</f>
        <v>0</v>
      </c>
      <c r="E156" s="5">
        <f ca="1">$E$29+$F$29*_xlfn.XLOOKUP(C156,Data!$A:$A,Data!$F:$F)</f>
        <v>-5.8725479482393404E-4</v>
      </c>
      <c r="F156" s="5">
        <f t="shared" ca="1" si="23"/>
        <v>5.8725479482393404E-4</v>
      </c>
      <c r="G156" s="13">
        <f t="shared" ca="1" si="24"/>
        <v>4.5791398158542808E-2</v>
      </c>
      <c r="H156" t="str">
        <f t="shared" ca="1" si="25"/>
        <v>No</v>
      </c>
      <c r="I156" s="5">
        <f t="shared" ca="1" si="26"/>
        <v>8.97457739439389E-5</v>
      </c>
    </row>
    <row r="157" spans="1:9" x14ac:dyDescent="0.2">
      <c r="A157">
        <v>-10</v>
      </c>
      <c r="B157" t="str">
        <f t="shared" ca="1" si="22"/>
        <v>Wed</v>
      </c>
      <c r="C157" s="2">
        <f ca="1">OFFSET(Data!$A$1,$C$29-A157,0,1,1)</f>
        <v>45553</v>
      </c>
      <c r="D157" s="5">
        <f ca="1">_xlfn.XLOOKUP(C157,Data!$A:$A,Data!$I:$I)</f>
        <v>0</v>
      </c>
      <c r="E157" s="5">
        <f ca="1">$E$29+$F$29*_xlfn.XLOOKUP(C157,Data!$A:$A,Data!$F:$F)</f>
        <v>4.9721702779645166E-4</v>
      </c>
      <c r="F157" s="5">
        <f t="shared" ca="1" si="23"/>
        <v>-4.9721702779645166E-4</v>
      </c>
      <c r="G157" s="13">
        <f t="shared" ca="1" si="24"/>
        <v>-3.8770671762434497E-2</v>
      </c>
      <c r="H157" t="str">
        <f t="shared" ca="1" si="25"/>
        <v>No</v>
      </c>
      <c r="I157" s="5">
        <f ca="1">F157</f>
        <v>-4.9721702779645166E-4</v>
      </c>
    </row>
    <row r="159" spans="1:9" x14ac:dyDescent="0.2">
      <c r="A159" s="3" t="s">
        <v>54</v>
      </c>
      <c r="B159" t="str">
        <f>E15</f>
        <v>Israel-Lebanon ceasefire</v>
      </c>
    </row>
    <row r="160" spans="1:9" x14ac:dyDescent="0.2">
      <c r="A160" s="12" t="s">
        <v>42</v>
      </c>
      <c r="B160" s="12" t="s">
        <v>43</v>
      </c>
      <c r="C160" s="12" t="s">
        <v>0</v>
      </c>
      <c r="D160" s="12" t="s">
        <v>44</v>
      </c>
      <c r="E160" s="12" t="s">
        <v>45</v>
      </c>
      <c r="F160" s="12" t="s">
        <v>46</v>
      </c>
      <c r="G160" s="12" t="s">
        <v>47</v>
      </c>
      <c r="H160" s="12" t="s">
        <v>48</v>
      </c>
      <c r="I160" s="12" t="s">
        <v>49</v>
      </c>
    </row>
    <row r="161" spans="1:9" x14ac:dyDescent="0.2">
      <c r="A161">
        <v>10</v>
      </c>
      <c r="B161" t="str">
        <f t="shared" ref="B161:B181" ca="1" si="27">TEXT(WEEKDAY(C161),"ddd")</f>
        <v>Wed</v>
      </c>
      <c r="C161" s="2">
        <f ca="1">OFFSET(Data!$A$1,$C$30-A161,0,1,1)</f>
        <v>45637</v>
      </c>
      <c r="D161" s="5">
        <f ca="1">_xlfn.XLOOKUP(C161,Data!$A:$A,Data!$I:$I)</f>
        <v>-1.4475271411338975E-2</v>
      </c>
      <c r="E161" s="5">
        <f ca="1">$E$30+$F$30*_xlfn.XLOOKUP(C161,Data!$A:$A,Data!$F:$F)</f>
        <v>-1.0619417751858576E-4</v>
      </c>
      <c r="F161" s="5">
        <f t="shared" ref="F161:F181" ca="1" si="28">D161-E161</f>
        <v>-1.4369077233820389E-2</v>
      </c>
      <c r="G161" s="13">
        <f t="shared" ref="G161:G181" ca="1" si="29">F161/$I$30</f>
        <v>-1.223058123155258</v>
      </c>
      <c r="H161" t="str">
        <f t="shared" ref="H161:H181" ca="1" si="30">IF(ABS(G161)&lt;$B$6,"No","Yes")</f>
        <v>No</v>
      </c>
      <c r="I161" s="5">
        <f t="shared" ref="I161:I180" ca="1" si="31">(1+I162)*(1+F161)-1</f>
        <v>6.6185526231740788E-2</v>
      </c>
    </row>
    <row r="162" spans="1:9" x14ac:dyDescent="0.2">
      <c r="A162">
        <v>9</v>
      </c>
      <c r="B162" t="str">
        <f t="shared" ca="1" si="27"/>
        <v>Tue</v>
      </c>
      <c r="C162" s="2">
        <f ca="1">OFFSET(Data!$A$1,$C$30-A162,0,1,1)</f>
        <v>45636</v>
      </c>
      <c r="D162" s="5">
        <f ca="1">_xlfn.XLOOKUP(C162,Data!$A:$A,Data!$I:$I)</f>
        <v>0</v>
      </c>
      <c r="E162" s="5">
        <f ca="1">$E$30+$F$30*_xlfn.XLOOKUP(C162,Data!$A:$A,Data!$F:$F)</f>
        <v>4.1412751375682758E-5</v>
      </c>
      <c r="F162" s="5">
        <f t="shared" ca="1" si="28"/>
        <v>-4.1412751375682758E-5</v>
      </c>
      <c r="G162" s="13">
        <f t="shared" ca="1" si="29"/>
        <v>-3.5249446535803204E-3</v>
      </c>
      <c r="H162" t="str">
        <f t="shared" ca="1" si="30"/>
        <v>No</v>
      </c>
      <c r="I162" s="5">
        <f t="shared" ca="1" si="31"/>
        <v>8.1728973396536952E-2</v>
      </c>
    </row>
    <row r="163" spans="1:9" x14ac:dyDescent="0.2">
      <c r="A163">
        <v>8</v>
      </c>
      <c r="B163" t="str">
        <f t="shared" ca="1" si="27"/>
        <v>Mon</v>
      </c>
      <c r="C163" s="2">
        <f ca="1">OFFSET(Data!$A$1,$C$30-A163,0,1,1)</f>
        <v>45635</v>
      </c>
      <c r="D163" s="5">
        <f ca="1">_xlfn.XLOOKUP(C163,Data!$A:$A,Data!$I:$I)</f>
        <v>0</v>
      </c>
      <c r="E163" s="5">
        <f ca="1">$E$30+$F$30*_xlfn.XLOOKUP(C163,Data!$A:$A,Data!$F:$F)</f>
        <v>8.0835842161368506E-4</v>
      </c>
      <c r="F163" s="5">
        <f t="shared" ca="1" si="28"/>
        <v>-8.0835842161368506E-4</v>
      </c>
      <c r="G163" s="13">
        <f t="shared" ca="1" si="29"/>
        <v>-6.8805346222828898E-2</v>
      </c>
      <c r="H163" t="str">
        <f t="shared" ca="1" si="30"/>
        <v>No</v>
      </c>
      <c r="I163" s="5">
        <f t="shared" ca="1" si="31"/>
        <v>8.1773772624827323E-2</v>
      </c>
    </row>
    <row r="164" spans="1:9" x14ac:dyDescent="0.2">
      <c r="A164">
        <v>7</v>
      </c>
      <c r="B164" t="str">
        <f t="shared" ca="1" si="27"/>
        <v>Sun</v>
      </c>
      <c r="C164" s="2">
        <f ca="1">OFFSET(Data!$A$1,$C$30-A164,0,1,1)</f>
        <v>45634</v>
      </c>
      <c r="D164" s="5">
        <f ca="1">_xlfn.XLOOKUP(C164,Data!$A:$A,Data!$I:$I)</f>
        <v>3.2271077047196783E-3</v>
      </c>
      <c r="E164" s="5">
        <f ca="1">$E$30+$F$30*_xlfn.XLOOKUP(C164,Data!$A:$A,Data!$F:$F)</f>
        <v>9.2352348114718534E-4</v>
      </c>
      <c r="F164" s="5">
        <f t="shared" ca="1" si="28"/>
        <v>2.303584223572493E-3</v>
      </c>
      <c r="G164" s="13">
        <f t="shared" ca="1" si="29"/>
        <v>0.1960750402525015</v>
      </c>
      <c r="H164" t="str">
        <f t="shared" ca="1" si="30"/>
        <v>No</v>
      </c>
      <c r="I164" s="5">
        <f t="shared" ca="1" si="31"/>
        <v>8.2648941013947042E-2</v>
      </c>
    </row>
    <row r="165" spans="1:9" x14ac:dyDescent="0.2">
      <c r="A165">
        <v>6</v>
      </c>
      <c r="B165" t="str">
        <f t="shared" ca="1" si="27"/>
        <v>Thu</v>
      </c>
      <c r="C165" s="2">
        <f ca="1">OFFSET(Data!$A$1,$C$30-A165,0,1,1)</f>
        <v>45631</v>
      </c>
      <c r="D165" s="5">
        <f ca="1">_xlfn.XLOOKUP(C165,Data!$A:$A,Data!$I:$I)</f>
        <v>0</v>
      </c>
      <c r="E165" s="5">
        <f ca="1">$E$30+$F$30*_xlfn.XLOOKUP(C165,Data!$A:$A,Data!$F:$F)</f>
        <v>2.2490854451611762E-4</v>
      </c>
      <c r="F165" s="5">
        <f t="shared" ca="1" si="28"/>
        <v>-2.2490854451611762E-4</v>
      </c>
      <c r="G165" s="13">
        <f t="shared" ca="1" si="29"/>
        <v>-1.9143624733954298E-2</v>
      </c>
      <c r="H165" t="str">
        <f t="shared" ca="1" si="30"/>
        <v>No</v>
      </c>
      <c r="I165" s="5">
        <f t="shared" ca="1" si="31"/>
        <v>8.0160699866810736E-2</v>
      </c>
    </row>
    <row r="166" spans="1:9" x14ac:dyDescent="0.2">
      <c r="A166">
        <v>5</v>
      </c>
      <c r="B166" t="str">
        <f t="shared" ca="1" si="27"/>
        <v>Wed</v>
      </c>
      <c r="C166" s="2">
        <f ca="1">OFFSET(Data!$A$1,$C$30-A166,0,1,1)</f>
        <v>45630</v>
      </c>
      <c r="D166" s="5">
        <f ca="1">_xlfn.XLOOKUP(C166,Data!$A:$A,Data!$I:$I)</f>
        <v>0</v>
      </c>
      <c r="E166" s="5">
        <f ca="1">$E$30+$F$30*_xlfn.XLOOKUP(C166,Data!$A:$A,Data!$F:$F)</f>
        <v>4.3670766955233636E-4</v>
      </c>
      <c r="F166" s="5">
        <f t="shared" ca="1" si="28"/>
        <v>-4.3670766955233636E-4</v>
      </c>
      <c r="G166" s="13">
        <f t="shared" ca="1" si="29"/>
        <v>-3.7171410105099549E-2</v>
      </c>
      <c r="H166" t="str">
        <f t="shared" ca="1" si="30"/>
        <v>No</v>
      </c>
      <c r="I166" s="5">
        <f t="shared" ca="1" si="31"/>
        <v>8.0403691888643269E-2</v>
      </c>
    </row>
    <row r="167" spans="1:9" x14ac:dyDescent="0.2">
      <c r="A167">
        <v>4</v>
      </c>
      <c r="B167" t="str">
        <f t="shared" ca="1" si="27"/>
        <v>Tue</v>
      </c>
      <c r="C167" s="2">
        <f ca="1">OFFSET(Data!$A$1,$C$30-A167,0,1,1)</f>
        <v>45629</v>
      </c>
      <c r="D167" s="5">
        <f ca="1">_xlfn.XLOOKUP(C167,Data!$A:$A,Data!$I:$I)</f>
        <v>3.4641068447412326E-2</v>
      </c>
      <c r="E167" s="5">
        <f ca="1">$E$30+$F$30*_xlfn.XLOOKUP(C167,Data!$A:$A,Data!$F:$F)</f>
        <v>9.3023092755104507E-4</v>
      </c>
      <c r="F167" s="5">
        <f t="shared" ca="1" si="28"/>
        <v>3.3710837519861279E-2</v>
      </c>
      <c r="G167" s="13">
        <f t="shared" ca="1" si="29"/>
        <v>2.8693779702143929</v>
      </c>
      <c r="H167" t="str">
        <f t="shared" ca="1" si="30"/>
        <v>Yes</v>
      </c>
      <c r="I167" s="5">
        <f t="shared" ca="1" si="31"/>
        <v>8.0875718604790814E-2</v>
      </c>
    </row>
    <row r="168" spans="1:9" x14ac:dyDescent="0.2">
      <c r="A168">
        <v>3</v>
      </c>
      <c r="B168" t="str">
        <f t="shared" ca="1" si="27"/>
        <v>Mon</v>
      </c>
      <c r="C168" s="2">
        <f ca="1">OFFSET(Data!$A$1,$C$30-A168,0,1,1)</f>
        <v>45628</v>
      </c>
      <c r="D168" s="5">
        <f ca="1">_xlfn.XLOOKUP(C168,Data!$A:$A,Data!$I:$I)</f>
        <v>5.8303886925795023E-2</v>
      </c>
      <c r="E168" s="5">
        <f ca="1">$E$30+$F$30*_xlfn.XLOOKUP(C168,Data!$A:$A,Data!$F:$F)</f>
        <v>2.3474779865899473E-4</v>
      </c>
      <c r="F168" s="5">
        <f t="shared" ca="1" si="28"/>
        <v>5.806913912713603E-2</v>
      </c>
      <c r="G168" s="13">
        <f t="shared" ca="1" si="29"/>
        <v>4.9426926418707504</v>
      </c>
      <c r="H168" t="str">
        <f t="shared" ca="1" si="30"/>
        <v>Yes</v>
      </c>
      <c r="I168" s="5">
        <f t="shared" ca="1" si="31"/>
        <v>4.5626764635737116E-2</v>
      </c>
    </row>
    <row r="169" spans="1:9" x14ac:dyDescent="0.2">
      <c r="A169">
        <v>2</v>
      </c>
      <c r="B169" t="str">
        <f t="shared" ca="1" si="27"/>
        <v>Sun</v>
      </c>
      <c r="C169" s="2">
        <f ca="1">OFFSET(Data!$A$1,$C$30-A169,0,1,1)</f>
        <v>45627</v>
      </c>
      <c r="D169" s="5">
        <f ca="1">_xlfn.XLOOKUP(C169,Data!$A:$A,Data!$I:$I)</f>
        <v>0</v>
      </c>
      <c r="E169" s="5">
        <f ca="1">$E$30+$F$30*_xlfn.XLOOKUP(C169,Data!$A:$A,Data!$F:$F)</f>
        <v>1.3788809226810135E-3</v>
      </c>
      <c r="F169" s="5">
        <f t="shared" ca="1" si="28"/>
        <v>-1.3788809226810135E-3</v>
      </c>
      <c r="G169" s="13">
        <f t="shared" ca="1" si="29"/>
        <v>-0.11736672340931138</v>
      </c>
      <c r="H169" t="str">
        <f t="shared" ca="1" si="30"/>
        <v>No</v>
      </c>
      <c r="I169" s="5">
        <f t="shared" ca="1" si="31"/>
        <v>-1.1759509876323571E-2</v>
      </c>
    </row>
    <row r="170" spans="1:9" x14ac:dyDescent="0.2">
      <c r="A170">
        <v>1</v>
      </c>
      <c r="B170" t="str">
        <f t="shared" ca="1" si="27"/>
        <v>Thu</v>
      </c>
      <c r="C170" s="2">
        <f ca="1">OFFSET(Data!$A$1,$C$30-A170,0,1,1)</f>
        <v>45624</v>
      </c>
      <c r="D170" s="5">
        <f ca="1">_xlfn.XLOOKUP(C170,Data!$A:$A,Data!$I:$I)</f>
        <v>-4.8351648351648846E-3</v>
      </c>
      <c r="E170" s="5">
        <f ca="1">$E$30+$F$30*_xlfn.XLOOKUP(C170,Data!$A:$A,Data!$F:$F)</f>
        <v>-8.5020183156817183E-5</v>
      </c>
      <c r="F170" s="5">
        <f t="shared" ca="1" si="28"/>
        <v>-4.7501446520080677E-3</v>
      </c>
      <c r="G170" s="13">
        <f t="shared" ca="1" si="29"/>
        <v>-0.40431983962941748</v>
      </c>
      <c r="H170" t="str">
        <f t="shared" ca="1" si="30"/>
        <v>No</v>
      </c>
      <c r="I170" s="5">
        <f t="shared" ca="1" si="31"/>
        <v>-1.0394962368945104E-2</v>
      </c>
    </row>
    <row r="171" spans="1:9" x14ac:dyDescent="0.2">
      <c r="A171">
        <v>0</v>
      </c>
      <c r="B171" t="str">
        <f t="shared" ca="1" si="27"/>
        <v>Wed</v>
      </c>
      <c r="C171" s="2">
        <f ca="1">OFFSET(Data!$A$1,$C$30-A171,0,1,1)</f>
        <v>45623</v>
      </c>
      <c r="D171" s="5">
        <f ca="1">_xlfn.XLOOKUP(C171,Data!$A:$A,Data!$I:$I)</f>
        <v>4.4150110375276164E-3</v>
      </c>
      <c r="E171" s="5">
        <f ca="1">$E$30+$F$30*_xlfn.XLOOKUP(C171,Data!$A:$A,Data!$F:$F)</f>
        <v>-3.8196390778204423E-4</v>
      </c>
      <c r="F171" s="5">
        <f t="shared" ca="1" si="28"/>
        <v>4.7969749453096603E-3</v>
      </c>
      <c r="G171" s="13">
        <f t="shared" ca="1" si="29"/>
        <v>0.40830591122609911</v>
      </c>
      <c r="H171" t="str">
        <f t="shared" ca="1" si="30"/>
        <v>No</v>
      </c>
      <c r="I171" s="5">
        <f t="shared" ca="1" si="31"/>
        <v>-5.6717593944922706E-3</v>
      </c>
    </row>
    <row r="172" spans="1:9" x14ac:dyDescent="0.2">
      <c r="A172">
        <v>-1</v>
      </c>
      <c r="B172" t="str">
        <f t="shared" ca="1" si="27"/>
        <v>Tue</v>
      </c>
      <c r="C172" s="2">
        <f ca="1">OFFSET(Data!$A$1,$C$30-A172,0,1,1)</f>
        <v>45622</v>
      </c>
      <c r="D172" s="5">
        <f ca="1">_xlfn.XLOOKUP(C172,Data!$A:$A,Data!$I:$I)</f>
        <v>4.4169611307420809E-4</v>
      </c>
      <c r="E172" s="5">
        <f ca="1">$E$30+$F$30*_xlfn.XLOOKUP(C172,Data!$A:$A,Data!$F:$F)</f>
        <v>8.1179702992863255E-4</v>
      </c>
      <c r="F172" s="5">
        <f t="shared" ca="1" si="28"/>
        <v>-3.7010091685442446E-4</v>
      </c>
      <c r="G172" s="13">
        <f t="shared" ca="1" si="29"/>
        <v>-3.1502018214544916E-2</v>
      </c>
      <c r="H172" t="str">
        <f t="shared" ca="1" si="30"/>
        <v>No</v>
      </c>
      <c r="I172" s="5">
        <f t="shared" ca="1" si="31"/>
        <v>-1.0418755829128212E-2</v>
      </c>
    </row>
    <row r="173" spans="1:9" x14ac:dyDescent="0.2">
      <c r="A173">
        <v>-2</v>
      </c>
      <c r="B173" t="str">
        <f t="shared" ca="1" si="27"/>
        <v>Mon</v>
      </c>
      <c r="C173" s="2">
        <f ca="1">OFFSET(Data!$A$1,$C$30-A173,0,1,1)</f>
        <v>45621</v>
      </c>
      <c r="D173" s="5">
        <f ca="1">_xlfn.XLOOKUP(C173,Data!$A:$A,Data!$I:$I)</f>
        <v>8.9126559714796105E-3</v>
      </c>
      <c r="E173" s="5">
        <f ca="1">$E$30+$F$30*_xlfn.XLOOKUP(C173,Data!$A:$A,Data!$F:$F)</f>
        <v>3.6277344542886766E-4</v>
      </c>
      <c r="F173" s="5">
        <f t="shared" ca="1" si="28"/>
        <v>8.5498825260507429E-3</v>
      </c>
      <c r="G173" s="13">
        <f t="shared" ca="1" si="29"/>
        <v>0.72774354994049217</v>
      </c>
      <c r="H173" t="str">
        <f t="shared" ca="1" si="30"/>
        <v>No</v>
      </c>
      <c r="I173" s="5">
        <f t="shared" ca="1" si="31"/>
        <v>-1.0052375305590999E-2</v>
      </c>
    </row>
    <row r="174" spans="1:9" x14ac:dyDescent="0.2">
      <c r="A174">
        <v>-3</v>
      </c>
      <c r="B174" t="str">
        <f t="shared" ca="1" si="27"/>
        <v>Sun</v>
      </c>
      <c r="C174" s="2">
        <f ca="1">OFFSET(Data!$A$1,$C$30-A174,0,1,1)</f>
        <v>45620</v>
      </c>
      <c r="D174" s="5">
        <f ca="1">_xlfn.XLOOKUP(C174,Data!$A:$A,Data!$I:$I)</f>
        <v>6.2780269058295701E-3</v>
      </c>
      <c r="E174" s="5">
        <f ca="1">$E$30+$F$30*_xlfn.XLOOKUP(C174,Data!$A:$A,Data!$F:$F)</f>
        <v>9.0490591621430105E-4</v>
      </c>
      <c r="F174" s="5">
        <f t="shared" ca="1" si="28"/>
        <v>5.3731209896152694E-3</v>
      </c>
      <c r="G174" s="13">
        <f t="shared" ca="1" si="29"/>
        <v>0.45734594964646413</v>
      </c>
      <c r="H174" t="str">
        <f t="shared" ca="1" si="30"/>
        <v>No</v>
      </c>
      <c r="I174" s="5">
        <f t="shared" ca="1" si="31"/>
        <v>-1.8444559018786388E-2</v>
      </c>
    </row>
    <row r="175" spans="1:9" x14ac:dyDescent="0.2">
      <c r="A175">
        <v>-4</v>
      </c>
      <c r="B175" t="str">
        <f t="shared" ca="1" si="27"/>
        <v>Thu</v>
      </c>
      <c r="C175" s="2">
        <f ca="1">OFFSET(Data!$A$1,$C$30-A175,0,1,1)</f>
        <v>45617</v>
      </c>
      <c r="D175" s="5">
        <f ca="1">_xlfn.XLOOKUP(C175,Data!$A:$A,Data!$I:$I)</f>
        <v>0</v>
      </c>
      <c r="E175" s="5">
        <f ca="1">$E$30+$F$30*_xlfn.XLOOKUP(C175,Data!$A:$A,Data!$F:$F)</f>
        <v>2.921314084412094E-4</v>
      </c>
      <c r="F175" s="5">
        <f t="shared" ca="1" si="28"/>
        <v>-2.921314084412094E-4</v>
      </c>
      <c r="G175" s="13">
        <f t="shared" ca="1" si="29"/>
        <v>-2.486545839435313E-2</v>
      </c>
      <c r="H175" t="str">
        <f t="shared" ca="1" si="30"/>
        <v>No</v>
      </c>
      <c r="I175" s="5">
        <f t="shared" ca="1" si="31"/>
        <v>-2.3690388683713093E-2</v>
      </c>
    </row>
    <row r="176" spans="1:9" x14ac:dyDescent="0.2">
      <c r="A176">
        <v>-5</v>
      </c>
      <c r="B176" t="str">
        <f t="shared" ca="1" si="27"/>
        <v>Wed</v>
      </c>
      <c r="C176" s="2">
        <f ca="1">OFFSET(Data!$A$1,$C$30-A176,0,1,1)</f>
        <v>45616</v>
      </c>
      <c r="D176" s="5">
        <f ca="1">_xlfn.XLOOKUP(C176,Data!$A:$A,Data!$I:$I)</f>
        <v>1.0879419764279197E-2</v>
      </c>
      <c r="E176" s="5">
        <f ca="1">$E$30+$F$30*_xlfn.XLOOKUP(C176,Data!$A:$A,Data!$F:$F)</f>
        <v>1.382226006392384E-4</v>
      </c>
      <c r="F176" s="5">
        <f t="shared" ca="1" si="28"/>
        <v>1.0741197163639958E-2</v>
      </c>
      <c r="G176" s="13">
        <f t="shared" ca="1" si="29"/>
        <v>0.91426249783676816</v>
      </c>
      <c r="H176" t="str">
        <f t="shared" ca="1" si="30"/>
        <v>No</v>
      </c>
      <c r="I176" s="5">
        <f t="shared" ca="1" si="31"/>
        <v>-2.3405094638533352E-2</v>
      </c>
    </row>
    <row r="177" spans="1:9" x14ac:dyDescent="0.2">
      <c r="A177">
        <v>-6</v>
      </c>
      <c r="B177" t="str">
        <f t="shared" ca="1" si="27"/>
        <v>Tue</v>
      </c>
      <c r="C177" s="2">
        <f ca="1">OFFSET(Data!$A$1,$C$30-A177,0,1,1)</f>
        <v>45615</v>
      </c>
      <c r="D177" s="5">
        <f ca="1">_xlfn.XLOOKUP(C177,Data!$A:$A,Data!$I:$I)</f>
        <v>0</v>
      </c>
      <c r="E177" s="5">
        <f ca="1">$E$30+$F$30*_xlfn.XLOOKUP(C177,Data!$A:$A,Data!$F:$F)</f>
        <v>3.9783334171721843E-4</v>
      </c>
      <c r="F177" s="5">
        <f t="shared" ca="1" si="28"/>
        <v>-3.9783334171721843E-4</v>
      </c>
      <c r="G177" s="13">
        <f t="shared" ca="1" si="29"/>
        <v>-3.3862529397782178E-2</v>
      </c>
      <c r="H177" t="str">
        <f t="shared" ca="1" si="30"/>
        <v>No</v>
      </c>
      <c r="I177" s="5">
        <f t="shared" ca="1" si="31"/>
        <v>-3.3783417454433695E-2</v>
      </c>
    </row>
    <row r="178" spans="1:9" x14ac:dyDescent="0.2">
      <c r="A178">
        <v>-7</v>
      </c>
      <c r="B178" t="str">
        <f t="shared" ca="1" si="27"/>
        <v>Mon</v>
      </c>
      <c r="C178" s="2">
        <f ca="1">OFFSET(Data!$A$1,$C$30-A178,0,1,1)</f>
        <v>45614</v>
      </c>
      <c r="D178" s="5">
        <f ca="1">_xlfn.XLOOKUP(C178,Data!$A:$A,Data!$I:$I)</f>
        <v>-1.9555555555555548E-2</v>
      </c>
      <c r="E178" s="5">
        <f ca="1">$E$30+$F$30*_xlfn.XLOOKUP(C178,Data!$A:$A,Data!$F:$F)</f>
        <v>4.8785685142857299E-5</v>
      </c>
      <c r="F178" s="5">
        <f t="shared" ca="1" si="28"/>
        <v>-1.9604341240698406E-2</v>
      </c>
      <c r="G178" s="13">
        <f t="shared" ca="1" si="29"/>
        <v>-1.668670048422368</v>
      </c>
      <c r="H178" t="str">
        <f t="shared" ca="1" si="30"/>
        <v>No</v>
      </c>
      <c r="I178" s="5">
        <f t="shared" ca="1" si="31"/>
        <v>-3.3398871297294352E-2</v>
      </c>
    </row>
    <row r="179" spans="1:9" x14ac:dyDescent="0.2">
      <c r="A179">
        <v>-8</v>
      </c>
      <c r="B179" t="str">
        <f t="shared" ca="1" si="27"/>
        <v>Sun</v>
      </c>
      <c r="C179" s="2">
        <f ca="1">OFFSET(Data!$A$1,$C$30-A179,0,1,1)</f>
        <v>45613</v>
      </c>
      <c r="D179" s="5">
        <f ca="1">_xlfn.XLOOKUP(C179,Data!$A:$A,Data!$I:$I)</f>
        <v>-1.3590530469092532E-2</v>
      </c>
      <c r="E179" s="5">
        <f ca="1">$E$30+$F$30*_xlfn.XLOOKUP(C179,Data!$A:$A,Data!$F:$F)</f>
        <v>4.0870637577387209E-4</v>
      </c>
      <c r="F179" s="5">
        <f t="shared" ca="1" si="28"/>
        <v>-1.3999236844866404E-2</v>
      </c>
      <c r="G179" s="13">
        <f t="shared" ca="1" si="29"/>
        <v>-1.1915782803914923</v>
      </c>
      <c r="H179" t="str">
        <f t="shared" ca="1" si="30"/>
        <v>No</v>
      </c>
      <c r="I179" s="5">
        <f t="shared" ca="1" si="31"/>
        <v>-1.4070370399286602E-2</v>
      </c>
    </row>
    <row r="180" spans="1:9" x14ac:dyDescent="0.2">
      <c r="A180">
        <v>-9</v>
      </c>
      <c r="B180" t="str">
        <f t="shared" ca="1" si="27"/>
        <v>Thu</v>
      </c>
      <c r="C180" s="2">
        <f ca="1">OFFSET(Data!$A$1,$C$30-A180,0,1,1)</f>
        <v>45610</v>
      </c>
      <c r="D180" s="5">
        <f ca="1">_xlfn.XLOOKUP(C180,Data!$A:$A,Data!$I:$I)</f>
        <v>0</v>
      </c>
      <c r="E180" s="5">
        <f ca="1">$E$30+$F$30*_xlfn.XLOOKUP(C180,Data!$A:$A,Data!$F:$F)</f>
        <v>-4.4354115256139439E-4</v>
      </c>
      <c r="F180" s="5">
        <f t="shared" ca="1" si="28"/>
        <v>4.4354115256139439E-4</v>
      </c>
      <c r="G180" s="13">
        <f t="shared" ca="1" si="29"/>
        <v>3.7753058235154853E-2</v>
      </c>
      <c r="H180" t="str">
        <f t="shared" ca="1" si="30"/>
        <v>No</v>
      </c>
      <c r="I180" s="5">
        <f t="shared" ca="1" si="31"/>
        <v>-7.2143508482280794E-5</v>
      </c>
    </row>
    <row r="181" spans="1:9" x14ac:dyDescent="0.2">
      <c r="A181">
        <v>-10</v>
      </c>
      <c r="B181" t="str">
        <f t="shared" ca="1" si="27"/>
        <v>Wed</v>
      </c>
      <c r="C181" s="2">
        <f ca="1">OFFSET(Data!$A$1,$C$30-A181,0,1,1)</f>
        <v>45609</v>
      </c>
      <c r="D181" s="5">
        <f ca="1">_xlfn.XLOOKUP(C181,Data!$A:$A,Data!$I:$I)</f>
        <v>0</v>
      </c>
      <c r="E181" s="5">
        <f ca="1">$E$30+$F$30*_xlfn.XLOOKUP(C181,Data!$A:$A,Data!$F:$F)</f>
        <v>5.1545603507969205E-4</v>
      </c>
      <c r="F181" s="5">
        <f t="shared" ca="1" si="28"/>
        <v>-5.1545603507969205E-4</v>
      </c>
      <c r="G181" s="13">
        <f t="shared" ca="1" si="29"/>
        <v>-4.3874264197687952E-2</v>
      </c>
      <c r="H181" t="str">
        <f t="shared" ca="1" si="30"/>
        <v>No</v>
      </c>
      <c r="I181" s="5">
        <f ca="1">F181</f>
        <v>-5.1545603507969205E-4</v>
      </c>
    </row>
    <row r="183" spans="1:9" x14ac:dyDescent="0.2">
      <c r="A183" s="3" t="s">
        <v>55</v>
      </c>
      <c r="B183" t="str">
        <f>E16</f>
        <v>Gaza ceasefire (33 hostages)</v>
      </c>
    </row>
    <row r="184" spans="1:9" x14ac:dyDescent="0.2">
      <c r="A184" s="12" t="s">
        <v>42</v>
      </c>
      <c r="B184" s="12" t="s">
        <v>43</v>
      </c>
      <c r="C184" s="12" t="s">
        <v>0</v>
      </c>
      <c r="D184" s="12" t="s">
        <v>44</v>
      </c>
      <c r="E184" s="12" t="s">
        <v>45</v>
      </c>
      <c r="F184" s="12" t="s">
        <v>46</v>
      </c>
      <c r="G184" s="12" t="s">
        <v>47</v>
      </c>
      <c r="H184" s="12" t="s">
        <v>48</v>
      </c>
      <c r="I184" s="12" t="s">
        <v>49</v>
      </c>
    </row>
    <row r="185" spans="1:9" x14ac:dyDescent="0.2">
      <c r="A185">
        <v>10</v>
      </c>
      <c r="B185" t="str">
        <f t="shared" ref="B185:B205" ca="1" si="32">TEXT(WEEKDAY(C185),"ddd")</f>
        <v>Wed</v>
      </c>
      <c r="C185" s="2">
        <f ca="1">OFFSET(Data!$A$1,$C$31-A185,0,1,1)</f>
        <v>45686</v>
      </c>
      <c r="D185" s="5">
        <f ca="1">_xlfn.XLOOKUP(C185,Data!$A:$A,Data!$I:$I)</f>
        <v>0</v>
      </c>
      <c r="E185" s="5">
        <f ca="1">$E$31+$F$31*_xlfn.XLOOKUP(C185,Data!$A:$A,Data!$F:$F)</f>
        <v>5.2461365779611245E-4</v>
      </c>
      <c r="F185" s="5">
        <f t="shared" ref="F185:F205" ca="1" si="33">D185-E185</f>
        <v>-5.2461365779611245E-4</v>
      </c>
      <c r="G185" s="13">
        <f t="shared" ref="G185:G205" ca="1" si="34">F185/$I$31</f>
        <v>-4.794576467895191E-2</v>
      </c>
      <c r="H185" t="str">
        <f t="shared" ref="H185:H205" ca="1" si="35">IF(ABS(G185)&lt;$B$6,"No","Yes")</f>
        <v>No</v>
      </c>
      <c r="I185" s="5">
        <f t="shared" ref="I185:I204" ca="1" si="36">(1+I186)*(1+F185)-1</f>
        <v>0.12057222973697157</v>
      </c>
    </row>
    <row r="186" spans="1:9" x14ac:dyDescent="0.2">
      <c r="A186">
        <v>9</v>
      </c>
      <c r="B186" t="str">
        <f t="shared" ca="1" si="32"/>
        <v>Tue</v>
      </c>
      <c r="C186" s="2">
        <f ca="1">OFFSET(Data!$A$1,$C$31-A186,0,1,1)</f>
        <v>45685</v>
      </c>
      <c r="D186" s="5">
        <f ca="1">_xlfn.XLOOKUP(C186,Data!$A:$A,Data!$I:$I)</f>
        <v>0</v>
      </c>
      <c r="E186" s="5">
        <f ca="1">$E$31+$F$31*_xlfn.XLOOKUP(C186,Data!$A:$A,Data!$F:$F)</f>
        <v>3.2130493799141372E-4</v>
      </c>
      <c r="F186" s="5">
        <f t="shared" ca="1" si="33"/>
        <v>-3.2130493799141372E-4</v>
      </c>
      <c r="G186" s="13">
        <f t="shared" ca="1" si="34"/>
        <v>-2.9364868257220799E-2</v>
      </c>
      <c r="H186" t="str">
        <f t="shared" ca="1" si="35"/>
        <v>No</v>
      </c>
      <c r="I186" s="5">
        <f t="shared" ca="1" si="36"/>
        <v>0.12116040579843368</v>
      </c>
    </row>
    <row r="187" spans="1:9" x14ac:dyDescent="0.2">
      <c r="A187">
        <v>8</v>
      </c>
      <c r="B187" t="str">
        <f t="shared" ca="1" si="32"/>
        <v>Mon</v>
      </c>
      <c r="C187" s="2">
        <f ca="1">OFFSET(Data!$A$1,$C$31-A187,0,1,1)</f>
        <v>45684</v>
      </c>
      <c r="D187" s="5">
        <f ca="1">_xlfn.XLOOKUP(C187,Data!$A:$A,Data!$I:$I)</f>
        <v>0</v>
      </c>
      <c r="E187" s="5">
        <f ca="1">$E$31+$F$31*_xlfn.XLOOKUP(C187,Data!$A:$A,Data!$F:$F)</f>
        <v>-8.5795014751231628E-4</v>
      </c>
      <c r="F187" s="5">
        <f t="shared" ca="1" si="33"/>
        <v>8.5795014751231628E-4</v>
      </c>
      <c r="G187" s="13">
        <f t="shared" ca="1" si="34"/>
        <v>7.8410226778511477E-2</v>
      </c>
      <c r="H187" t="str">
        <f t="shared" ca="1" si="35"/>
        <v>No</v>
      </c>
      <c r="I187" s="5">
        <f t="shared" ca="1" si="36"/>
        <v>0.12152075595538192</v>
      </c>
    </row>
    <row r="188" spans="1:9" x14ac:dyDescent="0.2">
      <c r="A188">
        <v>7</v>
      </c>
      <c r="B188" t="str">
        <f t="shared" ca="1" si="32"/>
        <v>Sun</v>
      </c>
      <c r="C188" s="2">
        <f ca="1">OFFSET(Data!$A$1,$C$31-A188,0,1,1)</f>
        <v>45683</v>
      </c>
      <c r="D188" s="5">
        <f ca="1">_xlfn.XLOOKUP(C188,Data!$A:$A,Data!$I:$I)</f>
        <v>4.4194455604660288E-3</v>
      </c>
      <c r="E188" s="5">
        <f ca="1">$E$31+$F$31*_xlfn.XLOOKUP(C188,Data!$A:$A,Data!$F:$F)</f>
        <v>2.6759685013610809E-4</v>
      </c>
      <c r="F188" s="5">
        <f t="shared" ca="1" si="33"/>
        <v>4.1518487103299204E-3</v>
      </c>
      <c r="G188" s="13">
        <f t="shared" ca="1" si="34"/>
        <v>0.37944791998810873</v>
      </c>
      <c r="H188" t="str">
        <f t="shared" ca="1" si="35"/>
        <v>No</v>
      </c>
      <c r="I188" s="5">
        <f t="shared" ca="1" si="36"/>
        <v>0.12055937187698373</v>
      </c>
    </row>
    <row r="189" spans="1:9" x14ac:dyDescent="0.2">
      <c r="A189">
        <v>6</v>
      </c>
      <c r="B189" t="str">
        <f t="shared" ca="1" si="32"/>
        <v>Thu</v>
      </c>
      <c r="C189" s="2">
        <f ca="1">OFFSET(Data!$A$1,$C$31-A189,0,1,1)</f>
        <v>45680</v>
      </c>
      <c r="D189" s="5">
        <f ca="1">_xlfn.XLOOKUP(C189,Data!$A:$A,Data!$I:$I)</f>
        <v>-2.659366445052791E-2</v>
      </c>
      <c r="E189" s="5">
        <f ca="1">$E$31+$F$31*_xlfn.XLOOKUP(C189,Data!$A:$A,Data!$F:$F)</f>
        <v>-8.0504218443290759E-5</v>
      </c>
      <c r="F189" s="5">
        <f t="shared" ca="1" si="33"/>
        <v>-2.651316023208462E-2</v>
      </c>
      <c r="G189" s="13">
        <f t="shared" ca="1" si="34"/>
        <v>-2.4231045503525874</v>
      </c>
      <c r="H189" t="str">
        <f t="shared" ca="1" si="35"/>
        <v>Yes</v>
      </c>
      <c r="I189" s="5">
        <f t="shared" ca="1" si="36"/>
        <v>0.11592621506016276</v>
      </c>
    </row>
    <row r="190" spans="1:9" x14ac:dyDescent="0.2">
      <c r="A190">
        <v>5</v>
      </c>
      <c r="B190" t="str">
        <f t="shared" ca="1" si="32"/>
        <v>Wed</v>
      </c>
      <c r="C190" s="2">
        <f ca="1">OFFSET(Data!$A$1,$C$31-A190,0,1,1)</f>
        <v>45679</v>
      </c>
      <c r="D190" s="5">
        <f ca="1">_xlfn.XLOOKUP(C190,Data!$A:$A,Data!$I:$I)</f>
        <v>-1.1596443757247776E-2</v>
      </c>
      <c r="E190" s="5">
        <f ca="1">$E$31+$F$31*_xlfn.XLOOKUP(C190,Data!$A:$A,Data!$F:$F)</f>
        <v>-1.0325775462450697E-4</v>
      </c>
      <c r="F190" s="5">
        <f t="shared" ca="1" si="33"/>
        <v>-1.1493186002623269E-2</v>
      </c>
      <c r="G190" s="13">
        <f t="shared" ca="1" si="34"/>
        <v>-1.0503912418295462</v>
      </c>
      <c r="H190" t="str">
        <f t="shared" ca="1" si="35"/>
        <v>No</v>
      </c>
      <c r="I190" s="5">
        <f t="shared" ca="1" si="36"/>
        <v>0.14631874769483866</v>
      </c>
    </row>
    <row r="191" spans="1:9" x14ac:dyDescent="0.2">
      <c r="A191">
        <v>4</v>
      </c>
      <c r="B191" t="str">
        <f t="shared" ca="1" si="32"/>
        <v>Tue</v>
      </c>
      <c r="C191" s="2">
        <f ca="1">OFFSET(Data!$A$1,$C$31-A191,0,1,1)</f>
        <v>45678</v>
      </c>
      <c r="D191" s="5">
        <f ca="1">_xlfn.XLOOKUP(C191,Data!$A:$A,Data!$I:$I)</f>
        <v>0</v>
      </c>
      <c r="E191" s="5">
        <f ca="1">$E$31+$F$31*_xlfn.XLOOKUP(C191,Data!$A:$A,Data!$F:$F)</f>
        <v>2.3423430071103338E-4</v>
      </c>
      <c r="F191" s="5">
        <f t="shared" ca="1" si="33"/>
        <v>-2.3423430071103338E-4</v>
      </c>
      <c r="G191" s="13">
        <f t="shared" ca="1" si="34"/>
        <v>-2.1407263220727543E-2</v>
      </c>
      <c r="H191" t="str">
        <f t="shared" ca="1" si="35"/>
        <v>No</v>
      </c>
      <c r="I191" s="5">
        <f t="shared" ca="1" si="36"/>
        <v>0.15964678387930742</v>
      </c>
    </row>
    <row r="192" spans="1:9" x14ac:dyDescent="0.2">
      <c r="A192">
        <v>3</v>
      </c>
      <c r="B192" t="str">
        <f t="shared" ca="1" si="32"/>
        <v>Mon</v>
      </c>
      <c r="C192" s="2">
        <f ca="1">OFFSET(Data!$A$1,$C$31-A192,0,1,1)</f>
        <v>45677</v>
      </c>
      <c r="D192" s="5">
        <f ca="1">_xlfn.XLOOKUP(C192,Data!$A:$A,Data!$I:$I)</f>
        <v>4.6601941747572706E-3</v>
      </c>
      <c r="E192" s="5">
        <f ca="1">$E$31+$F$31*_xlfn.XLOOKUP(C192,Data!$A:$A,Data!$F:$F)</f>
        <v>2.2417925252697808E-4</v>
      </c>
      <c r="F192" s="5">
        <f t="shared" ca="1" si="33"/>
        <v>4.4360149222302924E-3</v>
      </c>
      <c r="G192" s="13">
        <f t="shared" ca="1" si="34"/>
        <v>0.40541858644525142</v>
      </c>
      <c r="H192" t="str">
        <f t="shared" ca="1" si="35"/>
        <v>No</v>
      </c>
      <c r="I192" s="5">
        <f t="shared" ca="1" si="36"/>
        <v>0.15991847657254921</v>
      </c>
    </row>
    <row r="193" spans="1:9" x14ac:dyDescent="0.2">
      <c r="A193">
        <v>2</v>
      </c>
      <c r="B193" t="str">
        <f t="shared" ca="1" si="32"/>
        <v>Sun</v>
      </c>
      <c r="C193" s="2">
        <f ca="1">OFFSET(Data!$A$1,$C$31-A193,0,1,1)</f>
        <v>45676</v>
      </c>
      <c r="D193" s="5">
        <f ca="1">_xlfn.XLOOKUP(C193,Data!$A:$A,Data!$I:$I)</f>
        <v>5.859375E-3</v>
      </c>
      <c r="E193" s="5">
        <f ca="1">$E$31+$F$31*_xlfn.XLOOKUP(C193,Data!$A:$A,Data!$F:$F)</f>
        <v>8.2037160734706638E-4</v>
      </c>
      <c r="F193" s="5">
        <f t="shared" ca="1" si="33"/>
        <v>5.0390033926529338E-3</v>
      </c>
      <c r="G193" s="13">
        <f t="shared" ca="1" si="34"/>
        <v>0.46052722282436964</v>
      </c>
      <c r="H193" t="str">
        <f t="shared" ca="1" si="35"/>
        <v>No</v>
      </c>
      <c r="I193" s="5">
        <f t="shared" ca="1" si="36"/>
        <v>0.15479578523710891</v>
      </c>
    </row>
    <row r="194" spans="1:9" x14ac:dyDescent="0.2">
      <c r="A194">
        <v>1</v>
      </c>
      <c r="B194" t="str">
        <f t="shared" ca="1" si="32"/>
        <v>Thu</v>
      </c>
      <c r="C194" s="2">
        <f ca="1">OFFSET(Data!$A$1,$C$31-A194,0,1,1)</f>
        <v>45673</v>
      </c>
      <c r="D194" s="5">
        <f ca="1">_xlfn.XLOOKUP(C194,Data!$A:$A,Data!$I:$I)</f>
        <v>2.2772672792648718E-2</v>
      </c>
      <c r="E194" s="5">
        <f ca="1">$E$31+$F$31*_xlfn.XLOOKUP(C194,Data!$A:$A,Data!$F:$F)</f>
        <v>4.2457896319610068E-4</v>
      </c>
      <c r="F194" s="5">
        <f t="shared" ca="1" si="33"/>
        <v>2.2348093829452617E-2</v>
      </c>
      <c r="G194" s="13">
        <f t="shared" ca="1" si="34"/>
        <v>2.042448632144652</v>
      </c>
      <c r="H194" t="str">
        <f t="shared" ca="1" si="35"/>
        <v>Yes</v>
      </c>
      <c r="I194" s="5">
        <f t="shared" ca="1" si="36"/>
        <v>0.14900594040522863</v>
      </c>
    </row>
    <row r="195" spans="1:9" x14ac:dyDescent="0.2">
      <c r="A195">
        <v>0</v>
      </c>
      <c r="B195" t="str">
        <f t="shared" ca="1" si="32"/>
        <v>Wed</v>
      </c>
      <c r="C195" s="2">
        <f ca="1">OFFSET(Data!$A$1,$C$31-A195,0,1,1)</f>
        <v>45672</v>
      </c>
      <c r="D195" s="5">
        <f ca="1">_xlfn.XLOOKUP(C195,Data!$A:$A,Data!$I:$I)</f>
        <v>-5.1669316375199115E-3</v>
      </c>
      <c r="E195" s="5">
        <f ca="1">$E$31+$F$31*_xlfn.XLOOKUP(C195,Data!$A:$A,Data!$F:$F)</f>
        <v>9.0180818239919702E-4</v>
      </c>
      <c r="F195" s="5">
        <f t="shared" ca="1" si="33"/>
        <v>-6.0687398199191084E-3</v>
      </c>
      <c r="G195" s="13">
        <f t="shared" ca="1" si="34"/>
        <v>-0.55463743076378358</v>
      </c>
      <c r="H195" t="str">
        <f t="shared" ca="1" si="35"/>
        <v>No</v>
      </c>
      <c r="I195" s="5">
        <f t="shared" ca="1" si="36"/>
        <v>0.12388916000356431</v>
      </c>
    </row>
    <row r="196" spans="1:9" x14ac:dyDescent="0.2">
      <c r="A196">
        <v>-1</v>
      </c>
      <c r="B196" t="str">
        <f t="shared" ca="1" si="32"/>
        <v>Tue</v>
      </c>
      <c r="C196" s="2">
        <f ca="1">OFFSET(Data!$A$1,$C$31-A196,0,1,1)</f>
        <v>45671</v>
      </c>
      <c r="D196" s="5">
        <f ca="1">_xlfn.XLOOKUP(C196,Data!$A:$A,Data!$I:$I)</f>
        <v>6.6101694915254194E-2</v>
      </c>
      <c r="E196" s="5">
        <f ca="1">$E$31+$F$31*_xlfn.XLOOKUP(C196,Data!$A:$A,Data!$F:$F)</f>
        <v>9.2694196509934997E-4</v>
      </c>
      <c r="F196" s="5">
        <f t="shared" ca="1" si="33"/>
        <v>6.5174752950154846E-2</v>
      </c>
      <c r="G196" s="13">
        <f t="shared" ca="1" si="34"/>
        <v>5.9564849704530642</v>
      </c>
      <c r="H196" t="str">
        <f t="shared" ca="1" si="35"/>
        <v>Yes</v>
      </c>
      <c r="I196" s="5">
        <f t="shared" ca="1" si="36"/>
        <v>0.13075139602706276</v>
      </c>
    </row>
    <row r="197" spans="1:9" x14ac:dyDescent="0.2">
      <c r="A197">
        <v>-2</v>
      </c>
      <c r="B197" t="str">
        <f t="shared" ca="1" si="32"/>
        <v>Mon</v>
      </c>
      <c r="C197" s="2">
        <f ca="1">OFFSET(Data!$A$1,$C$31-A197,0,1,1)</f>
        <v>45670</v>
      </c>
      <c r="D197" s="5">
        <f ca="1">_xlfn.XLOOKUP(C197,Data!$A:$A,Data!$I:$I)</f>
        <v>0</v>
      </c>
      <c r="E197" s="5">
        <f ca="1">$E$31+$F$31*_xlfn.XLOOKUP(C197,Data!$A:$A,Data!$F:$F)</f>
        <v>2.8479364600849803E-4</v>
      </c>
      <c r="F197" s="5">
        <f t="shared" ca="1" si="33"/>
        <v>-2.8479364600849803E-4</v>
      </c>
      <c r="G197" s="13">
        <f t="shared" ca="1" si="34"/>
        <v>-2.6028009241976246E-2</v>
      </c>
      <c r="H197" t="str">
        <f t="shared" ca="1" si="35"/>
        <v>No</v>
      </c>
      <c r="I197" s="5">
        <f t="shared" ca="1" si="36"/>
        <v>6.1564210844543332E-2</v>
      </c>
    </row>
    <row r="198" spans="1:9" x14ac:dyDescent="0.2">
      <c r="A198">
        <v>-3</v>
      </c>
      <c r="B198" t="str">
        <f t="shared" ca="1" si="32"/>
        <v>Sun</v>
      </c>
      <c r="C198" s="2">
        <f ca="1">OFFSET(Data!$A$1,$C$31-A198,0,1,1)</f>
        <v>45669</v>
      </c>
      <c r="D198" s="5">
        <f ca="1">_xlfn.XLOOKUP(C198,Data!$A:$A,Data!$I:$I)</f>
        <v>0</v>
      </c>
      <c r="E198" s="5">
        <f ca="1">$E$31+$F$31*_xlfn.XLOOKUP(C198,Data!$A:$A,Data!$F:$F)</f>
        <v>3.3899178027127247E-4</v>
      </c>
      <c r="F198" s="5">
        <f t="shared" ca="1" si="33"/>
        <v>-3.3899178027127247E-4</v>
      </c>
      <c r="G198" s="13">
        <f t="shared" ca="1" si="34"/>
        <v>-3.0981313359748835E-2</v>
      </c>
      <c r="H198" t="str">
        <f t="shared" ca="1" si="35"/>
        <v>No</v>
      </c>
      <c r="I198" s="5">
        <f t="shared" ca="1" si="36"/>
        <v>6.1866623711885005E-2</v>
      </c>
    </row>
    <row r="199" spans="1:9" x14ac:dyDescent="0.2">
      <c r="A199">
        <v>-4</v>
      </c>
      <c r="B199" t="str">
        <f t="shared" ca="1" si="32"/>
        <v>Thu</v>
      </c>
      <c r="C199" s="2">
        <f ca="1">OFFSET(Data!$A$1,$C$31-A199,0,1,1)</f>
        <v>45666</v>
      </c>
      <c r="D199" s="5">
        <f ca="1">_xlfn.XLOOKUP(C199,Data!$A:$A,Data!$I:$I)</f>
        <v>0</v>
      </c>
      <c r="E199" s="5">
        <f ca="1">$E$31+$F$31*_xlfn.XLOOKUP(C199,Data!$A:$A,Data!$F:$F)</f>
        <v>4.1443196505365975E-4</v>
      </c>
      <c r="F199" s="5">
        <f t="shared" ca="1" si="33"/>
        <v>-4.1443196505365975E-4</v>
      </c>
      <c r="G199" s="13">
        <f t="shared" ca="1" si="34"/>
        <v>-3.7875982023367054E-2</v>
      </c>
      <c r="H199" t="str">
        <f t="shared" ca="1" si="35"/>
        <v>No</v>
      </c>
      <c r="I199" s="5">
        <f t="shared" ca="1" si="36"/>
        <v>6.2226709835303762E-2</v>
      </c>
    </row>
    <row r="200" spans="1:9" x14ac:dyDescent="0.2">
      <c r="A200">
        <v>-5</v>
      </c>
      <c r="B200" t="str">
        <f t="shared" ca="1" si="32"/>
        <v>Wed</v>
      </c>
      <c r="C200" s="2">
        <f ca="1">OFFSET(Data!$A$1,$C$31-A200,0,1,1)</f>
        <v>45665</v>
      </c>
      <c r="D200" s="5">
        <f ca="1">_xlfn.XLOOKUP(C200,Data!$A:$A,Data!$I:$I)</f>
        <v>0</v>
      </c>
      <c r="E200" s="5">
        <f ca="1">$E$31+$F$31*_xlfn.XLOOKUP(C200,Data!$A:$A,Data!$F:$F)</f>
        <v>-1.574132026399715E-4</v>
      </c>
      <c r="F200" s="5">
        <f t="shared" ca="1" si="33"/>
        <v>1.574132026399715E-4</v>
      </c>
      <c r="G200" s="13">
        <f t="shared" ca="1" si="34"/>
        <v>1.4386389410527795E-2</v>
      </c>
      <c r="H200" t="str">
        <f t="shared" ca="1" si="35"/>
        <v>No</v>
      </c>
      <c r="I200" s="5">
        <f t="shared" ca="1" si="36"/>
        <v>6.2667113055165036E-2</v>
      </c>
    </row>
    <row r="201" spans="1:9" x14ac:dyDescent="0.2">
      <c r="A201">
        <v>-6</v>
      </c>
      <c r="B201" t="str">
        <f t="shared" ca="1" si="32"/>
        <v>Tue</v>
      </c>
      <c r="C201" s="2">
        <f ca="1">OFFSET(Data!$A$1,$C$31-A201,0,1,1)</f>
        <v>45664</v>
      </c>
      <c r="D201" s="5">
        <f ca="1">_xlfn.XLOOKUP(C201,Data!$A:$A,Data!$I:$I)</f>
        <v>0</v>
      </c>
      <c r="E201" s="5">
        <f ca="1">$E$31+$F$31*_xlfn.XLOOKUP(C201,Data!$A:$A,Data!$F:$F)</f>
        <v>2.4966162459350049E-4</v>
      </c>
      <c r="F201" s="5">
        <f t="shared" ca="1" si="33"/>
        <v>-2.4966162459350049E-4</v>
      </c>
      <c r="G201" s="13">
        <f t="shared" ca="1" si="34"/>
        <v>-2.2817205240922171E-2</v>
      </c>
      <c r="H201" t="str">
        <f t="shared" ca="1" si="35"/>
        <v>No</v>
      </c>
      <c r="I201" s="5">
        <f t="shared" ca="1" si="36"/>
        <v>6.2499861549153879E-2</v>
      </c>
    </row>
    <row r="202" spans="1:9" x14ac:dyDescent="0.2">
      <c r="A202">
        <v>-7</v>
      </c>
      <c r="B202" t="str">
        <f t="shared" ca="1" si="32"/>
        <v>Mon</v>
      </c>
      <c r="C202" s="2">
        <f ca="1">OFFSET(Data!$A$1,$C$31-A202,0,1,1)</f>
        <v>45663</v>
      </c>
      <c r="D202" s="5">
        <f ca="1">_xlfn.XLOOKUP(C202,Data!$A:$A,Data!$I:$I)</f>
        <v>3.8281582305401685E-3</v>
      </c>
      <c r="E202" s="5">
        <f ca="1">$E$31+$F$31*_xlfn.XLOOKUP(C202,Data!$A:$A,Data!$F:$F)</f>
        <v>7.2822627147608109E-4</v>
      </c>
      <c r="F202" s="5">
        <f t="shared" ca="1" si="33"/>
        <v>3.0999319590640875E-3</v>
      </c>
      <c r="G202" s="13">
        <f t="shared" ca="1" si="34"/>
        <v>0.28331059632422423</v>
      </c>
      <c r="H202" t="str">
        <f t="shared" ca="1" si="35"/>
        <v>No</v>
      </c>
      <c r="I202" s="5">
        <f t="shared" ca="1" si="36"/>
        <v>6.2765193233857985E-2</v>
      </c>
    </row>
    <row r="203" spans="1:9" x14ac:dyDescent="0.2">
      <c r="A203">
        <v>-8</v>
      </c>
      <c r="B203" t="str">
        <f t="shared" ca="1" si="32"/>
        <v>Sun</v>
      </c>
      <c r="C203" s="2">
        <f ca="1">OFFSET(Data!$A$1,$C$31-A203,0,1,1)</f>
        <v>45662</v>
      </c>
      <c r="D203" s="5">
        <f ca="1">_xlfn.XLOOKUP(C203,Data!$A:$A,Data!$I:$I)</f>
        <v>2.1729682746632006E-2</v>
      </c>
      <c r="E203" s="5">
        <f ca="1">$E$31+$F$31*_xlfn.XLOOKUP(C203,Data!$A:$A,Data!$F:$F)</f>
        <v>7.334885669305816E-4</v>
      </c>
      <c r="F203" s="5">
        <f t="shared" ca="1" si="33"/>
        <v>2.0996194179701423E-2</v>
      </c>
      <c r="G203" s="13">
        <f t="shared" ca="1" si="34"/>
        <v>1.9188951151645064</v>
      </c>
      <c r="H203" t="str">
        <f t="shared" ca="1" si="35"/>
        <v>No</v>
      </c>
      <c r="I203" s="5">
        <f t="shared" ca="1" si="36"/>
        <v>5.9480874610635226E-2</v>
      </c>
    </row>
    <row r="204" spans="1:9" x14ac:dyDescent="0.2">
      <c r="A204">
        <v>-9</v>
      </c>
      <c r="B204" t="str">
        <f t="shared" ca="1" si="32"/>
        <v>Thu</v>
      </c>
      <c r="C204" s="2">
        <f ca="1">OFFSET(Data!$A$1,$C$31-A204,0,1,1)</f>
        <v>45659</v>
      </c>
      <c r="D204" s="5">
        <f ca="1">_xlfn.XLOOKUP(C204,Data!$A:$A,Data!$I:$I)</f>
        <v>-5.5806319244973368E-2</v>
      </c>
      <c r="E204" s="5">
        <f ca="1">$E$31+$F$31*_xlfn.XLOOKUP(C204,Data!$A:$A,Data!$F:$F)</f>
        <v>5.8832364835255369E-4</v>
      </c>
      <c r="F204" s="5">
        <f t="shared" ca="1" si="33"/>
        <v>-5.6394642893325922E-2</v>
      </c>
      <c r="G204" s="13">
        <f t="shared" ca="1" si="34"/>
        <v>-5.1540485786738293</v>
      </c>
      <c r="H204" t="str">
        <f t="shared" ca="1" si="35"/>
        <v>Yes</v>
      </c>
      <c r="I204" s="5">
        <f t="shared" ca="1" si="36"/>
        <v>3.7693265313151869E-2</v>
      </c>
    </row>
    <row r="205" spans="1:9" x14ac:dyDescent="0.2">
      <c r="A205">
        <v>-10</v>
      </c>
      <c r="B205" t="str">
        <f t="shared" ca="1" si="32"/>
        <v>Wed</v>
      </c>
      <c r="C205" s="2">
        <f ca="1">OFFSET(Data!$A$1,$C$31-A205,0,1,1)</f>
        <v>45658</v>
      </c>
      <c r="D205" s="5">
        <f ca="1">_xlfn.XLOOKUP(C205,Data!$A:$A,Data!$I:$I)</f>
        <v>0.10022573363431153</v>
      </c>
      <c r="E205" s="5">
        <f ca="1">$E$31+$F$31*_xlfn.XLOOKUP(C205,Data!$A:$A,Data!$F:$F)</f>
        <v>5.1465474114536602E-4</v>
      </c>
      <c r="F205" s="5">
        <f t="shared" ca="1" si="33"/>
        <v>9.9711078893166161E-2</v>
      </c>
      <c r="G205" s="13">
        <f t="shared" ca="1" si="34"/>
        <v>9.1128468606399675</v>
      </c>
      <c r="H205" t="str">
        <f t="shared" ca="1" si="35"/>
        <v>Yes</v>
      </c>
      <c r="I205" s="5">
        <f ca="1">F205</f>
        <v>9.9711078893166161E-2</v>
      </c>
    </row>
    <row r="207" spans="1:9" x14ac:dyDescent="0.2">
      <c r="A207" s="3" t="s">
        <v>56</v>
      </c>
      <c r="B207" t="str">
        <f>E17</f>
        <v>Edan Alexander released</v>
      </c>
    </row>
    <row r="208" spans="1:9" x14ac:dyDescent="0.2">
      <c r="A208" s="12" t="s">
        <v>42</v>
      </c>
      <c r="B208" s="12" t="s">
        <v>43</v>
      </c>
      <c r="C208" s="12" t="s">
        <v>0</v>
      </c>
      <c r="D208" s="12" t="s">
        <v>44</v>
      </c>
      <c r="E208" s="12" t="s">
        <v>45</v>
      </c>
      <c r="F208" s="12" t="s">
        <v>46</v>
      </c>
      <c r="G208" s="12" t="s">
        <v>47</v>
      </c>
      <c r="H208" s="12" t="s">
        <v>48</v>
      </c>
      <c r="I208" s="12" t="s">
        <v>49</v>
      </c>
    </row>
    <row r="209" spans="1:9" x14ac:dyDescent="0.2">
      <c r="A209">
        <v>10</v>
      </c>
      <c r="B209" t="str">
        <f t="shared" ref="B209:B229" ca="1" si="37">TEXT(WEEKDAY(C209),"ddd")</f>
        <v>Mon</v>
      </c>
      <c r="C209" s="2">
        <f ca="1">OFFSET(Data!$A$1,$C$32-A209,0,1,1)</f>
        <v>45803</v>
      </c>
      <c r="D209" s="5">
        <f ca="1">_xlfn.XLOOKUP(C209,Data!$A:$A,Data!$I:$I)</f>
        <v>1.5123739688359228E-2</v>
      </c>
      <c r="E209" s="5">
        <f ca="1">$E$32+$F$32*_xlfn.XLOOKUP(C209,Data!$A:$A,Data!$F:$F)</f>
        <v>3.039785786131787E-3</v>
      </c>
      <c r="F209" s="5">
        <f t="shared" ref="F209:F229" ca="1" si="38">D209-E209</f>
        <v>1.208395390222744E-2</v>
      </c>
      <c r="G209" s="13">
        <f t="shared" ref="G209:G229" ca="1" si="39">F209/$I$32</f>
        <v>0.87829523168579504</v>
      </c>
      <c r="H209" t="str">
        <f t="shared" ref="H209:H229" ca="1" si="40">IF(ABS(G209)&lt;$B$6,"No","Yes")</f>
        <v>No</v>
      </c>
      <c r="I209" s="5">
        <f t="shared" ref="I209:I228" ca="1" si="41">(1+I210)*(1+F209)-1</f>
        <v>-3.4286296473349132E-2</v>
      </c>
    </row>
    <row r="210" spans="1:9" x14ac:dyDescent="0.2">
      <c r="A210">
        <v>9</v>
      </c>
      <c r="B210" t="str">
        <f t="shared" ca="1" si="37"/>
        <v>Sun</v>
      </c>
      <c r="C210" s="2">
        <f ca="1">OFFSET(Data!$A$1,$C$32-A210,0,1,1)</f>
        <v>45802</v>
      </c>
      <c r="D210" s="5">
        <f ca="1">_xlfn.XLOOKUP(C210,Data!$A:$A,Data!$I:$I)</f>
        <v>-1.9325842696629181E-2</v>
      </c>
      <c r="E210" s="5">
        <f ca="1">$E$32+$F$32*_xlfn.XLOOKUP(C210,Data!$A:$A,Data!$F:$F)</f>
        <v>5.2440910247512332E-4</v>
      </c>
      <c r="F210" s="5">
        <f t="shared" ca="1" si="38"/>
        <v>-1.9850251799104303E-2</v>
      </c>
      <c r="G210" s="13">
        <f t="shared" ca="1" si="39"/>
        <v>-1.4427712687402752</v>
      </c>
      <c r="H210" t="str">
        <f t="shared" ca="1" si="40"/>
        <v>No</v>
      </c>
      <c r="I210" s="5">
        <f t="shared" ca="1" si="41"/>
        <v>-4.5816604637184288E-2</v>
      </c>
    </row>
    <row r="211" spans="1:9" x14ac:dyDescent="0.2">
      <c r="A211">
        <v>8</v>
      </c>
      <c r="B211" t="str">
        <f t="shared" ca="1" si="37"/>
        <v>Thu</v>
      </c>
      <c r="C211" s="2">
        <f ca="1">OFFSET(Data!$A$1,$C$32-A211,0,1,1)</f>
        <v>45799</v>
      </c>
      <c r="D211" s="5">
        <f ca="1">_xlfn.XLOOKUP(C211,Data!$A:$A,Data!$I:$I)</f>
        <v>-9.3499554764024939E-3</v>
      </c>
      <c r="E211" s="5">
        <f ca="1">$E$32+$F$32*_xlfn.XLOOKUP(C211,Data!$A:$A,Data!$F:$F)</f>
        <v>-2.4413851694728285E-3</v>
      </c>
      <c r="F211" s="5">
        <f t="shared" ca="1" si="38"/>
        <v>-6.908570306929665E-3</v>
      </c>
      <c r="G211" s="13">
        <f t="shared" ca="1" si="39"/>
        <v>-0.5021340206556002</v>
      </c>
      <c r="H211" t="str">
        <f t="shared" ca="1" si="40"/>
        <v>No</v>
      </c>
      <c r="I211" s="5">
        <f t="shared" ca="1" si="41"/>
        <v>-2.6492230279855034E-2</v>
      </c>
    </row>
    <row r="212" spans="1:9" x14ac:dyDescent="0.2">
      <c r="A212">
        <v>7</v>
      </c>
      <c r="B212" t="str">
        <f t="shared" ca="1" si="37"/>
        <v>Wed</v>
      </c>
      <c r="C212" s="2">
        <f ca="1">OFFSET(Data!$A$1,$C$32-A212,0,1,1)</f>
        <v>45798</v>
      </c>
      <c r="D212" s="5">
        <f ca="1">_xlfn.XLOOKUP(C212,Data!$A:$A,Data!$I:$I)</f>
        <v>-2.6863084922010394E-2</v>
      </c>
      <c r="E212" s="5">
        <f ca="1">$E$32+$F$32*_xlfn.XLOOKUP(C212,Data!$A:$A,Data!$F:$F)</f>
        <v>-1.6341099503060594E-3</v>
      </c>
      <c r="F212" s="5">
        <f t="shared" ca="1" si="38"/>
        <v>-2.5228974971704336E-2</v>
      </c>
      <c r="G212" s="13">
        <f t="shared" ca="1" si="39"/>
        <v>-1.8337117633230711</v>
      </c>
      <c r="H212" t="str">
        <f t="shared" ca="1" si="40"/>
        <v>No</v>
      </c>
      <c r="I212" s="5">
        <f t="shared" ca="1" si="41"/>
        <v>-1.9719896262701542E-2</v>
      </c>
    </row>
    <row r="213" spans="1:9" x14ac:dyDescent="0.2">
      <c r="A213">
        <v>6</v>
      </c>
      <c r="B213" t="str">
        <f t="shared" ca="1" si="37"/>
        <v>Tue</v>
      </c>
      <c r="C213" s="2">
        <f ca="1">OFFSET(Data!$A$1,$C$32-A213,0,1,1)</f>
        <v>45797</v>
      </c>
      <c r="D213" s="5">
        <f ca="1">_xlfn.XLOOKUP(C213,Data!$A:$A,Data!$I:$I)</f>
        <v>3.4782608695651529E-3</v>
      </c>
      <c r="E213" s="5">
        <f ca="1">$E$32+$F$32*_xlfn.XLOOKUP(C213,Data!$A:$A,Data!$F:$F)</f>
        <v>-8.2470039861102064E-4</v>
      </c>
      <c r="F213" s="5">
        <f t="shared" ca="1" si="38"/>
        <v>4.3029612681761732E-3</v>
      </c>
      <c r="G213" s="13">
        <f t="shared" ca="1" si="39"/>
        <v>0.31275114044180191</v>
      </c>
      <c r="H213" t="str">
        <f t="shared" ca="1" si="40"/>
        <v>No</v>
      </c>
      <c r="I213" s="5">
        <f t="shared" ca="1" si="41"/>
        <v>5.6516644089239509E-3</v>
      </c>
    </row>
    <row r="214" spans="1:9" x14ac:dyDescent="0.2">
      <c r="A214">
        <v>5</v>
      </c>
      <c r="B214" t="str">
        <f t="shared" ca="1" si="37"/>
        <v>Mon</v>
      </c>
      <c r="C214" s="2">
        <f ca="1">OFFSET(Data!$A$1,$C$32-A214,0,1,1)</f>
        <v>45796</v>
      </c>
      <c r="D214" s="5">
        <f ca="1">_xlfn.XLOOKUP(C214,Data!$A:$A,Data!$I:$I)</f>
        <v>3.0527692978630228E-3</v>
      </c>
      <c r="E214" s="5">
        <f ca="1">$E$32+$F$32*_xlfn.XLOOKUP(C214,Data!$A:$A,Data!$F:$F)</f>
        <v>-8.6068637875523057E-4</v>
      </c>
      <c r="F214" s="5">
        <f t="shared" ca="1" si="38"/>
        <v>3.9134556766182533E-3</v>
      </c>
      <c r="G214" s="13">
        <f t="shared" ca="1" si="39"/>
        <v>0.28444079545470163</v>
      </c>
      <c r="H214" t="str">
        <f t="shared" ca="1" si="40"/>
        <v>No</v>
      </c>
      <c r="I214" s="5">
        <f t="shared" ca="1" si="41"/>
        <v>1.342924588258354E-3</v>
      </c>
    </row>
    <row r="215" spans="1:9" x14ac:dyDescent="0.2">
      <c r="A215">
        <v>4</v>
      </c>
      <c r="B215" t="str">
        <f t="shared" ca="1" si="37"/>
        <v>Sun</v>
      </c>
      <c r="C215" s="2">
        <f ca="1">OFFSET(Data!$A$1,$C$32-A215,0,1,1)</f>
        <v>45795</v>
      </c>
      <c r="D215" s="5">
        <f ca="1">_xlfn.XLOOKUP(C215,Data!$A:$A,Data!$I:$I)</f>
        <v>1.3256738842244875E-2</v>
      </c>
      <c r="E215" s="5">
        <f ca="1">$E$32+$F$32*_xlfn.XLOOKUP(C215,Data!$A:$A,Data!$F:$F)</f>
        <v>1.6271508815223414E-3</v>
      </c>
      <c r="F215" s="5">
        <f t="shared" ca="1" si="38"/>
        <v>1.1629587960722533E-2</v>
      </c>
      <c r="G215" s="13">
        <f t="shared" ca="1" si="39"/>
        <v>0.8452706568576317</v>
      </c>
      <c r="H215" t="str">
        <f t="shared" ca="1" si="40"/>
        <v>No</v>
      </c>
      <c r="I215" s="5">
        <f t="shared" ca="1" si="41"/>
        <v>-2.5605106434473113E-3</v>
      </c>
    </row>
    <row r="216" spans="1:9" x14ac:dyDescent="0.2">
      <c r="A216">
        <v>3</v>
      </c>
      <c r="B216" t="str">
        <f t="shared" ca="1" si="37"/>
        <v>Thu</v>
      </c>
      <c r="C216" s="2">
        <f ca="1">OFFSET(Data!$A$1,$C$32-A216,0,1,1)</f>
        <v>45792</v>
      </c>
      <c r="D216" s="5">
        <f ca="1">_xlfn.XLOOKUP(C216,Data!$A:$A,Data!$I:$I)</f>
        <v>8.4670231729055967E-3</v>
      </c>
      <c r="E216" s="5">
        <f ca="1">$E$32+$F$32*_xlfn.XLOOKUP(C216,Data!$A:$A,Data!$F:$F)</f>
        <v>-5.1428577987153211E-4</v>
      </c>
      <c r="F216" s="5">
        <f t="shared" ca="1" si="38"/>
        <v>8.9813089527771284E-3</v>
      </c>
      <c r="G216" s="13">
        <f t="shared" ca="1" si="39"/>
        <v>0.65278640512415809</v>
      </c>
      <c r="H216" t="str">
        <f t="shared" ca="1" si="40"/>
        <v>No</v>
      </c>
      <c r="I216" s="5">
        <f t="shared" ca="1" si="41"/>
        <v>-1.4026970714423936E-2</v>
      </c>
    </row>
    <row r="217" spans="1:9" x14ac:dyDescent="0.2">
      <c r="A217">
        <v>2</v>
      </c>
      <c r="B217" t="str">
        <f t="shared" ca="1" si="37"/>
        <v>Wed</v>
      </c>
      <c r="C217" s="2">
        <f ca="1">OFFSET(Data!$A$1,$C$32-A217,0,1,1)</f>
        <v>45791</v>
      </c>
      <c r="D217" s="5">
        <f ca="1">_xlfn.XLOOKUP(C217,Data!$A:$A,Data!$I:$I)</f>
        <v>-4.7942299533305088E-2</v>
      </c>
      <c r="E217" s="5">
        <f ca="1">$E$32+$F$32*_xlfn.XLOOKUP(C217,Data!$A:$A,Data!$F:$F)</f>
        <v>1.0704297280976942E-3</v>
      </c>
      <c r="F217" s="5">
        <f t="shared" ca="1" si="38"/>
        <v>-4.9012729261402779E-2</v>
      </c>
      <c r="G217" s="13">
        <f t="shared" ca="1" si="39"/>
        <v>-3.5623808854701036</v>
      </c>
      <c r="H217" t="str">
        <f t="shared" ca="1" si="40"/>
        <v>Yes</v>
      </c>
      <c r="I217" s="5">
        <f t="shared" ca="1" si="41"/>
        <v>-2.2803474616473585E-2</v>
      </c>
    </row>
    <row r="218" spans="1:9" x14ac:dyDescent="0.2">
      <c r="A218">
        <v>1</v>
      </c>
      <c r="B218" t="str">
        <f t="shared" ca="1" si="37"/>
        <v>Tue</v>
      </c>
      <c r="C218" s="2">
        <f ca="1">OFFSET(Data!$A$1,$C$32-A218,0,1,1)</f>
        <v>45790</v>
      </c>
      <c r="D218" s="5">
        <f ca="1">_xlfn.XLOOKUP(C218,Data!$A:$A,Data!$I:$I)</f>
        <v>0</v>
      </c>
      <c r="E218" s="5">
        <f ca="1">$E$32+$F$32*_xlfn.XLOOKUP(C218,Data!$A:$A,Data!$F:$F)</f>
        <v>-1.2534932099633384E-4</v>
      </c>
      <c r="F218" s="5">
        <f t="shared" ca="1" si="38"/>
        <v>1.2534932099633384E-4</v>
      </c>
      <c r="G218" s="13">
        <f t="shared" ca="1" si="39"/>
        <v>9.1107357589173283E-3</v>
      </c>
      <c r="H218" t="str">
        <f t="shared" ca="1" si="40"/>
        <v>No</v>
      </c>
      <c r="I218" s="5">
        <f t="shared" ca="1" si="41"/>
        <v>2.7560047806500565E-2</v>
      </c>
    </row>
    <row r="219" spans="1:9" x14ac:dyDescent="0.2">
      <c r="A219">
        <v>0</v>
      </c>
      <c r="B219" t="str">
        <f t="shared" ca="1" si="37"/>
        <v>Mon</v>
      </c>
      <c r="C219" s="2">
        <f ca="1">OFFSET(Data!$A$1,$C$32-A219,0,1,1)</f>
        <v>45789</v>
      </c>
      <c r="D219" s="5">
        <f ca="1">_xlfn.XLOOKUP(C219,Data!$A:$A,Data!$I:$I)</f>
        <v>0</v>
      </c>
      <c r="E219" s="5">
        <f ca="1">$E$32+$F$32*_xlfn.XLOOKUP(C219,Data!$A:$A,Data!$F:$F)</f>
        <v>-4.8723675418444953E-4</v>
      </c>
      <c r="F219" s="5">
        <f t="shared" ca="1" si="38"/>
        <v>4.8723675418444953E-4</v>
      </c>
      <c r="G219" s="13">
        <f t="shared" ca="1" si="39"/>
        <v>3.5413716517354796E-2</v>
      </c>
      <c r="H219" t="str">
        <f t="shared" ca="1" si="40"/>
        <v>No</v>
      </c>
      <c r="I219" s="5">
        <f t="shared" ca="1" si="41"/>
        <v>2.743125999568985E-2</v>
      </c>
    </row>
    <row r="220" spans="1:9" x14ac:dyDescent="0.2">
      <c r="A220">
        <v>-1</v>
      </c>
      <c r="B220" t="str">
        <f t="shared" ca="1" si="37"/>
        <v>Sun</v>
      </c>
      <c r="C220" s="2">
        <f ca="1">OFFSET(Data!$A$1,$C$32-A220,0,1,1)</f>
        <v>45788</v>
      </c>
      <c r="D220" s="5">
        <f ca="1">_xlfn.XLOOKUP(C220,Data!$A:$A,Data!$I:$I)</f>
        <v>8.5579803166453416E-3</v>
      </c>
      <c r="E220" s="5">
        <f ca="1">$E$32+$F$32*_xlfn.XLOOKUP(C220,Data!$A:$A,Data!$F:$F)</f>
        <v>-1.5695199847624131E-4</v>
      </c>
      <c r="F220" s="5">
        <f t="shared" ca="1" si="38"/>
        <v>8.7149323151215832E-3</v>
      </c>
      <c r="G220" s="13">
        <f t="shared" ca="1" si="39"/>
        <v>0.63342541346709502</v>
      </c>
      <c r="H220" t="str">
        <f t="shared" ca="1" si="40"/>
        <v>No</v>
      </c>
      <c r="I220" s="5">
        <f t="shared" ca="1" si="41"/>
        <v>2.6930901516463379E-2</v>
      </c>
    </row>
    <row r="221" spans="1:9" x14ac:dyDescent="0.2">
      <c r="A221">
        <v>-2</v>
      </c>
      <c r="B221" t="str">
        <f t="shared" ca="1" si="37"/>
        <v>Thu</v>
      </c>
      <c r="C221" s="2">
        <f ca="1">OFFSET(Data!$A$1,$C$32-A221,0,1,1)</f>
        <v>45785</v>
      </c>
      <c r="D221" s="5">
        <f ca="1">_xlfn.XLOOKUP(C221,Data!$A:$A,Data!$I:$I)</f>
        <v>1.5645371577575062E-2</v>
      </c>
      <c r="E221" s="5">
        <f ca="1">$E$32+$F$32*_xlfn.XLOOKUP(C221,Data!$A:$A,Data!$F:$F)</f>
        <v>1.6562302060177036E-3</v>
      </c>
      <c r="F221" s="5">
        <f t="shared" ca="1" si="38"/>
        <v>1.3989141371557358E-2</v>
      </c>
      <c r="G221" s="13">
        <f t="shared" ca="1" si="39"/>
        <v>1.0167695326736157</v>
      </c>
      <c r="H221" t="str">
        <f t="shared" ca="1" si="40"/>
        <v>No</v>
      </c>
      <c r="I221" s="5">
        <f t="shared" ca="1" si="41"/>
        <v>1.8058589813411352E-2</v>
      </c>
    </row>
    <row r="222" spans="1:9" x14ac:dyDescent="0.2">
      <c r="A222">
        <v>-3</v>
      </c>
      <c r="B222" t="str">
        <f t="shared" ca="1" si="37"/>
        <v>Wed</v>
      </c>
      <c r="C222" s="2">
        <f ca="1">OFFSET(Data!$A$1,$C$32-A222,0,1,1)</f>
        <v>45784</v>
      </c>
      <c r="D222" s="5">
        <f ca="1">_xlfn.XLOOKUP(C222,Data!$A:$A,Data!$I:$I)</f>
        <v>1.8592297476759612E-2</v>
      </c>
      <c r="E222" s="5">
        <f ca="1">$E$32+$F$32*_xlfn.XLOOKUP(C222,Data!$A:$A,Data!$F:$F)</f>
        <v>2.5295944200036304E-3</v>
      </c>
      <c r="F222" s="5">
        <f t="shared" ca="1" si="38"/>
        <v>1.6062703056755979E-2</v>
      </c>
      <c r="G222" s="13">
        <f t="shared" ca="1" si="39"/>
        <v>1.1674817379213211</v>
      </c>
      <c r="H222" t="str">
        <f t="shared" ca="1" si="40"/>
        <v>No</v>
      </c>
      <c r="I222" s="5">
        <f t="shared" ca="1" si="41"/>
        <v>4.0133057404829753E-3</v>
      </c>
    </row>
    <row r="223" spans="1:9" x14ac:dyDescent="0.2">
      <c r="A223">
        <v>-4</v>
      </c>
      <c r="B223" t="str">
        <f t="shared" ca="1" si="37"/>
        <v>Tue</v>
      </c>
      <c r="C223" s="2">
        <f ca="1">OFFSET(Data!$A$1,$C$32-A223,0,1,1)</f>
        <v>45783</v>
      </c>
      <c r="D223" s="5">
        <f ca="1">_xlfn.XLOOKUP(C223,Data!$A:$A,Data!$I:$I)</f>
        <v>2.9157175398633273E-2</v>
      </c>
      <c r="E223" s="5">
        <f ca="1">$E$32+$F$32*_xlfn.XLOOKUP(C223,Data!$A:$A,Data!$F:$F)</f>
        <v>7.6297293971010834E-4</v>
      </c>
      <c r="F223" s="5">
        <f t="shared" ca="1" si="38"/>
        <v>2.8394202458923164E-2</v>
      </c>
      <c r="G223" s="13">
        <f t="shared" ca="1" si="39"/>
        <v>2.0637692620290755</v>
      </c>
      <c r="H223" t="str">
        <f t="shared" ca="1" si="40"/>
        <v>Yes</v>
      </c>
      <c r="I223" s="5">
        <f t="shared" ca="1" si="41"/>
        <v>-1.1858911147927365E-2</v>
      </c>
    </row>
    <row r="224" spans="1:9" x14ac:dyDescent="0.2">
      <c r="A224">
        <v>-5</v>
      </c>
      <c r="B224" t="str">
        <f t="shared" ca="1" si="37"/>
        <v>Mon</v>
      </c>
      <c r="C224" s="2">
        <f ca="1">OFFSET(Data!$A$1,$C$32-A224,0,1,1)</f>
        <v>45782</v>
      </c>
      <c r="D224" s="5">
        <f ca="1">_xlfn.XLOOKUP(C224,Data!$A:$A,Data!$I:$I)</f>
        <v>-4.3989547038327581E-2</v>
      </c>
      <c r="E224" s="5">
        <f ca="1">$E$32+$F$32*_xlfn.XLOOKUP(C224,Data!$A:$A,Data!$F:$F)</f>
        <v>1.63092765441831E-3</v>
      </c>
      <c r="F224" s="5">
        <f t="shared" ca="1" si="38"/>
        <v>-4.562047469274589E-2</v>
      </c>
      <c r="G224" s="13">
        <f t="shared" ca="1" si="39"/>
        <v>-3.3158224298170653</v>
      </c>
      <c r="H224" t="str">
        <f t="shared" ca="1" si="40"/>
        <v>Yes</v>
      </c>
      <c r="I224" s="5">
        <f t="shared" ca="1" si="41"/>
        <v>-3.9141715803729826E-2</v>
      </c>
    </row>
    <row r="225" spans="1:9" x14ac:dyDescent="0.2">
      <c r="A225">
        <v>-6</v>
      </c>
      <c r="B225" t="str">
        <f t="shared" ca="1" si="37"/>
        <v>Sun</v>
      </c>
      <c r="C225" s="2">
        <f ca="1">OFFSET(Data!$A$1,$C$32-A225,0,1,1)</f>
        <v>45781</v>
      </c>
      <c r="D225" s="5">
        <f ca="1">_xlfn.XLOOKUP(C225,Data!$A:$A,Data!$I:$I)</f>
        <v>0</v>
      </c>
      <c r="E225" s="5">
        <f ca="1">$E$32+$F$32*_xlfn.XLOOKUP(C225,Data!$A:$A,Data!$F:$F)</f>
        <v>8.2173698029219225E-5</v>
      </c>
      <c r="F225" s="5">
        <f t="shared" ca="1" si="38"/>
        <v>-8.2173698029219225E-5</v>
      </c>
      <c r="G225" s="13">
        <f t="shared" ca="1" si="39"/>
        <v>-5.9726119226380051E-3</v>
      </c>
      <c r="H225" t="str">
        <f t="shared" ca="1" si="40"/>
        <v>No</v>
      </c>
      <c r="I225" s="5">
        <f t="shared" ca="1" si="41"/>
        <v>6.7884512578266776E-3</v>
      </c>
    </row>
    <row r="226" spans="1:9" x14ac:dyDescent="0.2">
      <c r="A226">
        <v>-7</v>
      </c>
      <c r="B226" t="str">
        <f t="shared" ca="1" si="37"/>
        <v>Tue</v>
      </c>
      <c r="C226" s="2">
        <f ca="1">OFFSET(Data!$A$1,$C$32-A226,0,1,1)</f>
        <v>45776</v>
      </c>
      <c r="D226" s="5">
        <f ca="1">_xlfn.XLOOKUP(C226,Data!$A:$A,Data!$I:$I)</f>
        <v>2.6200873362445254E-3</v>
      </c>
      <c r="E226" s="5">
        <f ca="1">$E$32+$F$32*_xlfn.XLOOKUP(C226,Data!$A:$A,Data!$F:$F)</f>
        <v>4.0998441567661028E-4</v>
      </c>
      <c r="F226" s="5">
        <f t="shared" ca="1" si="38"/>
        <v>2.2101029205679151E-3</v>
      </c>
      <c r="G226" s="13">
        <f t="shared" ca="1" si="39"/>
        <v>0.16063640033514537</v>
      </c>
      <c r="H226" t="str">
        <f t="shared" ca="1" si="40"/>
        <v>No</v>
      </c>
      <c r="I226" s="5">
        <f t="shared" ca="1" si="41"/>
        <v>6.8711895869140172E-3</v>
      </c>
    </row>
    <row r="227" spans="1:9" x14ac:dyDescent="0.2">
      <c r="A227">
        <v>-8</v>
      </c>
      <c r="B227" t="str">
        <f t="shared" ca="1" si="37"/>
        <v>Mon</v>
      </c>
      <c r="C227" s="2">
        <f ca="1">OFFSET(Data!$A$1,$C$32-A227,0,1,1)</f>
        <v>45775</v>
      </c>
      <c r="D227" s="5">
        <f ca="1">_xlfn.XLOOKUP(C227,Data!$A:$A,Data!$I:$I)</f>
        <v>-1.9691780821917804E-2</v>
      </c>
      <c r="E227" s="5">
        <f ca="1">$E$32+$F$32*_xlfn.XLOOKUP(C227,Data!$A:$A,Data!$F:$F)</f>
        <v>-7.303438997741746E-4</v>
      </c>
      <c r="F227" s="5">
        <f t="shared" ca="1" si="38"/>
        <v>-1.896143692214363E-2</v>
      </c>
      <c r="G227" s="13">
        <f t="shared" ca="1" si="39"/>
        <v>-1.378169742236433</v>
      </c>
      <c r="H227" t="str">
        <f t="shared" ca="1" si="40"/>
        <v>No</v>
      </c>
      <c r="I227" s="5">
        <f t="shared" ca="1" si="41"/>
        <v>4.6508079022185012E-3</v>
      </c>
    </row>
    <row r="228" spans="1:9" x14ac:dyDescent="0.2">
      <c r="A228">
        <v>-9</v>
      </c>
      <c r="B228" t="str">
        <f t="shared" ca="1" si="37"/>
        <v>Sun</v>
      </c>
      <c r="C228" s="2">
        <f ca="1">OFFSET(Data!$A$1,$C$32-A228,0,1,1)</f>
        <v>45774</v>
      </c>
      <c r="D228" s="5">
        <f ca="1">_xlfn.XLOOKUP(C228,Data!$A:$A,Data!$I:$I)</f>
        <v>0</v>
      </c>
      <c r="E228" s="5">
        <f ca="1">$E$32+$F$32*_xlfn.XLOOKUP(C228,Data!$A:$A,Data!$F:$F)</f>
        <v>1.2561732240907393E-4</v>
      </c>
      <c r="F228" s="5">
        <f t="shared" ca="1" si="38"/>
        <v>-1.2561732240907393E-4</v>
      </c>
      <c r="G228" s="13">
        <f t="shared" ca="1" si="39"/>
        <v>-9.1302148437267527E-3</v>
      </c>
      <c r="H228" t="str">
        <f t="shared" ca="1" si="40"/>
        <v>No</v>
      </c>
      <c r="I228" s="5">
        <f t="shared" ca="1" si="41"/>
        <v>2.4068620452882383E-2</v>
      </c>
    </row>
    <row r="229" spans="1:9" x14ac:dyDescent="0.2">
      <c r="A229">
        <v>-10</v>
      </c>
      <c r="B229" t="str">
        <f t="shared" ca="1" si="37"/>
        <v>Thu</v>
      </c>
      <c r="C229" s="2">
        <f ca="1">OFFSET(Data!$A$1,$C$32-A229,0,1,1)</f>
        <v>45771</v>
      </c>
      <c r="D229" s="5">
        <f ca="1">_xlfn.XLOOKUP(C229,Data!$A:$A,Data!$I:$I)</f>
        <v>2.4112231477422252E-2</v>
      </c>
      <c r="E229" s="5">
        <f ca="1">$E$32+$F$32*_xlfn.XLOOKUP(C229,Data!$A:$A,Data!$F:$F)</f>
        <v>-8.5045895062211207E-5</v>
      </c>
      <c r="F229" s="5">
        <f t="shared" ca="1" si="38"/>
        <v>2.4197277372484463E-2</v>
      </c>
      <c r="G229" s="13">
        <f t="shared" ca="1" si="39"/>
        <v>1.7587251249042113</v>
      </c>
      <c r="H229" t="str">
        <f t="shared" ca="1" si="40"/>
        <v>No</v>
      </c>
      <c r="I229" s="5">
        <f ca="1">F229</f>
        <v>2.4197277372484463E-2</v>
      </c>
    </row>
    <row r="231" spans="1:9" x14ac:dyDescent="0.2">
      <c r="A231" s="3" t="s">
        <v>57</v>
      </c>
      <c r="B231" t="str">
        <f>E18</f>
        <v>12-Day War begins</v>
      </c>
    </row>
    <row r="232" spans="1:9" x14ac:dyDescent="0.2">
      <c r="A232" s="12" t="s">
        <v>42</v>
      </c>
      <c r="B232" s="12" t="s">
        <v>43</v>
      </c>
      <c r="C232" s="12" t="s">
        <v>0</v>
      </c>
      <c r="D232" s="12" t="s">
        <v>44</v>
      </c>
      <c r="E232" s="12" t="s">
        <v>45</v>
      </c>
      <c r="F232" s="12" t="s">
        <v>46</v>
      </c>
      <c r="G232" s="12" t="s">
        <v>47</v>
      </c>
      <c r="H232" s="12" t="s">
        <v>48</v>
      </c>
      <c r="I232" s="12" t="s">
        <v>49</v>
      </c>
    </row>
    <row r="233" spans="1:9" x14ac:dyDescent="0.2">
      <c r="A233">
        <v>10</v>
      </c>
      <c r="B233" t="str">
        <f t="shared" ref="B233:B253" ca="1" si="42">TEXT(WEEKDAY(C233),"ddd")</f>
        <v>Sun</v>
      </c>
      <c r="C233" s="2">
        <f ca="1">OFFSET(Data!$A$1,$C$33-A233,0,1,1)</f>
        <v>45837</v>
      </c>
      <c r="D233" s="5">
        <f ca="1">_xlfn.XLOOKUP(C233,Data!$A:$A,Data!$I:$I)</f>
        <v>3.8523274478330594E-2</v>
      </c>
      <c r="E233" s="5">
        <f ca="1">$E$33+$F$33*_xlfn.XLOOKUP(C233,Data!$A:$A,Data!$F:$F)</f>
        <v>3.9663122109443692E-3</v>
      </c>
      <c r="F233" s="5">
        <f t="shared" ref="F233:F253" ca="1" si="43">D233-E233</f>
        <v>3.4556962267386221E-2</v>
      </c>
      <c r="G233" s="13">
        <f t="shared" ref="G233:G253" ca="1" si="44">F233/$I$33</f>
        <v>2.3627085207149188</v>
      </c>
      <c r="H233" t="str">
        <f t="shared" ref="H233:H253" ca="1" si="45">IF(ABS(G233)&lt;$B$6,"No","Yes")</f>
        <v>Yes</v>
      </c>
      <c r="I233" s="5">
        <f t="shared" ref="I233:I252" ca="1" si="46">(1+I234)*(1+F233)-1</f>
        <v>0.1453972041073317</v>
      </c>
    </row>
    <row r="234" spans="1:9" x14ac:dyDescent="0.2">
      <c r="A234">
        <v>9</v>
      </c>
      <c r="B234" t="str">
        <f t="shared" ca="1" si="42"/>
        <v>Thu</v>
      </c>
      <c r="C234" s="2">
        <f ca="1">OFFSET(Data!$A$1,$C$33-A234,0,1,1)</f>
        <v>45834</v>
      </c>
      <c r="D234" s="5">
        <f ca="1">_xlfn.XLOOKUP(C234,Data!$A:$A,Data!$I:$I)</f>
        <v>1.5898899306971082E-2</v>
      </c>
      <c r="E234" s="5">
        <f ca="1">$E$33+$F$33*_xlfn.XLOOKUP(C234,Data!$A:$A,Data!$F:$F)</f>
        <v>-1.5172568850026435E-3</v>
      </c>
      <c r="F234" s="5">
        <f t="shared" ca="1" si="43"/>
        <v>1.7416156191973724E-2</v>
      </c>
      <c r="G234" s="13">
        <f t="shared" ca="1" si="44"/>
        <v>1.1907672993500829</v>
      </c>
      <c r="H234" t="str">
        <f t="shared" ca="1" si="45"/>
        <v>No</v>
      </c>
      <c r="I234" s="5">
        <f t="shared" ca="1" si="46"/>
        <v>0.10713788209111508</v>
      </c>
    </row>
    <row r="235" spans="1:9" x14ac:dyDescent="0.2">
      <c r="A235">
        <v>8</v>
      </c>
      <c r="B235" t="str">
        <f t="shared" ca="1" si="42"/>
        <v>Wed</v>
      </c>
      <c r="C235" s="2">
        <f ca="1">OFFSET(Data!$A$1,$C$33-A235,0,1,1)</f>
        <v>45833</v>
      </c>
      <c r="D235" s="5">
        <f ca="1">_xlfn.XLOOKUP(C235,Data!$A:$A,Data!$I:$I)</f>
        <v>4.0288379983036471E-2</v>
      </c>
      <c r="E235" s="5">
        <f ca="1">$E$33+$F$33*_xlfn.XLOOKUP(C235,Data!$A:$A,Data!$F:$F)</f>
        <v>3.3287505000237387E-3</v>
      </c>
      <c r="F235" s="5">
        <f t="shared" ca="1" si="43"/>
        <v>3.6959629483012735E-2</v>
      </c>
      <c r="G235" s="13">
        <f t="shared" ca="1" si="44"/>
        <v>2.5269822858357824</v>
      </c>
      <c r="H235" t="str">
        <f t="shared" ca="1" si="45"/>
        <v>Yes</v>
      </c>
      <c r="I235" s="5">
        <f t="shared" ca="1" si="46"/>
        <v>8.8185867064422885E-2</v>
      </c>
    </row>
    <row r="236" spans="1:9" x14ac:dyDescent="0.2">
      <c r="A236">
        <v>7</v>
      </c>
      <c r="B236" t="str">
        <f t="shared" ca="1" si="42"/>
        <v>Tue</v>
      </c>
      <c r="C236" s="2">
        <f ca="1">OFFSET(Data!$A$1,$C$33-A236,0,1,1)</f>
        <v>45832</v>
      </c>
      <c r="D236" s="5">
        <f ca="1">_xlfn.XLOOKUP(C236,Data!$A:$A,Data!$I:$I)</f>
        <v>6.8902991840435135E-2</v>
      </c>
      <c r="E236" s="5">
        <f ca="1">$E$33+$F$33*_xlfn.XLOOKUP(C236,Data!$A:$A,Data!$F:$F)</f>
        <v>2.8397725526837802E-3</v>
      </c>
      <c r="F236" s="5">
        <f t="shared" ca="1" si="43"/>
        <v>6.6063219287751357E-2</v>
      </c>
      <c r="G236" s="13">
        <f t="shared" ca="1" si="44"/>
        <v>4.5168359970210519</v>
      </c>
      <c r="H236" t="str">
        <f t="shared" ca="1" si="45"/>
        <v>Yes</v>
      </c>
      <c r="I236" s="5">
        <f t="shared" ca="1" si="46"/>
        <v>4.9400416491574894E-2</v>
      </c>
    </row>
    <row r="237" spans="1:9" x14ac:dyDescent="0.2">
      <c r="A237">
        <v>6</v>
      </c>
      <c r="B237" t="str">
        <f t="shared" ca="1" si="42"/>
        <v>Mon</v>
      </c>
      <c r="C237" s="2">
        <f ca="1">OFFSET(Data!$A$1,$C$33-A237,0,1,1)</f>
        <v>45831</v>
      </c>
      <c r="D237" s="5">
        <f ca="1">_xlfn.XLOOKUP(C237,Data!$A:$A,Data!$I:$I)</f>
        <v>-6.9198312236286919E-2</v>
      </c>
      <c r="E237" s="5">
        <f ca="1">$E$33+$F$33*_xlfn.XLOOKUP(C237,Data!$A:$A,Data!$F:$F)</f>
        <v>-2.7448969720587453E-3</v>
      </c>
      <c r="F237" s="5">
        <f t="shared" ca="1" si="43"/>
        <v>-6.6453415264228169E-2</v>
      </c>
      <c r="G237" s="13">
        <f t="shared" ca="1" si="44"/>
        <v>-4.5435142493291405</v>
      </c>
      <c r="H237" t="str">
        <f t="shared" ca="1" si="45"/>
        <v>Yes</v>
      </c>
      <c r="I237" s="5">
        <f t="shared" ca="1" si="46"/>
        <v>-1.5630220135827488E-2</v>
      </c>
    </row>
    <row r="238" spans="1:9" x14ac:dyDescent="0.2">
      <c r="A238">
        <v>5</v>
      </c>
      <c r="B238" t="str">
        <f t="shared" ca="1" si="42"/>
        <v>Sun</v>
      </c>
      <c r="C238" s="2">
        <f ca="1">OFFSET(Data!$A$1,$C$33-A238,0,1,1)</f>
        <v>45830</v>
      </c>
      <c r="D238" s="5">
        <f ca="1">_xlfn.XLOOKUP(C238,Data!$A:$A,Data!$I:$I)</f>
        <v>1.6295025728988E-2</v>
      </c>
      <c r="E238" s="5">
        <f ca="1">$E$33+$F$33*_xlfn.XLOOKUP(C238,Data!$A:$A,Data!$F:$F)</f>
        <v>3.4420519215977103E-3</v>
      </c>
      <c r="F238" s="5">
        <f t="shared" ca="1" si="43"/>
        <v>1.285297380739029E-2</v>
      </c>
      <c r="G238" s="13">
        <f t="shared" ca="1" si="44"/>
        <v>0.87877604797187048</v>
      </c>
      <c r="H238" t="str">
        <f t="shared" ca="1" si="45"/>
        <v>No</v>
      </c>
      <c r="I238" s="5">
        <f t="shared" ca="1" si="46"/>
        <v>5.4440984477261534E-2</v>
      </c>
    </row>
    <row r="239" spans="1:9" x14ac:dyDescent="0.2">
      <c r="A239">
        <v>4</v>
      </c>
      <c r="B239" t="str">
        <f t="shared" ca="1" si="42"/>
        <v>Thu</v>
      </c>
      <c r="C239" s="2">
        <f ca="1">OFFSET(Data!$A$1,$C$33-A239,0,1,1)</f>
        <v>45827</v>
      </c>
      <c r="D239" s="5">
        <f ca="1">_xlfn.XLOOKUP(C239,Data!$A:$A,Data!$I:$I)</f>
        <v>-4.2698548249359147E-3</v>
      </c>
      <c r="E239" s="5">
        <f ca="1">$E$33+$F$33*_xlfn.XLOOKUP(C239,Data!$A:$A,Data!$F:$F)</f>
        <v>1.8995656276263612E-3</v>
      </c>
      <c r="F239" s="5">
        <f t="shared" ca="1" si="43"/>
        <v>-6.169420452562276E-3</v>
      </c>
      <c r="G239" s="13">
        <f t="shared" ca="1" si="44"/>
        <v>-0.42181202613687674</v>
      </c>
      <c r="H239" t="str">
        <f t="shared" ca="1" si="45"/>
        <v>No</v>
      </c>
      <c r="I239" s="5">
        <f t="shared" ca="1" si="46"/>
        <v>4.1060264169969996E-2</v>
      </c>
    </row>
    <row r="240" spans="1:9" x14ac:dyDescent="0.2">
      <c r="A240">
        <v>3</v>
      </c>
      <c r="B240" t="str">
        <f t="shared" ca="1" si="42"/>
        <v>Wed</v>
      </c>
      <c r="C240" s="2">
        <f ca="1">OFFSET(Data!$A$1,$C$33-A240,0,1,1)</f>
        <v>45826</v>
      </c>
      <c r="D240" s="5">
        <f ca="1">_xlfn.XLOOKUP(C240,Data!$A:$A,Data!$I:$I)</f>
        <v>9.918068132815927E-3</v>
      </c>
      <c r="E240" s="5">
        <f ca="1">$E$33+$F$33*_xlfn.XLOOKUP(C240,Data!$A:$A,Data!$F:$F)</f>
        <v>2.6110650910533511E-3</v>
      </c>
      <c r="F240" s="5">
        <f t="shared" ca="1" si="43"/>
        <v>7.3070030417625755E-3</v>
      </c>
      <c r="G240" s="13">
        <f t="shared" ca="1" si="44"/>
        <v>0.49959016113970728</v>
      </c>
      <c r="H240" t="str">
        <f t="shared" ca="1" si="45"/>
        <v>No</v>
      </c>
      <c r="I240" s="5">
        <f t="shared" ca="1" si="46"/>
        <v>4.7522873208469152E-2</v>
      </c>
    </row>
    <row r="241" spans="1:9" x14ac:dyDescent="0.2">
      <c r="A241">
        <v>2</v>
      </c>
      <c r="B241" t="str">
        <f t="shared" ca="1" si="42"/>
        <v>Tue</v>
      </c>
      <c r="C241" s="2">
        <f ca="1">OFFSET(Data!$A$1,$C$33-A241,0,1,1)</f>
        <v>45825</v>
      </c>
      <c r="D241" s="5">
        <f ca="1">_xlfn.XLOOKUP(C241,Data!$A:$A,Data!$I:$I)</f>
        <v>8.6994345367550352E-3</v>
      </c>
      <c r="E241" s="5">
        <f ca="1">$E$33+$F$33*_xlfn.XLOOKUP(C241,Data!$A:$A,Data!$F:$F)</f>
        <v>9.9489787258064013E-4</v>
      </c>
      <c r="F241" s="5">
        <f t="shared" ca="1" si="43"/>
        <v>7.7045366641743948E-3</v>
      </c>
      <c r="G241" s="13">
        <f t="shared" ca="1" si="44"/>
        <v>0.52677009870700653</v>
      </c>
      <c r="H241" t="str">
        <f t="shared" ca="1" si="45"/>
        <v>No</v>
      </c>
      <c r="I241" s="5">
        <f t="shared" ca="1" si="46"/>
        <v>3.992414432270075E-2</v>
      </c>
    </row>
    <row r="242" spans="1:9" x14ac:dyDescent="0.2">
      <c r="A242">
        <v>1</v>
      </c>
      <c r="B242" t="str">
        <f t="shared" ca="1" si="42"/>
        <v>Mon</v>
      </c>
      <c r="C242" s="2">
        <f ca="1">OFFSET(Data!$A$1,$C$33-A242,0,1,1)</f>
        <v>45824</v>
      </c>
      <c r="D242" s="5">
        <f ca="1">_xlfn.XLOOKUP(C242,Data!$A:$A,Data!$I:$I)</f>
        <v>0</v>
      </c>
      <c r="E242" s="5">
        <f ca="1">$E$33+$F$33*_xlfn.XLOOKUP(C242,Data!$A:$A,Data!$F:$F)</f>
        <v>5.1814033473908221E-3</v>
      </c>
      <c r="F242" s="5">
        <f t="shared" ca="1" si="43"/>
        <v>-5.1814033473908221E-3</v>
      </c>
      <c r="G242" s="13">
        <f t="shared" ca="1" si="44"/>
        <v>-0.35425989539870095</v>
      </c>
      <c r="H242" t="str">
        <f t="shared" ca="1" si="45"/>
        <v>No</v>
      </c>
      <c r="I242" s="5">
        <f t="shared" ca="1" si="46"/>
        <v>3.1973268439560387E-2</v>
      </c>
    </row>
    <row r="243" spans="1:9" x14ac:dyDescent="0.2">
      <c r="A243">
        <v>0</v>
      </c>
      <c r="B243" t="str">
        <f t="shared" ca="1" si="42"/>
        <v>Sun</v>
      </c>
      <c r="C243" s="2">
        <f ca="1">OFFSET(Data!$A$1,$C$33-A243,0,1,1)</f>
        <v>45823</v>
      </c>
      <c r="D243" s="5">
        <f ca="1">_xlfn.XLOOKUP(C243,Data!$A:$A,Data!$I:$I)</f>
        <v>0</v>
      </c>
      <c r="E243" s="5">
        <f ca="1">$E$33+$F$33*_xlfn.XLOOKUP(C243,Data!$A:$A,Data!$F:$F)</f>
        <v>6.0723432784418985E-4</v>
      </c>
      <c r="F243" s="5">
        <f t="shared" ca="1" si="43"/>
        <v>-6.0723432784418985E-4</v>
      </c>
      <c r="G243" s="13">
        <f t="shared" ca="1" si="44"/>
        <v>-4.1517472206233398E-2</v>
      </c>
      <c r="H243" t="str">
        <f t="shared" ca="1" si="45"/>
        <v>No</v>
      </c>
      <c r="I243" s="5">
        <f t="shared" ca="1" si="46"/>
        <v>3.7348187812300759E-2</v>
      </c>
    </row>
    <row r="244" spans="1:9" x14ac:dyDescent="0.2">
      <c r="A244">
        <v>-1</v>
      </c>
      <c r="B244" t="str">
        <f t="shared" ca="1" si="42"/>
        <v>Thu</v>
      </c>
      <c r="C244" s="2">
        <f ca="1">OFFSET(Data!$A$1,$C$33-A244,0,1,1)</f>
        <v>45820</v>
      </c>
      <c r="D244" s="5">
        <f ca="1">_xlfn.XLOOKUP(C244,Data!$A:$A,Data!$I:$I)</f>
        <v>0</v>
      </c>
      <c r="E244" s="5">
        <f ca="1">$E$33+$F$33*_xlfn.XLOOKUP(C244,Data!$A:$A,Data!$F:$F)</f>
        <v>-3.6231011053218538E-3</v>
      </c>
      <c r="F244" s="5">
        <f t="shared" ca="1" si="43"/>
        <v>3.6231011053218538E-3</v>
      </c>
      <c r="G244" s="13">
        <f t="shared" ca="1" si="44"/>
        <v>0.24771656104259365</v>
      </c>
      <c r="H244" t="str">
        <f t="shared" ca="1" si="45"/>
        <v>No</v>
      </c>
      <c r="I244" s="5">
        <f t="shared" ca="1" si="46"/>
        <v>3.7978483979336675E-2</v>
      </c>
    </row>
    <row r="245" spans="1:9" x14ac:dyDescent="0.2">
      <c r="A245">
        <v>-2</v>
      </c>
      <c r="B245" t="str">
        <f t="shared" ca="1" si="42"/>
        <v>Wed</v>
      </c>
      <c r="C245" s="2">
        <f ca="1">OFFSET(Data!$A$1,$C$33-A245,0,1,1)</f>
        <v>45819</v>
      </c>
      <c r="D245" s="5">
        <f ca="1">_xlfn.XLOOKUP(C245,Data!$A:$A,Data!$I:$I)</f>
        <v>0</v>
      </c>
      <c r="E245" s="5">
        <f ca="1">$E$33+$F$33*_xlfn.XLOOKUP(C245,Data!$A:$A,Data!$F:$F)</f>
        <v>7.699005459928306E-4</v>
      </c>
      <c r="F245" s="5">
        <f t="shared" ca="1" si="43"/>
        <v>-7.699005459928306E-4</v>
      </c>
      <c r="G245" s="13">
        <f t="shared" ca="1" si="44"/>
        <v>-5.2639192242805791E-2</v>
      </c>
      <c r="H245" t="str">
        <f t="shared" ca="1" si="45"/>
        <v>No</v>
      </c>
      <c r="I245" s="5">
        <f t="shared" ca="1" si="46"/>
        <v>3.4231359198665601E-2</v>
      </c>
    </row>
    <row r="246" spans="1:9" x14ac:dyDescent="0.2">
      <c r="A246">
        <v>-3</v>
      </c>
      <c r="B246" t="str">
        <f t="shared" ca="1" si="42"/>
        <v>Tue</v>
      </c>
      <c r="C246" s="2">
        <f ca="1">OFFSET(Data!$A$1,$C$33-A246,0,1,1)</f>
        <v>45818</v>
      </c>
      <c r="D246" s="5">
        <f ca="1">_xlfn.XLOOKUP(C246,Data!$A:$A,Data!$I:$I)</f>
        <v>0</v>
      </c>
      <c r="E246" s="5">
        <f ca="1">$E$33+$F$33*_xlfn.XLOOKUP(C246,Data!$A:$A,Data!$F:$F)</f>
        <v>-3.9137271227827105E-4</v>
      </c>
      <c r="F246" s="5">
        <f t="shared" ca="1" si="43"/>
        <v>3.9137271227827105E-4</v>
      </c>
      <c r="G246" s="13">
        <f t="shared" ca="1" si="44"/>
        <v>2.6758707403743122E-2</v>
      </c>
      <c r="H246" t="str">
        <f t="shared" ca="1" si="45"/>
        <v>No</v>
      </c>
      <c r="I246" s="5">
        <f t="shared" ca="1" si="46"/>
        <v>3.5028227996518169E-2</v>
      </c>
    </row>
    <row r="247" spans="1:9" x14ac:dyDescent="0.2">
      <c r="A247">
        <v>-4</v>
      </c>
      <c r="B247" t="str">
        <f t="shared" ca="1" si="42"/>
        <v>Mon</v>
      </c>
      <c r="C247" s="2">
        <f ca="1">OFFSET(Data!$A$1,$C$33-A247,0,1,1)</f>
        <v>45817</v>
      </c>
      <c r="D247" s="5">
        <f ca="1">_xlfn.XLOOKUP(C247,Data!$A:$A,Data!$I:$I)</f>
        <v>0</v>
      </c>
      <c r="E247" s="5">
        <f ca="1">$E$33+$F$33*_xlfn.XLOOKUP(C247,Data!$A:$A,Data!$F:$F)</f>
        <v>-4.9037162049529737E-4</v>
      </c>
      <c r="F247" s="5">
        <f t="shared" ca="1" si="43"/>
        <v>4.9037162049529737E-4</v>
      </c>
      <c r="G247" s="13">
        <f t="shared" ca="1" si="44"/>
        <v>3.3527403163977662E-2</v>
      </c>
      <c r="H247" t="str">
        <f t="shared" ca="1" si="45"/>
        <v>No</v>
      </c>
      <c r="I247" s="5">
        <f t="shared" ca="1" si="46"/>
        <v>3.4623304667584121E-2</v>
      </c>
    </row>
    <row r="248" spans="1:9" x14ac:dyDescent="0.2">
      <c r="A248">
        <v>-5</v>
      </c>
      <c r="B248" t="str">
        <f t="shared" ca="1" si="42"/>
        <v>Sun</v>
      </c>
      <c r="C248" s="2">
        <f ca="1">OFFSET(Data!$A$1,$C$33-A248,0,1,1)</f>
        <v>45816</v>
      </c>
      <c r="D248" s="5">
        <f ca="1">_xlfn.XLOOKUP(C248,Data!$A:$A,Data!$I:$I)</f>
        <v>3.7923250564334099E-2</v>
      </c>
      <c r="E248" s="5">
        <f ca="1">$E$33+$F$33*_xlfn.XLOOKUP(C248,Data!$A:$A,Data!$F:$F)</f>
        <v>-2.1195661340660569E-4</v>
      </c>
      <c r="F248" s="5">
        <f t="shared" ca="1" si="43"/>
        <v>3.8135207177740701E-2</v>
      </c>
      <c r="G248" s="13">
        <f t="shared" ca="1" si="44"/>
        <v>2.607358200090188</v>
      </c>
      <c r="H248" t="str">
        <f t="shared" ca="1" si="45"/>
        <v>Yes</v>
      </c>
      <c r="I248" s="5">
        <f t="shared" ca="1" si="46"/>
        <v>3.4116203429128023E-2</v>
      </c>
    </row>
    <row r="249" spans="1:9" x14ac:dyDescent="0.2">
      <c r="A249">
        <v>-6</v>
      </c>
      <c r="B249" t="str">
        <f t="shared" ca="1" si="42"/>
        <v>Thu</v>
      </c>
      <c r="C249" s="2">
        <f ca="1">OFFSET(Data!$A$1,$C$33-A249,0,1,1)</f>
        <v>45813</v>
      </c>
      <c r="D249" s="5">
        <f ca="1">_xlfn.XLOOKUP(C249,Data!$A:$A,Data!$I:$I)</f>
        <v>-4.1955017301038011E-2</v>
      </c>
      <c r="E249" s="5">
        <f ca="1">$E$33+$F$33*_xlfn.XLOOKUP(C249,Data!$A:$A,Data!$F:$F)</f>
        <v>2.108933770537134E-3</v>
      </c>
      <c r="F249" s="5">
        <f t="shared" ca="1" si="43"/>
        <v>-4.4063951071575146E-2</v>
      </c>
      <c r="G249" s="13">
        <f t="shared" ca="1" si="44"/>
        <v>-3.0127148285667427</v>
      </c>
      <c r="H249" t="str">
        <f t="shared" ca="1" si="45"/>
        <v>Yes</v>
      </c>
      <c r="I249" s="5">
        <f t="shared" ca="1" si="46"/>
        <v>-3.8713683158273504E-3</v>
      </c>
    </row>
    <row r="250" spans="1:9" x14ac:dyDescent="0.2">
      <c r="A250">
        <v>-7</v>
      </c>
      <c r="B250" t="str">
        <f t="shared" ca="1" si="42"/>
        <v>Wed</v>
      </c>
      <c r="C250" s="2">
        <f ca="1">OFFSET(Data!$A$1,$C$33-A250,0,1,1)</f>
        <v>45812</v>
      </c>
      <c r="D250" s="5">
        <f ca="1">_xlfn.XLOOKUP(C250,Data!$A:$A,Data!$I:$I)</f>
        <v>0</v>
      </c>
      <c r="E250" s="5">
        <f ca="1">$E$33+$F$33*_xlfn.XLOOKUP(C250,Data!$A:$A,Data!$F:$F)</f>
        <v>-5.2513500326381644E-4</v>
      </c>
      <c r="F250" s="5">
        <f t="shared" ca="1" si="43"/>
        <v>5.2513500326381644E-4</v>
      </c>
      <c r="G250" s="13">
        <f t="shared" ca="1" si="44"/>
        <v>3.5904224947111402E-2</v>
      </c>
      <c r="H250" t="str">
        <f t="shared" ca="1" si="45"/>
        <v>No</v>
      </c>
      <c r="I250" s="5">
        <f t="shared" ca="1" si="46"/>
        <v>4.2045263175086278E-2</v>
      </c>
    </row>
    <row r="251" spans="1:9" x14ac:dyDescent="0.2">
      <c r="A251">
        <v>-8</v>
      </c>
      <c r="B251" t="str">
        <f t="shared" ca="1" si="42"/>
        <v>Tue</v>
      </c>
      <c r="C251" s="2">
        <f ca="1">OFFSET(Data!$A$1,$C$33-A251,0,1,1)</f>
        <v>45811</v>
      </c>
      <c r="D251" s="5">
        <f ca="1">_xlfn.XLOOKUP(C251,Data!$A:$A,Data!$I:$I)</f>
        <v>3.4914950760966956E-2</v>
      </c>
      <c r="E251" s="5">
        <f ca="1">$E$33+$F$33*_xlfn.XLOOKUP(C251,Data!$A:$A,Data!$F:$F)</f>
        <v>2.213962365690191E-4</v>
      </c>
      <c r="F251" s="5">
        <f t="shared" ca="1" si="43"/>
        <v>3.4693554524397936E-2</v>
      </c>
      <c r="G251" s="13">
        <f t="shared" ca="1" si="44"/>
        <v>2.3720475270491024</v>
      </c>
      <c r="H251" t="str">
        <f t="shared" ca="1" si="45"/>
        <v>Yes</v>
      </c>
      <c r="I251" s="5">
        <f t="shared" ca="1" si="46"/>
        <v>4.1498335943041642E-2</v>
      </c>
    </row>
    <row r="252" spans="1:9" x14ac:dyDescent="0.2">
      <c r="A252">
        <v>-9</v>
      </c>
      <c r="B252" t="str">
        <f t="shared" ca="1" si="42"/>
        <v>Thu</v>
      </c>
      <c r="C252" s="2">
        <f ca="1">OFFSET(Data!$A$1,$C$33-A252,0,1,1)</f>
        <v>45806</v>
      </c>
      <c r="D252" s="5">
        <f ca="1">_xlfn.XLOOKUP(C252,Data!$A:$A,Data!$I:$I)</f>
        <v>0</v>
      </c>
      <c r="E252" s="5">
        <f ca="1">$E$33+$F$33*_xlfn.XLOOKUP(C252,Data!$A:$A,Data!$F:$F)</f>
        <v>9.5580617977700992E-4</v>
      </c>
      <c r="F252" s="5">
        <f t="shared" ca="1" si="43"/>
        <v>-9.5580617977700992E-4</v>
      </c>
      <c r="G252" s="13">
        <f t="shared" ca="1" si="44"/>
        <v>-6.5349824085736308E-2</v>
      </c>
      <c r="H252" t="str">
        <f t="shared" ca="1" si="45"/>
        <v>No</v>
      </c>
      <c r="I252" s="5">
        <f t="shared" ca="1" si="46"/>
        <v>6.5766152585839954E-3</v>
      </c>
    </row>
    <row r="253" spans="1:9" x14ac:dyDescent="0.2">
      <c r="A253">
        <v>-10</v>
      </c>
      <c r="B253" t="str">
        <f t="shared" ca="1" si="42"/>
        <v>Wed</v>
      </c>
      <c r="C253" s="2">
        <f ca="1">OFFSET(Data!$A$1,$C$33-A253,0,1,1)</f>
        <v>45805</v>
      </c>
      <c r="D253" s="5">
        <f ca="1">_xlfn.XLOOKUP(C253,Data!$A:$A,Data!$I:$I)</f>
        <v>8.5778781038374774E-3</v>
      </c>
      <c r="E253" s="5">
        <f ca="1">$E$33+$F$33*_xlfn.XLOOKUP(C253,Data!$A:$A,Data!$F:$F)</f>
        <v>1.0382502425733207E-3</v>
      </c>
      <c r="F253" s="5">
        <f t="shared" ca="1" si="43"/>
        <v>7.5396278612641565E-3</v>
      </c>
      <c r="G253" s="13">
        <f t="shared" ca="1" si="44"/>
        <v>0.5154950499697325</v>
      </c>
      <c r="H253" t="str">
        <f t="shared" ca="1" si="45"/>
        <v>No</v>
      </c>
      <c r="I253" s="5">
        <f ca="1">F253</f>
        <v>7.5396278612641565E-3</v>
      </c>
    </row>
    <row r="255" spans="1:9" x14ac:dyDescent="0.2">
      <c r="A255" s="3" t="s">
        <v>58</v>
      </c>
      <c r="B255" t="str">
        <f>E19</f>
        <v>Sharm el-Sheikh deal</v>
      </c>
    </row>
    <row r="256" spans="1:9" x14ac:dyDescent="0.2">
      <c r="A256" s="12" t="s">
        <v>42</v>
      </c>
      <c r="B256" s="12" t="s">
        <v>43</v>
      </c>
      <c r="C256" s="12" t="s">
        <v>0</v>
      </c>
      <c r="D256" s="12" t="s">
        <v>44</v>
      </c>
      <c r="E256" s="12" t="s">
        <v>45</v>
      </c>
      <c r="F256" s="12" t="s">
        <v>46</v>
      </c>
      <c r="G256" s="12" t="s">
        <v>47</v>
      </c>
      <c r="H256" s="12" t="s">
        <v>48</v>
      </c>
      <c r="I256" s="12" t="s">
        <v>49</v>
      </c>
    </row>
    <row r="257" spans="1:9" x14ac:dyDescent="0.2">
      <c r="A257">
        <v>10</v>
      </c>
      <c r="B257" t="str">
        <f t="shared" ref="B257:B277" ca="1" si="47">TEXT(WEEKDAY(C257),"ddd")</f>
        <v>Mon</v>
      </c>
      <c r="C257" s="2">
        <f ca="1">OFFSET(Data!$A$1,$C$34-A257,0,1,1)</f>
        <v>45957</v>
      </c>
      <c r="D257" s="5">
        <f ca="1">_xlfn.XLOOKUP(C257,Data!$A:$A,Data!$I:$I)</f>
        <v>1.1818181818181728E-2</v>
      </c>
      <c r="E257" s="5">
        <f ca="1">$E$34+$F$34*_xlfn.XLOOKUP(C257,Data!$A:$A,Data!$F:$F)</f>
        <v>-4.4622119934206977E-4</v>
      </c>
      <c r="F257" s="5">
        <f t="shared" ref="F257:F277" ca="1" si="48">D257-E257</f>
        <v>1.2264403017523797E-2</v>
      </c>
      <c r="G257" s="13">
        <f t="shared" ref="G257:G277" ca="1" si="49">F257/$I$34</f>
        <v>0.70012837722737664</v>
      </c>
      <c r="H257" t="str">
        <f t="shared" ref="H257:H277" ca="1" si="50">IF(ABS(G257)&lt;$B$6,"No","Yes")</f>
        <v>No</v>
      </c>
      <c r="I257" s="5">
        <f t="shared" ref="I257:I276" ca="1" si="51">(1+I258)*(1+F257)-1</f>
        <v>0.24541740620695918</v>
      </c>
    </row>
    <row r="258" spans="1:9" x14ac:dyDescent="0.2">
      <c r="A258">
        <v>9</v>
      </c>
      <c r="B258" t="str">
        <f t="shared" ca="1" si="47"/>
        <v>Sun</v>
      </c>
      <c r="C258" s="2">
        <f ca="1">OFFSET(Data!$A$1,$C$34-A258,0,1,1)</f>
        <v>45956</v>
      </c>
      <c r="D258" s="5">
        <f ca="1">_xlfn.XLOOKUP(C258,Data!$A:$A,Data!$I:$I)</f>
        <v>6.4516129032258007E-2</v>
      </c>
      <c r="E258" s="5">
        <f ca="1">$E$34+$F$34*_xlfn.XLOOKUP(C258,Data!$A:$A,Data!$F:$F)</f>
        <v>4.3249519396077003E-3</v>
      </c>
      <c r="F258" s="5">
        <f t="shared" ca="1" si="48"/>
        <v>6.019117709265031E-2</v>
      </c>
      <c r="G258" s="13">
        <f t="shared" ca="1" si="49"/>
        <v>3.436086622485385</v>
      </c>
      <c r="H258" t="str">
        <f t="shared" ca="1" si="50"/>
        <v>Yes</v>
      </c>
      <c r="I258" s="5">
        <f t="shared" ca="1" si="51"/>
        <v>0.23032816573853099</v>
      </c>
    </row>
    <row r="259" spans="1:9" x14ac:dyDescent="0.2">
      <c r="A259">
        <v>8</v>
      </c>
      <c r="B259" t="str">
        <f t="shared" ca="1" si="47"/>
        <v>Thu</v>
      </c>
      <c r="C259" s="2">
        <f ca="1">OFFSET(Data!$A$1,$C$34-A259,0,1,1)</f>
        <v>45953</v>
      </c>
      <c r="D259" s="5">
        <f ca="1">_xlfn.XLOOKUP(C259,Data!$A:$A,Data!$I:$I)</f>
        <v>-7.6824583866836882E-3</v>
      </c>
      <c r="E259" s="5">
        <f ca="1">$E$34+$F$34*_xlfn.XLOOKUP(C259,Data!$A:$A,Data!$F:$F)</f>
        <v>2.7645106465144236E-3</v>
      </c>
      <c r="F259" s="5">
        <f t="shared" ca="1" si="48"/>
        <v>-1.0446969033198111E-2</v>
      </c>
      <c r="G259" s="13">
        <f t="shared" ca="1" si="49"/>
        <v>-0.59637794564536439</v>
      </c>
      <c r="H259" t="str">
        <f t="shared" ca="1" si="50"/>
        <v>No</v>
      </c>
      <c r="I259" s="5">
        <f t="shared" ca="1" si="51"/>
        <v>0.16047764999558423</v>
      </c>
    </row>
    <row r="260" spans="1:9" x14ac:dyDescent="0.2">
      <c r="A260">
        <v>7</v>
      </c>
      <c r="B260" t="str">
        <f t="shared" ca="1" si="47"/>
        <v>Wed</v>
      </c>
      <c r="C260" s="2">
        <f ca="1">OFFSET(Data!$A$1,$C$34-A260,0,1,1)</f>
        <v>45952</v>
      </c>
      <c r="D260" s="5">
        <f ca="1">_xlfn.XLOOKUP(C260,Data!$A:$A,Data!$I:$I)</f>
        <v>7.7419354838710319E-3</v>
      </c>
      <c r="E260" s="5">
        <f ca="1">$E$34+$F$34*_xlfn.XLOOKUP(C260,Data!$A:$A,Data!$F:$F)</f>
        <v>3.3032088492797036E-4</v>
      </c>
      <c r="F260" s="5">
        <f t="shared" ca="1" si="48"/>
        <v>7.4116145989430613E-3</v>
      </c>
      <c r="G260" s="13">
        <f t="shared" ca="1" si="49"/>
        <v>0.42310104245419877</v>
      </c>
      <c r="H260" t="str">
        <f t="shared" ca="1" si="50"/>
        <v>No</v>
      </c>
      <c r="I260" s="5">
        <f t="shared" ca="1" si="51"/>
        <v>0.17272911474161967</v>
      </c>
    </row>
    <row r="261" spans="1:9" x14ac:dyDescent="0.2">
      <c r="A261">
        <v>6</v>
      </c>
      <c r="B261" t="str">
        <f t="shared" ca="1" si="47"/>
        <v>Tue</v>
      </c>
      <c r="C261" s="2">
        <f ca="1">OFFSET(Data!$A$1,$C$34-A261,0,1,1)</f>
        <v>45951</v>
      </c>
      <c r="D261" s="5">
        <f ca="1">_xlfn.XLOOKUP(C261,Data!$A:$A,Data!$I:$I)</f>
        <v>2.7510772290354701E-2</v>
      </c>
      <c r="E261" s="5">
        <f ca="1">$E$34+$F$34*_xlfn.XLOOKUP(C261,Data!$A:$A,Data!$F:$F)</f>
        <v>-4.8089284286282168E-3</v>
      </c>
      <c r="F261" s="5">
        <f t="shared" ca="1" si="48"/>
        <v>3.2319700718982922E-2</v>
      </c>
      <c r="G261" s="13">
        <f t="shared" ca="1" si="49"/>
        <v>1.8450094623052113</v>
      </c>
      <c r="H261" t="str">
        <f t="shared" ca="1" si="50"/>
        <v>No</v>
      </c>
      <c r="I261" s="5">
        <f t="shared" ca="1" si="51"/>
        <v>0.16410124495982759</v>
      </c>
    </row>
    <row r="262" spans="1:9" x14ac:dyDescent="0.2">
      <c r="A262">
        <v>5</v>
      </c>
      <c r="B262" t="str">
        <f t="shared" ca="1" si="47"/>
        <v>Mon</v>
      </c>
      <c r="C262" s="2">
        <f ca="1">OFFSET(Data!$A$1,$C$34-A262,0,1,1)</f>
        <v>45950</v>
      </c>
      <c r="D262" s="5">
        <f ca="1">_xlfn.XLOOKUP(C262,Data!$A:$A,Data!$I:$I)</f>
        <v>1.7881241565452122E-2</v>
      </c>
      <c r="E262" s="5">
        <f ca="1">$E$34+$F$34*_xlfn.XLOOKUP(C262,Data!$A:$A,Data!$F:$F)</f>
        <v>3.2761844761874299E-3</v>
      </c>
      <c r="F262" s="5">
        <f t="shared" ca="1" si="48"/>
        <v>1.4605057089264692E-2</v>
      </c>
      <c r="G262" s="13">
        <f t="shared" ca="1" si="49"/>
        <v>0.83374746447989856</v>
      </c>
      <c r="H262" t="str">
        <f t="shared" ca="1" si="50"/>
        <v>No</v>
      </c>
      <c r="I262" s="5">
        <f t="shared" ca="1" si="51"/>
        <v>0.12765574864943718</v>
      </c>
    </row>
    <row r="263" spans="1:9" x14ac:dyDescent="0.2">
      <c r="A263">
        <v>4</v>
      </c>
      <c r="B263" t="str">
        <f t="shared" ca="1" si="47"/>
        <v>Sun</v>
      </c>
      <c r="C263" s="2">
        <f ca="1">OFFSET(Data!$A$1,$C$34-A263,0,1,1)</f>
        <v>45949</v>
      </c>
      <c r="D263" s="5">
        <f ca="1">_xlfn.XLOOKUP(C263,Data!$A:$A,Data!$I:$I)</f>
        <v>0</v>
      </c>
      <c r="E263" s="5">
        <f ca="1">$E$34+$F$34*_xlfn.XLOOKUP(C263,Data!$A:$A,Data!$F:$F)</f>
        <v>-6.2902227059146989E-3</v>
      </c>
      <c r="F263" s="5">
        <f t="shared" ca="1" si="48"/>
        <v>6.2902227059146989E-3</v>
      </c>
      <c r="G263" s="13">
        <f t="shared" ca="1" si="49"/>
        <v>0.35908502103186951</v>
      </c>
      <c r="H263" t="str">
        <f t="shared" ca="1" si="50"/>
        <v>No</v>
      </c>
      <c r="I263" s="5">
        <f t="shared" ca="1" si="51"/>
        <v>0.11142334721304903</v>
      </c>
    </row>
    <row r="264" spans="1:9" x14ac:dyDescent="0.2">
      <c r="A264">
        <v>3</v>
      </c>
      <c r="B264" t="str">
        <f t="shared" ca="1" si="47"/>
        <v>Thu</v>
      </c>
      <c r="C264" s="2">
        <f ca="1">OFFSET(Data!$A$1,$C$34-A264,0,1,1)</f>
        <v>45946</v>
      </c>
      <c r="D264" s="5">
        <f ca="1">_xlfn.XLOOKUP(C264,Data!$A:$A,Data!$I:$I)</f>
        <v>-1.2000000000000011E-2</v>
      </c>
      <c r="E264" s="5">
        <f ca="1">$E$34+$F$34*_xlfn.XLOOKUP(C264,Data!$A:$A,Data!$F:$F)</f>
        <v>-4.0259144158016702E-3</v>
      </c>
      <c r="F264" s="5">
        <f t="shared" ca="1" si="48"/>
        <v>-7.9740855841983413E-3</v>
      </c>
      <c r="G264" s="13">
        <f t="shared" ca="1" si="49"/>
        <v>-0.45521038341287284</v>
      </c>
      <c r="H264" t="str">
        <f t="shared" ca="1" si="50"/>
        <v>No</v>
      </c>
      <c r="I264" s="5">
        <f t="shared" ca="1" si="51"/>
        <v>0.10447594752976075</v>
      </c>
    </row>
    <row r="265" spans="1:9" x14ac:dyDescent="0.2">
      <c r="A265">
        <v>2</v>
      </c>
      <c r="B265" t="str">
        <f t="shared" ca="1" si="47"/>
        <v>Wed</v>
      </c>
      <c r="C265" s="2">
        <f ca="1">OFFSET(Data!$A$1,$C$34-A265,0,1,1)</f>
        <v>45945</v>
      </c>
      <c r="D265" s="5">
        <f ca="1">_xlfn.XLOOKUP(C265,Data!$A:$A,Data!$I:$I)</f>
        <v>0</v>
      </c>
      <c r="E265" s="5">
        <f ca="1">$E$34+$F$34*_xlfn.XLOOKUP(C265,Data!$A:$A,Data!$F:$F)</f>
        <v>-4.9097441206627252E-4</v>
      </c>
      <c r="F265" s="5">
        <f t="shared" ca="1" si="48"/>
        <v>4.9097441206627252E-4</v>
      </c>
      <c r="G265" s="13">
        <f t="shared" ca="1" si="49"/>
        <v>2.8027872036573649E-2</v>
      </c>
      <c r="H265" t="str">
        <f t="shared" ca="1" si="50"/>
        <v>No</v>
      </c>
      <c r="I265" s="5">
        <f t="shared" ca="1" si="51"/>
        <v>0.1133539270293964</v>
      </c>
    </row>
    <row r="266" spans="1:9" x14ac:dyDescent="0.2">
      <c r="A266">
        <v>1</v>
      </c>
      <c r="B266" t="str">
        <f t="shared" ca="1" si="47"/>
        <v>Sun</v>
      </c>
      <c r="C266" s="2">
        <f ca="1">OFFSET(Data!$A$1,$C$34-A266,0,1,1)</f>
        <v>45942</v>
      </c>
      <c r="D266" s="5">
        <f ca="1">_xlfn.XLOOKUP(C266,Data!$A:$A,Data!$I:$I)</f>
        <v>6.6711140760511434E-4</v>
      </c>
      <c r="E266" s="5">
        <f ca="1">$E$34+$F$34*_xlfn.XLOOKUP(C266,Data!$A:$A,Data!$F:$F)</f>
        <v>-4.694258987033486E-3</v>
      </c>
      <c r="F266" s="5">
        <f t="shared" ca="1" si="48"/>
        <v>5.3613703946386003E-3</v>
      </c>
      <c r="G266" s="13">
        <f t="shared" ca="1" si="49"/>
        <v>0.30606035603607312</v>
      </c>
      <c r="H266" t="str">
        <f t="shared" ca="1" si="50"/>
        <v>No</v>
      </c>
      <c r="I266" s="5">
        <f t="shared" ca="1" si="51"/>
        <v>0.1128075669884514</v>
      </c>
    </row>
    <row r="267" spans="1:9" x14ac:dyDescent="0.2">
      <c r="A267">
        <v>0</v>
      </c>
      <c r="B267" t="str">
        <f t="shared" ca="1" si="47"/>
        <v>Thu</v>
      </c>
      <c r="C267" s="2">
        <f ca="1">OFFSET(Data!$A$1,$C$34-A267,0,1,1)</f>
        <v>45939</v>
      </c>
      <c r="D267" s="5">
        <f ca="1">_xlfn.XLOOKUP(C267,Data!$A:$A,Data!$I:$I)</f>
        <v>6.5766086029150461E-2</v>
      </c>
      <c r="E267" s="5">
        <f ca="1">$E$34+$F$34*_xlfn.XLOOKUP(C267,Data!$A:$A,Data!$F:$F)</f>
        <v>1.2648267550598414E-2</v>
      </c>
      <c r="F267" s="5">
        <f t="shared" ca="1" si="48"/>
        <v>5.3117818478552049E-2</v>
      </c>
      <c r="G267" s="13">
        <f t="shared" ca="1" si="49"/>
        <v>3.0322953347268253</v>
      </c>
      <c r="H267" t="str">
        <f t="shared" ca="1" si="50"/>
        <v>Yes</v>
      </c>
      <c r="I267" s="5">
        <f t="shared" ca="1" si="51"/>
        <v>0.10687320973117997</v>
      </c>
    </row>
    <row r="268" spans="1:9" x14ac:dyDescent="0.2">
      <c r="A268">
        <v>-1</v>
      </c>
      <c r="B268" t="str">
        <f t="shared" ca="1" si="47"/>
        <v>Wed</v>
      </c>
      <c r="C268" s="2">
        <f ca="1">OFFSET(Data!$A$1,$C$34-A268,0,1,1)</f>
        <v>45938</v>
      </c>
      <c r="D268" s="5">
        <f ca="1">_xlfn.XLOOKUP(C268,Data!$A:$A,Data!$I:$I)</f>
        <v>3.9926062846580512E-2</v>
      </c>
      <c r="E268" s="5">
        <f ca="1">$E$34+$F$34*_xlfn.XLOOKUP(C268,Data!$A:$A,Data!$F:$F)</f>
        <v>-1.1382683848169149E-3</v>
      </c>
      <c r="F268" s="5">
        <f t="shared" ca="1" si="48"/>
        <v>4.1064331231397425E-2</v>
      </c>
      <c r="G268" s="13">
        <f t="shared" ca="1" si="49"/>
        <v>2.3442073410247808</v>
      </c>
      <c r="H268" t="str">
        <f t="shared" ca="1" si="50"/>
        <v>Yes</v>
      </c>
      <c r="I268" s="5">
        <f t="shared" ca="1" si="51"/>
        <v>5.1044043040016751E-2</v>
      </c>
    </row>
    <row r="269" spans="1:9" x14ac:dyDescent="0.2">
      <c r="A269">
        <v>-2</v>
      </c>
      <c r="B269" t="str">
        <f t="shared" ca="1" si="47"/>
        <v>Sun</v>
      </c>
      <c r="C269" s="2">
        <f ca="1">OFFSET(Data!$A$1,$C$34-A269,0,1,1)</f>
        <v>45935</v>
      </c>
      <c r="D269" s="5">
        <f ca="1">_xlfn.XLOOKUP(C269,Data!$A:$A,Data!$I:$I)</f>
        <v>2.3071104387291985E-2</v>
      </c>
      <c r="E269" s="5">
        <f ca="1">$E$34+$F$34*_xlfn.XLOOKUP(C269,Data!$A:$A,Data!$F:$F)</f>
        <v>2.4569091805078038E-3</v>
      </c>
      <c r="F269" s="5">
        <f t="shared" ca="1" si="48"/>
        <v>2.0614195206784182E-2</v>
      </c>
      <c r="G269" s="13">
        <f t="shared" ca="1" si="49"/>
        <v>1.1767864295842536</v>
      </c>
      <c r="H269" t="str">
        <f t="shared" ca="1" si="50"/>
        <v>No</v>
      </c>
      <c r="I269" s="5">
        <f t="shared" ca="1" si="51"/>
        <v>9.5860664026545805E-3</v>
      </c>
    </row>
    <row r="270" spans="1:9" x14ac:dyDescent="0.2">
      <c r="A270">
        <v>-3</v>
      </c>
      <c r="B270" t="str">
        <f t="shared" ca="1" si="47"/>
        <v>Tue</v>
      </c>
      <c r="C270" s="2">
        <f ca="1">OFFSET(Data!$A$1,$C$34-A270,0,1,1)</f>
        <v>45930</v>
      </c>
      <c r="D270" s="5">
        <f ca="1">_xlfn.XLOOKUP(C270,Data!$A:$A,Data!$I:$I)</f>
        <v>1.6923076923076819E-2</v>
      </c>
      <c r="E270" s="5">
        <f ca="1">$E$34+$F$34*_xlfn.XLOOKUP(C270,Data!$A:$A,Data!$F:$F)</f>
        <v>1.3509683860947076E-2</v>
      </c>
      <c r="F270" s="5">
        <f t="shared" ca="1" si="48"/>
        <v>3.413393062129743E-3</v>
      </c>
      <c r="G270" s="13">
        <f t="shared" ca="1" si="49"/>
        <v>0.1948576984964891</v>
      </c>
      <c r="H270" t="str">
        <f t="shared" ca="1" si="50"/>
        <v>No</v>
      </c>
      <c r="I270" s="5">
        <f t="shared" ca="1" si="51"/>
        <v>-1.0805384498787318E-2</v>
      </c>
    </row>
    <row r="271" spans="1:9" x14ac:dyDescent="0.2">
      <c r="A271">
        <v>-4</v>
      </c>
      <c r="B271" t="str">
        <f t="shared" ca="1" si="47"/>
        <v>Mon</v>
      </c>
      <c r="C271" s="2">
        <f ca="1">OFFSET(Data!$A$1,$C$34-A271,0,1,1)</f>
        <v>45929</v>
      </c>
      <c r="D271" s="5">
        <f ca="1">_xlfn.XLOOKUP(C271,Data!$A:$A,Data!$I:$I)</f>
        <v>-1.8867924528301883E-2</v>
      </c>
      <c r="E271" s="5">
        <f ca="1">$E$34+$F$34*_xlfn.XLOOKUP(C271,Data!$A:$A,Data!$F:$F)</f>
        <v>-1.4539178280399184E-3</v>
      </c>
      <c r="F271" s="5">
        <f t="shared" ca="1" si="48"/>
        <v>-1.7414006700261966E-2</v>
      </c>
      <c r="G271" s="13">
        <f t="shared" ca="1" si="49"/>
        <v>-0.99409977270484928</v>
      </c>
      <c r="H271" t="str">
        <f t="shared" ca="1" si="50"/>
        <v>No</v>
      </c>
      <c r="I271" s="5">
        <f t="shared" ca="1" si="51"/>
        <v>-1.4170408387240596E-2</v>
      </c>
    </row>
    <row r="272" spans="1:9" x14ac:dyDescent="0.2">
      <c r="A272">
        <v>-5</v>
      </c>
      <c r="B272" t="str">
        <f t="shared" ca="1" si="47"/>
        <v>Sun</v>
      </c>
      <c r="C272" s="2">
        <f ca="1">OFFSET(Data!$A$1,$C$34-A272,0,1,1)</f>
        <v>45928</v>
      </c>
      <c r="D272" s="5">
        <f ca="1">_xlfn.XLOOKUP(C272,Data!$A:$A,Data!$I:$I)</f>
        <v>1.7665130568356391E-2</v>
      </c>
      <c r="E272" s="5">
        <f ca="1">$E$34+$F$34*_xlfn.XLOOKUP(C272,Data!$A:$A,Data!$F:$F)</f>
        <v>1.3271032297477382E-2</v>
      </c>
      <c r="F272" s="5">
        <f t="shared" ca="1" si="48"/>
        <v>4.3940982708790093E-3</v>
      </c>
      <c r="G272" s="13">
        <f t="shared" ca="1" si="49"/>
        <v>0.25084244927147537</v>
      </c>
      <c r="H272" t="str">
        <f t="shared" ca="1" si="50"/>
        <v>No</v>
      </c>
      <c r="I272" s="5">
        <f t="shared" ca="1" si="51"/>
        <v>3.3010834014930435E-3</v>
      </c>
    </row>
    <row r="273" spans="1:9" x14ac:dyDescent="0.2">
      <c r="A273">
        <v>-6</v>
      </c>
      <c r="B273" t="str">
        <f t="shared" ca="1" si="47"/>
        <v>Thu</v>
      </c>
      <c r="C273" s="2">
        <f ca="1">OFFSET(Data!$A$1,$C$34-A273,0,1,1)</f>
        <v>45925</v>
      </c>
      <c r="D273" s="5">
        <f ca="1">_xlfn.XLOOKUP(C273,Data!$A:$A,Data!$I:$I)</f>
        <v>-1.5128593040847238E-2</v>
      </c>
      <c r="E273" s="5">
        <f ca="1">$E$34+$F$34*_xlfn.XLOOKUP(C273,Data!$A:$A,Data!$F:$F)</f>
        <v>5.3628350909758387E-3</v>
      </c>
      <c r="F273" s="5">
        <f t="shared" ca="1" si="48"/>
        <v>-2.0491428131823076E-2</v>
      </c>
      <c r="G273" s="13">
        <f t="shared" ca="1" si="49"/>
        <v>-1.1697781216505809</v>
      </c>
      <c r="H273" t="str">
        <f t="shared" ca="1" si="50"/>
        <v>No</v>
      </c>
      <c r="I273" s="5">
        <f t="shared" ca="1" si="51"/>
        <v>-1.0882330663507522E-3</v>
      </c>
    </row>
    <row r="274" spans="1:9" x14ac:dyDescent="0.2">
      <c r="A274">
        <v>-7</v>
      </c>
      <c r="B274" t="str">
        <f t="shared" ca="1" si="47"/>
        <v>Sun</v>
      </c>
      <c r="C274" s="2">
        <f ca="1">OFFSET(Data!$A$1,$C$34-A274,0,1,1)</f>
        <v>45921</v>
      </c>
      <c r="D274" s="5">
        <f ca="1">_xlfn.XLOOKUP(C274,Data!$A:$A,Data!$I:$I)</f>
        <v>6.0882800608828003E-3</v>
      </c>
      <c r="E274" s="5">
        <f ca="1">$E$34+$F$34*_xlfn.XLOOKUP(C274,Data!$A:$A,Data!$F:$F)</f>
        <v>-7.7951246172743406E-3</v>
      </c>
      <c r="F274" s="5">
        <f t="shared" ca="1" si="48"/>
        <v>1.388340467815714E-2</v>
      </c>
      <c r="G274" s="13">
        <f t="shared" ca="1" si="49"/>
        <v>0.79255105803524428</v>
      </c>
      <c r="H274" t="str">
        <f t="shared" ca="1" si="50"/>
        <v>No</v>
      </c>
      <c r="I274" s="5">
        <f t="shared" ca="1" si="51"/>
        <v>1.9809112061638601E-2</v>
      </c>
    </row>
    <row r="275" spans="1:9" x14ac:dyDescent="0.2">
      <c r="A275">
        <v>-8</v>
      </c>
      <c r="B275" t="str">
        <f t="shared" ca="1" si="47"/>
        <v>Thu</v>
      </c>
      <c r="C275" s="2">
        <f ca="1">OFFSET(Data!$A$1,$C$34-A275,0,1,1)</f>
        <v>45918</v>
      </c>
      <c r="D275" s="5">
        <f ca="1">_xlfn.XLOOKUP(C275,Data!$A:$A,Data!$I:$I)</f>
        <v>0</v>
      </c>
      <c r="E275" s="5">
        <f ca="1">$E$34+$F$34*_xlfn.XLOOKUP(C275,Data!$A:$A,Data!$F:$F)</f>
        <v>5.6458172343814587E-3</v>
      </c>
      <c r="F275" s="5">
        <f t="shared" ca="1" si="48"/>
        <v>-5.6458172343814587E-3</v>
      </c>
      <c r="G275" s="13">
        <f t="shared" ca="1" si="49"/>
        <v>-0.32229835017505176</v>
      </c>
      <c r="H275" t="str">
        <f t="shared" ca="1" si="50"/>
        <v>No</v>
      </c>
      <c r="I275" s="5">
        <f t="shared" ca="1" si="51"/>
        <v>5.8445649234810659E-3</v>
      </c>
    </row>
    <row r="276" spans="1:9" x14ac:dyDescent="0.2">
      <c r="A276">
        <v>-9</v>
      </c>
      <c r="B276" t="str">
        <f t="shared" ca="1" si="47"/>
        <v>Wed</v>
      </c>
      <c r="C276" s="2">
        <f ca="1">OFFSET(Data!$A$1,$C$34-A276,0,1,1)</f>
        <v>45917</v>
      </c>
      <c r="D276" s="5">
        <f ca="1">_xlfn.XLOOKUP(C276,Data!$A:$A,Data!$I:$I)</f>
        <v>0</v>
      </c>
      <c r="E276" s="5">
        <f ca="1">$E$34+$F$34*_xlfn.XLOOKUP(C276,Data!$A:$A,Data!$F:$F)</f>
        <v>-9.4056537323424609E-3</v>
      </c>
      <c r="F276" s="5">
        <f t="shared" ca="1" si="48"/>
        <v>9.4056537323424609E-3</v>
      </c>
      <c r="G276" s="13">
        <f t="shared" ca="1" si="49"/>
        <v>0.5369331939743367</v>
      </c>
      <c r="H276" t="str">
        <f t="shared" ca="1" si="50"/>
        <v>No</v>
      </c>
      <c r="I276" s="5">
        <f t="shared" ca="1" si="51"/>
        <v>1.155562309388003E-2</v>
      </c>
    </row>
    <row r="277" spans="1:9" x14ac:dyDescent="0.2">
      <c r="A277">
        <v>-10</v>
      </c>
      <c r="B277" t="str">
        <f t="shared" ca="1" si="47"/>
        <v>Tue</v>
      </c>
      <c r="C277" s="2">
        <f ca="1">OFFSET(Data!$A$1,$C$34-A277,0,1,1)</f>
        <v>45916</v>
      </c>
      <c r="D277" s="5">
        <f ca="1">_xlfn.XLOOKUP(C277,Data!$A:$A,Data!$I:$I)</f>
        <v>0</v>
      </c>
      <c r="E277" s="5">
        <f ca="1">$E$34+$F$34*_xlfn.XLOOKUP(C277,Data!$A:$A,Data!$F:$F)</f>
        <v>-2.1299359217852665E-3</v>
      </c>
      <c r="F277" s="5">
        <f t="shared" ca="1" si="48"/>
        <v>2.1299359217852665E-3</v>
      </c>
      <c r="G277" s="13">
        <f t="shared" ca="1" si="49"/>
        <v>0.12158998512908431</v>
      </c>
      <c r="H277" t="str">
        <f t="shared" ca="1" si="50"/>
        <v>No</v>
      </c>
      <c r="I277" s="5">
        <f ca="1">F277</f>
        <v>2.1299359217852665E-3</v>
      </c>
    </row>
    <row r="279" spans="1:9" x14ac:dyDescent="0.2">
      <c r="A279" s="3" t="s">
        <v>59</v>
      </c>
      <c r="B279" t="str">
        <f>E20</f>
        <v>2026 Israel-Iran war begins</v>
      </c>
    </row>
    <row r="280" spans="1:9" x14ac:dyDescent="0.2">
      <c r="A280" s="12" t="s">
        <v>42</v>
      </c>
      <c r="B280" s="12" t="s">
        <v>43</v>
      </c>
      <c r="C280" s="12" t="s">
        <v>0</v>
      </c>
      <c r="D280" s="12" t="s">
        <v>44</v>
      </c>
      <c r="E280" s="12" t="s">
        <v>45</v>
      </c>
      <c r="F280" s="12" t="s">
        <v>46</v>
      </c>
      <c r="G280" s="12" t="s">
        <v>47</v>
      </c>
      <c r="H280" s="12" t="s">
        <v>48</v>
      </c>
      <c r="I280" s="12" t="s">
        <v>49</v>
      </c>
    </row>
    <row r="281" spans="1:9" x14ac:dyDescent="0.2">
      <c r="A281">
        <v>10</v>
      </c>
      <c r="B281" t="str">
        <f t="shared" ref="B281:B301" ca="1" si="52">TEXT(WEEKDAY(C281),"ddd")</f>
        <v>Tue</v>
      </c>
      <c r="C281" s="2">
        <f ca="1">OFFSET(Data!$A$1,$C$35-A281,0,1,1)</f>
        <v>46098</v>
      </c>
      <c r="D281" s="5">
        <f ca="1">_xlfn.XLOOKUP(C281,Data!$A:$A,Data!$I:$I)</f>
        <v>-9.7087378640776656E-3</v>
      </c>
      <c r="E281" s="5">
        <f ca="1">$E$35+$F$35*_xlfn.XLOOKUP(C281,Data!$A:$A,Data!$F:$F)</f>
        <v>7.8459273882132228E-3</v>
      </c>
      <c r="F281" s="5">
        <f t="shared" ref="F281:F301" ca="1" si="53">D281-E281</f>
        <v>-1.7554665252290887E-2</v>
      </c>
      <c r="G281" s="13">
        <f t="shared" ref="G281:G301" ca="1" si="54">F281/$I$35</f>
        <v>-0.96317575964730673</v>
      </c>
      <c r="H281" t="str">
        <f t="shared" ref="H281:H301" ca="1" si="55">IF(ABS(G281)&lt;$B$6,"No","Yes")</f>
        <v>No</v>
      </c>
      <c r="I281" s="5">
        <f t="shared" ref="I281:I300" ca="1" si="56">(1+I282)*(1+F281)-1</f>
        <v>-8.1075863768675593E-2</v>
      </c>
    </row>
    <row r="282" spans="1:9" x14ac:dyDescent="0.2">
      <c r="A282">
        <v>9</v>
      </c>
      <c r="B282" t="str">
        <f t="shared" ca="1" si="52"/>
        <v>Mon</v>
      </c>
      <c r="C282" s="2">
        <f ca="1">OFFSET(Data!$A$1,$C$35-A282,0,1,1)</f>
        <v>46097</v>
      </c>
      <c r="D282" s="5">
        <f ca="1">_xlfn.XLOOKUP(C282,Data!$A:$A,Data!$I:$I)</f>
        <v>0</v>
      </c>
      <c r="E282" s="5">
        <f ca="1">$E$35+$F$35*_xlfn.XLOOKUP(C282,Data!$A:$A,Data!$F:$F)</f>
        <v>8.0831102103749806E-4</v>
      </c>
      <c r="F282" s="5">
        <f t="shared" ca="1" si="53"/>
        <v>-8.0831102103749806E-4</v>
      </c>
      <c r="G282" s="13">
        <f t="shared" ca="1" si="54"/>
        <v>-4.4349782267564572E-2</v>
      </c>
      <c r="H282" t="str">
        <f t="shared" ca="1" si="55"/>
        <v>No</v>
      </c>
      <c r="I282" s="5">
        <f t="shared" ca="1" si="56"/>
        <v>-6.4656216758051888E-2</v>
      </c>
    </row>
    <row r="283" spans="1:9" x14ac:dyDescent="0.2">
      <c r="A283">
        <v>8</v>
      </c>
      <c r="B283" t="str">
        <f t="shared" ca="1" si="52"/>
        <v>Fri</v>
      </c>
      <c r="C283" s="2">
        <f ca="1">OFFSET(Data!$A$1,$C$35-A283,0,1,1)</f>
        <v>46094</v>
      </c>
      <c r="D283" s="5">
        <f ca="1">_xlfn.XLOOKUP(C283,Data!$A:$A,Data!$I:$I)</f>
        <v>2.7746947835738389E-4</v>
      </c>
      <c r="E283" s="5">
        <f ca="1">$E$35+$F$35*_xlfn.XLOOKUP(C283,Data!$A:$A,Data!$F:$F)</f>
        <v>3.5014321036652887E-3</v>
      </c>
      <c r="F283" s="5">
        <f t="shared" ca="1" si="53"/>
        <v>-3.2239626253079048E-3</v>
      </c>
      <c r="G283" s="13">
        <f t="shared" ca="1" si="54"/>
        <v>-0.17688988118416166</v>
      </c>
      <c r="H283" t="str">
        <f t="shared" ca="1" si="55"/>
        <v>No</v>
      </c>
      <c r="I283" s="5">
        <f t="shared" ca="1" si="56"/>
        <v>-6.3899556452734485E-2</v>
      </c>
    </row>
    <row r="284" spans="1:9" x14ac:dyDescent="0.2">
      <c r="A284">
        <v>7</v>
      </c>
      <c r="B284" t="str">
        <f t="shared" ca="1" si="52"/>
        <v>Thu</v>
      </c>
      <c r="C284" s="2">
        <f ca="1">OFFSET(Data!$A$1,$C$35-A284,0,1,1)</f>
        <v>46093</v>
      </c>
      <c r="D284" s="5">
        <f ca="1">_xlfn.XLOOKUP(C284,Data!$A:$A,Data!$I:$I)</f>
        <v>0</v>
      </c>
      <c r="E284" s="5">
        <f ca="1">$E$35+$F$35*_xlfn.XLOOKUP(C284,Data!$A:$A,Data!$F:$F)</f>
        <v>-6.0355352538008257E-3</v>
      </c>
      <c r="F284" s="5">
        <f t="shared" ca="1" si="53"/>
        <v>6.0355352538008257E-3</v>
      </c>
      <c r="G284" s="13">
        <f t="shared" ca="1" si="54"/>
        <v>0.33115306782617665</v>
      </c>
      <c r="H284" t="str">
        <f t="shared" ca="1" si="55"/>
        <v>No</v>
      </c>
      <c r="I284" s="5">
        <f t="shared" ca="1" si="56"/>
        <v>-6.0871842372168139E-2</v>
      </c>
    </row>
    <row r="285" spans="1:9" x14ac:dyDescent="0.2">
      <c r="A285">
        <v>6</v>
      </c>
      <c r="B285" t="str">
        <f t="shared" ca="1" si="52"/>
        <v>Wed</v>
      </c>
      <c r="C285" s="2">
        <f ca="1">OFFSET(Data!$A$1,$C$35-A285,0,1,1)</f>
        <v>46092</v>
      </c>
      <c r="D285" s="5">
        <f ca="1">_xlfn.XLOOKUP(C285,Data!$A:$A,Data!$I:$I)</f>
        <v>0</v>
      </c>
      <c r="E285" s="5">
        <f ca="1">$E$35+$F$35*_xlfn.XLOOKUP(C285,Data!$A:$A,Data!$F:$F)</f>
        <v>1.9972338302073427E-3</v>
      </c>
      <c r="F285" s="5">
        <f t="shared" ca="1" si="53"/>
        <v>-1.9972338302073427E-3</v>
      </c>
      <c r="G285" s="13">
        <f t="shared" ca="1" si="54"/>
        <v>-0.10958267696686587</v>
      </c>
      <c r="H285" t="str">
        <f t="shared" ca="1" si="55"/>
        <v>No</v>
      </c>
      <c r="I285" s="5">
        <f t="shared" ca="1" si="56"/>
        <v>-6.650597844845485E-2</v>
      </c>
    </row>
    <row r="286" spans="1:9" x14ac:dyDescent="0.2">
      <c r="A286">
        <v>5</v>
      </c>
      <c r="B286" t="str">
        <f t="shared" ca="1" si="52"/>
        <v>Tue</v>
      </c>
      <c r="C286" s="2">
        <f ca="1">OFFSET(Data!$A$1,$C$35-A286,0,1,1)</f>
        <v>46091</v>
      </c>
      <c r="D286" s="5">
        <f ca="1">_xlfn.XLOOKUP(C286,Data!$A:$A,Data!$I:$I)</f>
        <v>5.552470849528035E-4</v>
      </c>
      <c r="E286" s="5">
        <f ca="1">$E$35+$F$35*_xlfn.XLOOKUP(C286,Data!$A:$A,Data!$F:$F)</f>
        <v>-3.9573533929994171E-3</v>
      </c>
      <c r="F286" s="5">
        <f t="shared" ca="1" si="53"/>
        <v>4.5126004779522206E-3</v>
      </c>
      <c r="G286" s="13">
        <f t="shared" ca="1" si="54"/>
        <v>0.24759386356109639</v>
      </c>
      <c r="H286" t="str">
        <f t="shared" ca="1" si="55"/>
        <v>No</v>
      </c>
      <c r="I286" s="5">
        <f t="shared" ca="1" si="56"/>
        <v>-6.463784150200691E-2</v>
      </c>
    </row>
    <row r="287" spans="1:9" x14ac:dyDescent="0.2">
      <c r="A287">
        <v>4</v>
      </c>
      <c r="B287" t="str">
        <f t="shared" ca="1" si="52"/>
        <v>Mon</v>
      </c>
      <c r="C287" s="2">
        <f ca="1">OFFSET(Data!$A$1,$C$35-A287,0,1,1)</f>
        <v>46090</v>
      </c>
      <c r="D287" s="5">
        <f ca="1">_xlfn.XLOOKUP(C287,Data!$A:$A,Data!$I:$I)</f>
        <v>2.3295454545454453E-2</v>
      </c>
      <c r="E287" s="5">
        <f ca="1">$E$35+$F$35*_xlfn.XLOOKUP(C287,Data!$A:$A,Data!$F:$F)</f>
        <v>-1.1367609603203058E-2</v>
      </c>
      <c r="F287" s="5">
        <f t="shared" ca="1" si="53"/>
        <v>3.466306414865751E-2</v>
      </c>
      <c r="G287" s="13">
        <f t="shared" ca="1" si="54"/>
        <v>1.9018661229515361</v>
      </c>
      <c r="H287" t="str">
        <f t="shared" ca="1" si="55"/>
        <v>No</v>
      </c>
      <c r="I287" s="5">
        <f t="shared" ca="1" si="56"/>
        <v>-6.8839795485947208E-2</v>
      </c>
    </row>
    <row r="288" spans="1:9" x14ac:dyDescent="0.2">
      <c r="A288">
        <v>3</v>
      </c>
      <c r="B288" t="str">
        <f t="shared" ca="1" si="52"/>
        <v>Fri</v>
      </c>
      <c r="C288" s="2">
        <f ca="1">OFFSET(Data!$A$1,$C$35-A288,0,1,1)</f>
        <v>46087</v>
      </c>
      <c r="D288" s="5">
        <f ca="1">_xlfn.XLOOKUP(C288,Data!$A:$A,Data!$I:$I)</f>
        <v>-2.3578363384188616E-2</v>
      </c>
      <c r="E288" s="5">
        <f ca="1">$E$35+$F$35*_xlfn.XLOOKUP(C288,Data!$A:$A,Data!$F:$F)</f>
        <v>8.7494040804258176E-4</v>
      </c>
      <c r="F288" s="5">
        <f t="shared" ca="1" si="53"/>
        <v>-2.44533037922312E-2</v>
      </c>
      <c r="G288" s="13">
        <f t="shared" ca="1" si="54"/>
        <v>-1.3416849092519725</v>
      </c>
      <c r="H288" t="str">
        <f t="shared" ca="1" si="55"/>
        <v>No</v>
      </c>
      <c r="I288" s="5">
        <f t="shared" ca="1" si="56"/>
        <v>-0.10003532862146691</v>
      </c>
    </row>
    <row r="289" spans="1:9" x14ac:dyDescent="0.2">
      <c r="A289">
        <v>2</v>
      </c>
      <c r="B289" t="str">
        <f t="shared" ca="1" si="52"/>
        <v>Thu</v>
      </c>
      <c r="C289" s="2">
        <f ca="1">OFFSET(Data!$A$1,$C$35-A289,0,1,1)</f>
        <v>46086</v>
      </c>
      <c r="D289" s="5">
        <f ca="1">_xlfn.XLOOKUP(C289,Data!$A:$A,Data!$I:$I)</f>
        <v>-5.5447740504577236E-4</v>
      </c>
      <c r="E289" s="5">
        <f ca="1">$E$35+$F$35*_xlfn.XLOOKUP(C289,Data!$A:$A,Data!$F:$F)</f>
        <v>7.6050797428247052E-3</v>
      </c>
      <c r="F289" s="5">
        <f t="shared" ca="1" si="53"/>
        <v>-8.1595571478704776E-3</v>
      </c>
      <c r="G289" s="13">
        <f t="shared" ca="1" si="54"/>
        <v>-0.4476922539585394</v>
      </c>
      <c r="H289" t="str">
        <f t="shared" ca="1" si="55"/>
        <v>No</v>
      </c>
      <c r="I289" s="5">
        <f t="shared" ca="1" si="56"/>
        <v>-7.7476583256388287E-2</v>
      </c>
    </row>
    <row r="290" spans="1:9" x14ac:dyDescent="0.2">
      <c r="A290">
        <v>1</v>
      </c>
      <c r="B290" t="str">
        <f t="shared" ca="1" si="52"/>
        <v>Wed</v>
      </c>
      <c r="C290" s="2">
        <f ca="1">OFFSET(Data!$A$1,$C$35-A290,0,1,1)</f>
        <v>46085</v>
      </c>
      <c r="D290" s="5">
        <f ca="1">_xlfn.XLOOKUP(C290,Data!$A:$A,Data!$I:$I)</f>
        <v>0</v>
      </c>
      <c r="E290" s="5">
        <f ca="1">$E$35+$F$35*_xlfn.XLOOKUP(C290,Data!$A:$A,Data!$F:$F)</f>
        <v>1.0377971688606503E-3</v>
      </c>
      <c r="F290" s="5">
        <f t="shared" ca="1" si="53"/>
        <v>-1.0377971688606503E-3</v>
      </c>
      <c r="G290" s="13">
        <f t="shared" ca="1" si="54"/>
        <v>-5.6941050262791858E-2</v>
      </c>
      <c r="H290" t="str">
        <f t="shared" ca="1" si="55"/>
        <v>No</v>
      </c>
      <c r="I290" s="5">
        <f t="shared" ca="1" si="56"/>
        <v>-6.9887275325444698E-2</v>
      </c>
    </row>
    <row r="291" spans="1:9" x14ac:dyDescent="0.2">
      <c r="A291">
        <v>0</v>
      </c>
      <c r="B291" t="str">
        <f t="shared" ca="1" si="52"/>
        <v>Mon</v>
      </c>
      <c r="C291" s="2">
        <f ca="1">OFFSET(Data!$A$1,$C$35-A291,0,1,1)</f>
        <v>46083</v>
      </c>
      <c r="D291" s="5">
        <f ca="1">_xlfn.XLOOKUP(C291,Data!$A:$A,Data!$I:$I)</f>
        <v>1.6662038322687867E-3</v>
      </c>
      <c r="E291" s="5">
        <f ca="1">$E$35+$F$35*_xlfn.XLOOKUP(C291,Data!$A:$A,Data!$F:$F)</f>
        <v>2.166709476604688E-2</v>
      </c>
      <c r="F291" s="5">
        <f t="shared" ca="1" si="53"/>
        <v>-2.0000890933778093E-2</v>
      </c>
      <c r="G291" s="13">
        <f t="shared" ca="1" si="54"/>
        <v>-1.0973933733228345</v>
      </c>
      <c r="H291" t="str">
        <f t="shared" ca="1" si="55"/>
        <v>No</v>
      </c>
      <c r="I291" s="5">
        <f t="shared" ca="1" si="56"/>
        <v>-6.8921004179596679E-2</v>
      </c>
    </row>
    <row r="292" spans="1:9" x14ac:dyDescent="0.2">
      <c r="A292">
        <v>-1</v>
      </c>
      <c r="B292" t="str">
        <f t="shared" ca="1" si="52"/>
        <v>Fri</v>
      </c>
      <c r="C292" s="2">
        <f ca="1">OFFSET(Data!$A$1,$C$35-A292,0,1,1)</f>
        <v>46080</v>
      </c>
      <c r="D292" s="5">
        <f ca="1">_xlfn.XLOOKUP(C292,Data!$A:$A,Data!$I:$I)</f>
        <v>2.777777777778212E-4</v>
      </c>
      <c r="E292" s="5">
        <f ca="1">$E$35+$F$35*_xlfn.XLOOKUP(C292,Data!$A:$A,Data!$F:$F)</f>
        <v>3.3047922511881128E-3</v>
      </c>
      <c r="F292" s="5">
        <f t="shared" ca="1" si="53"/>
        <v>-3.0270144734102916E-3</v>
      </c>
      <c r="G292" s="13">
        <f t="shared" ca="1" si="54"/>
        <v>-0.16608388271658273</v>
      </c>
      <c r="H292" t="str">
        <f t="shared" ca="1" si="55"/>
        <v>No</v>
      </c>
      <c r="I292" s="5">
        <f t="shared" ca="1" si="56"/>
        <v>-4.9918528285634256E-2</v>
      </c>
    </row>
    <row r="293" spans="1:9" x14ac:dyDescent="0.2">
      <c r="A293">
        <v>-2</v>
      </c>
      <c r="B293" t="str">
        <f t="shared" ca="1" si="52"/>
        <v>Thu</v>
      </c>
      <c r="C293" s="2">
        <f ca="1">OFFSET(Data!$A$1,$C$35-A293,0,1,1)</f>
        <v>46079</v>
      </c>
      <c r="D293" s="5">
        <f ca="1">_xlfn.XLOOKUP(C293,Data!$A:$A,Data!$I:$I)</f>
        <v>0</v>
      </c>
      <c r="E293" s="5">
        <f ca="1">$E$35+$F$35*_xlfn.XLOOKUP(C293,Data!$A:$A,Data!$F:$F)</f>
        <v>-4.0448634315719736E-3</v>
      </c>
      <c r="F293" s="5">
        <f t="shared" ca="1" si="53"/>
        <v>4.0448634315719736E-3</v>
      </c>
      <c r="G293" s="13">
        <f t="shared" ca="1" si="54"/>
        <v>0.22193043002432244</v>
      </c>
      <c r="H293" t="str">
        <f t="shared" ca="1" si="55"/>
        <v>No</v>
      </c>
      <c r="I293" s="5">
        <f t="shared" ca="1" si="56"/>
        <v>-4.7033886066086827E-2</v>
      </c>
    </row>
    <row r="294" spans="1:9" x14ac:dyDescent="0.2">
      <c r="A294">
        <v>-3</v>
      </c>
      <c r="B294" t="str">
        <f t="shared" ca="1" si="52"/>
        <v>Wed</v>
      </c>
      <c r="C294" s="2">
        <f ca="1">OFFSET(Data!$A$1,$C$35-A294,0,1,1)</f>
        <v>46078</v>
      </c>
      <c r="D294" s="5">
        <f ca="1">_xlfn.XLOOKUP(C294,Data!$A:$A,Data!$I:$I)</f>
        <v>0</v>
      </c>
      <c r="E294" s="5">
        <f ca="1">$E$35+$F$35*_xlfn.XLOOKUP(C294,Data!$A:$A,Data!$F:$F)</f>
        <v>-2.905259038756072E-4</v>
      </c>
      <c r="F294" s="5">
        <f t="shared" ca="1" si="53"/>
        <v>2.905259038756072E-4</v>
      </c>
      <c r="G294" s="13">
        <f t="shared" ca="1" si="54"/>
        <v>1.5940349994773659E-2</v>
      </c>
      <c r="H294" t="str">
        <f t="shared" ca="1" si="55"/>
        <v>No</v>
      </c>
      <c r="I294" s="5">
        <f t="shared" ca="1" si="56"/>
        <v>-5.0872975260372821E-2</v>
      </c>
    </row>
    <row r="295" spans="1:9" x14ac:dyDescent="0.2">
      <c r="A295">
        <v>-4</v>
      </c>
      <c r="B295" t="str">
        <f t="shared" ca="1" si="52"/>
        <v>Tue</v>
      </c>
      <c r="C295" s="2">
        <f ca="1">OFFSET(Data!$A$1,$C$35-A295,0,1,1)</f>
        <v>46077</v>
      </c>
      <c r="D295" s="5">
        <f ca="1">_xlfn.XLOOKUP(C295,Data!$A:$A,Data!$I:$I)</f>
        <v>0</v>
      </c>
      <c r="E295" s="5">
        <f ca="1">$E$35+$F$35*_xlfn.XLOOKUP(C295,Data!$A:$A,Data!$F:$F)</f>
        <v>-7.9811344255007171E-3</v>
      </c>
      <c r="F295" s="5">
        <f t="shared" ca="1" si="53"/>
        <v>7.9811344255007171E-3</v>
      </c>
      <c r="G295" s="13">
        <f t="shared" ca="1" si="54"/>
        <v>0.43790269439206414</v>
      </c>
      <c r="H295" t="str">
        <f t="shared" ca="1" si="55"/>
        <v>No</v>
      </c>
      <c r="I295" s="5">
        <f t="shared" ca="1" si="56"/>
        <v>-5.1148641159043717E-2</v>
      </c>
    </row>
    <row r="296" spans="1:9" x14ac:dyDescent="0.2">
      <c r="A296">
        <v>-5</v>
      </c>
      <c r="B296" t="str">
        <f t="shared" ca="1" si="52"/>
        <v>Mon</v>
      </c>
      <c r="C296" s="2">
        <f ca="1">OFFSET(Data!$A$1,$C$35-A296,0,1,1)</f>
        <v>46076</v>
      </c>
      <c r="D296" s="5">
        <f ca="1">_xlfn.XLOOKUP(C296,Data!$A:$A,Data!$I:$I)</f>
        <v>0</v>
      </c>
      <c r="E296" s="5">
        <f ca="1">$E$35+$F$35*_xlfn.XLOOKUP(C296,Data!$A:$A,Data!$F:$F)</f>
        <v>1.307572455148431E-3</v>
      </c>
      <c r="F296" s="5">
        <f t="shared" ca="1" si="53"/>
        <v>-1.307572455148431E-3</v>
      </c>
      <c r="G296" s="13">
        <f t="shared" ca="1" si="54"/>
        <v>-7.1742871463591651E-2</v>
      </c>
      <c r="H296" t="str">
        <f t="shared" ca="1" si="55"/>
        <v>No</v>
      </c>
      <c r="I296" s="5">
        <f t="shared" ca="1" si="56"/>
        <v>-5.8661589552710725E-2</v>
      </c>
    </row>
    <row r="297" spans="1:9" x14ac:dyDescent="0.2">
      <c r="A297">
        <v>-6</v>
      </c>
      <c r="B297" t="str">
        <f t="shared" ca="1" si="52"/>
        <v>Fri</v>
      </c>
      <c r="C297" s="2">
        <f ca="1">OFFSET(Data!$A$1,$C$35-A297,0,1,1)</f>
        <v>46073</v>
      </c>
      <c r="D297" s="5">
        <f ca="1">_xlfn.XLOOKUP(C297,Data!$A:$A,Data!$I:$I)</f>
        <v>0</v>
      </c>
      <c r="E297" s="5">
        <f ca="1">$E$35+$F$35*_xlfn.XLOOKUP(C297,Data!$A:$A,Data!$F:$F)</f>
        <v>4.182881380099741E-3</v>
      </c>
      <c r="F297" s="5">
        <f t="shared" ca="1" si="53"/>
        <v>-4.182881380099741E-3</v>
      </c>
      <c r="G297" s="13">
        <f t="shared" ca="1" si="54"/>
        <v>-0.22950309179301365</v>
      </c>
      <c r="H297" t="str">
        <f t="shared" ca="1" si="55"/>
        <v>No</v>
      </c>
      <c r="I297" s="5">
        <f t="shared" ca="1" si="56"/>
        <v>-5.7429109819686186E-2</v>
      </c>
    </row>
    <row r="298" spans="1:9" x14ac:dyDescent="0.2">
      <c r="A298">
        <v>-7</v>
      </c>
      <c r="B298" t="str">
        <f t="shared" ca="1" si="52"/>
        <v>Thu</v>
      </c>
      <c r="C298" s="2">
        <f ca="1">OFFSET(Data!$A$1,$C$35-A298,0,1,1)</f>
        <v>46072</v>
      </c>
      <c r="D298" s="5">
        <f ca="1">_xlfn.XLOOKUP(C298,Data!$A:$A,Data!$I:$I)</f>
        <v>0</v>
      </c>
      <c r="E298" s="5">
        <f ca="1">$E$35+$F$35*_xlfn.XLOOKUP(C298,Data!$A:$A,Data!$F:$F)</f>
        <v>-1.9333341412414258E-3</v>
      </c>
      <c r="F298" s="5">
        <f t="shared" ca="1" si="53"/>
        <v>1.9333341412414258E-3</v>
      </c>
      <c r="G298" s="13">
        <f t="shared" ca="1" si="54"/>
        <v>0.10607667838606458</v>
      </c>
      <c r="H298" t="str">
        <f t="shared" ca="1" si="55"/>
        <v>No</v>
      </c>
      <c r="I298" s="5">
        <f t="shared" ca="1" si="56"/>
        <v>-5.346988663277874E-2</v>
      </c>
    </row>
    <row r="299" spans="1:9" x14ac:dyDescent="0.2">
      <c r="A299">
        <v>-8</v>
      </c>
      <c r="B299" t="str">
        <f t="shared" ca="1" si="52"/>
        <v>Wed</v>
      </c>
      <c r="C299" s="2">
        <f ca="1">OFFSET(Data!$A$1,$C$35-A299,0,1,1)</f>
        <v>46071</v>
      </c>
      <c r="D299" s="5">
        <f ca="1">_xlfn.XLOOKUP(C299,Data!$A:$A,Data!$I:$I)</f>
        <v>-1.1532125205930832E-2</v>
      </c>
      <c r="E299" s="5">
        <f ca="1">$E$35+$F$35*_xlfn.XLOOKUP(C299,Data!$A:$A,Data!$F:$F)</f>
        <v>4.676580289650038E-3</v>
      </c>
      <c r="F299" s="5">
        <f t="shared" ca="1" si="53"/>
        <v>-1.6208705495580872E-2</v>
      </c>
      <c r="G299" s="13">
        <f t="shared" ca="1" si="54"/>
        <v>-0.88932668349048893</v>
      </c>
      <c r="H299" t="str">
        <f t="shared" ca="1" si="55"/>
        <v>No</v>
      </c>
      <c r="I299" s="5">
        <f t="shared" ca="1" si="56"/>
        <v>-5.5296314521271483E-2</v>
      </c>
    </row>
    <row r="300" spans="1:9" x14ac:dyDescent="0.2">
      <c r="A300">
        <v>-9</v>
      </c>
      <c r="B300" t="str">
        <f t="shared" ca="1" si="52"/>
        <v>Tue</v>
      </c>
      <c r="C300" s="2">
        <f ca="1">OFFSET(Data!$A$1,$C$35-A300,0,1,1)</f>
        <v>46070</v>
      </c>
      <c r="D300" s="5">
        <f ca="1">_xlfn.XLOOKUP(C300,Data!$A:$A,Data!$I:$I)</f>
        <v>-3.4208432776451914E-2</v>
      </c>
      <c r="E300" s="5">
        <f ca="1">$E$35+$F$35*_xlfn.XLOOKUP(C300,Data!$A:$A,Data!$F:$F)</f>
        <v>1.4788162048765339E-3</v>
      </c>
      <c r="F300" s="5">
        <f t="shared" ca="1" si="53"/>
        <v>-3.5687248981328447E-2</v>
      </c>
      <c r="G300" s="13">
        <f t="shared" ca="1" si="54"/>
        <v>-1.958060302108461</v>
      </c>
      <c r="H300" t="str">
        <f t="shared" ca="1" si="55"/>
        <v>No</v>
      </c>
      <c r="I300" s="5">
        <f t="shared" ca="1" si="56"/>
        <v>-3.9731606941471154E-2</v>
      </c>
    </row>
    <row r="301" spans="1:9" x14ac:dyDescent="0.2">
      <c r="A301">
        <v>-10</v>
      </c>
      <c r="B301" t="str">
        <f t="shared" ca="1" si="52"/>
        <v>Mon</v>
      </c>
      <c r="C301" s="2">
        <f ca="1">OFFSET(Data!$A$1,$C$35-A301,0,1,1)</f>
        <v>46069</v>
      </c>
      <c r="D301" s="5">
        <f ca="1">_xlfn.XLOOKUP(C301,Data!$A:$A,Data!$I:$I)</f>
        <v>-1.059602649006619E-3</v>
      </c>
      <c r="E301" s="5">
        <f ca="1">$E$35+$F$35*_xlfn.XLOOKUP(C301,Data!$A:$A,Data!$F:$F)</f>
        <v>3.134428754052546E-3</v>
      </c>
      <c r="F301" s="5">
        <f t="shared" ca="1" si="53"/>
        <v>-4.194031403059165E-3</v>
      </c>
      <c r="G301" s="13">
        <f t="shared" ca="1" si="54"/>
        <v>-0.23011486260605304</v>
      </c>
      <c r="H301" t="str">
        <f t="shared" ca="1" si="55"/>
        <v>No</v>
      </c>
      <c r="I301" s="5">
        <f ca="1">F301</f>
        <v>-4.194031403059165E-3</v>
      </c>
    </row>
    <row r="303" spans="1:9" x14ac:dyDescent="0.2">
      <c r="A303" s="3" t="s">
        <v>60</v>
      </c>
      <c r="B303" t="str">
        <f>E21</f>
        <v>Pakistan-brokered ceasefire</v>
      </c>
    </row>
    <row r="304" spans="1:9" x14ac:dyDescent="0.2">
      <c r="A304" s="12" t="s">
        <v>42</v>
      </c>
      <c r="B304" s="12" t="s">
        <v>43</v>
      </c>
      <c r="C304" s="12" t="s">
        <v>0</v>
      </c>
      <c r="D304" s="12" t="s">
        <v>44</v>
      </c>
      <c r="E304" s="12" t="s">
        <v>45</v>
      </c>
      <c r="F304" s="12" t="s">
        <v>46</v>
      </c>
      <c r="G304" s="12" t="s">
        <v>47</v>
      </c>
      <c r="H304" s="12" t="s">
        <v>48</v>
      </c>
      <c r="I304" s="12" t="s">
        <v>49</v>
      </c>
    </row>
    <row r="305" spans="1:9" x14ac:dyDescent="0.2">
      <c r="A305">
        <v>10</v>
      </c>
      <c r="B305" t="str">
        <f t="shared" ref="B305:B325" ca="1" si="57">TEXT(WEEKDAY(C305),"ddd")</f>
        <v>Mon</v>
      </c>
      <c r="C305" s="2">
        <f ca="1">OFFSET(Data!$A$1,$C$36-A305,0,1,1)</f>
        <v>46139</v>
      </c>
      <c r="D305" s="5">
        <f ca="1">_xlfn.XLOOKUP(C305,Data!$A:$A,Data!$I:$I)</f>
        <v>0</v>
      </c>
      <c r="E305" s="5">
        <f ca="1">$E$36+$F$36*_xlfn.XLOOKUP(C305,Data!$A:$A,Data!$F:$F)</f>
        <v>4.7408939480692936E-4</v>
      </c>
      <c r="F305" s="5">
        <f t="shared" ref="F305:F325" ca="1" si="58">D305-E305</f>
        <v>-4.7408939480692936E-4</v>
      </c>
      <c r="G305" s="13">
        <f t="shared" ref="G305:G325" ca="1" si="59">F305/$I$36</f>
        <v>-2.54800833474455E-2</v>
      </c>
      <c r="H305" t="str">
        <f t="shared" ref="H305:H325" ca="1" si="60">IF(ABS(G305)&lt;$B$6,"No","Yes")</f>
        <v>No</v>
      </c>
      <c r="I305" s="5">
        <f t="shared" ref="I305:I324" ca="1" si="61">(1+I306)*(1+F305)-1</f>
        <v>-0.18329550021558105</v>
      </c>
    </row>
    <row r="306" spans="1:9" x14ac:dyDescent="0.2">
      <c r="A306">
        <v>9</v>
      </c>
      <c r="B306" t="str">
        <f t="shared" ca="1" si="57"/>
        <v>Fri</v>
      </c>
      <c r="C306" s="2">
        <f ca="1">OFFSET(Data!$A$1,$C$36-A306,0,1,1)</f>
        <v>46136</v>
      </c>
      <c r="D306" s="5">
        <f ca="1">_xlfn.XLOOKUP(C306,Data!$A:$A,Data!$I:$I)</f>
        <v>1.7271157167531026E-3</v>
      </c>
      <c r="E306" s="5">
        <f ca="1">$E$36+$F$36*_xlfn.XLOOKUP(C306,Data!$A:$A,Data!$F:$F)</f>
        <v>-3.7379955447642299E-3</v>
      </c>
      <c r="F306" s="5">
        <f t="shared" ca="1" si="58"/>
        <v>5.465111261517332E-3</v>
      </c>
      <c r="G306" s="13">
        <f t="shared" ca="1" si="59"/>
        <v>0.29372412032805362</v>
      </c>
      <c r="H306" t="str">
        <f t="shared" ca="1" si="60"/>
        <v>No</v>
      </c>
      <c r="I306" s="5">
        <f t="shared" ca="1" si="61"/>
        <v>-0.18290812562335612</v>
      </c>
    </row>
    <row r="307" spans="1:9" x14ac:dyDescent="0.2">
      <c r="A307">
        <v>8</v>
      </c>
      <c r="B307" t="str">
        <f t="shared" ca="1" si="57"/>
        <v>Thu</v>
      </c>
      <c r="C307" s="2">
        <f ca="1">OFFSET(Data!$A$1,$C$36-A307,0,1,1)</f>
        <v>46135</v>
      </c>
      <c r="D307" s="5">
        <f ca="1">_xlfn.XLOOKUP(C307,Data!$A:$A,Data!$I:$I)</f>
        <v>-6.9036934760091651E-4</v>
      </c>
      <c r="E307" s="5">
        <f ca="1">$E$36+$F$36*_xlfn.XLOOKUP(C307,Data!$A:$A,Data!$F:$F)</f>
        <v>7.8165250929514846E-4</v>
      </c>
      <c r="F307" s="5">
        <f t="shared" ca="1" si="58"/>
        <v>-1.472021856896065E-3</v>
      </c>
      <c r="G307" s="13">
        <f t="shared" ca="1" si="59"/>
        <v>-7.9114276787920712E-2</v>
      </c>
      <c r="H307" t="str">
        <f t="shared" ca="1" si="60"/>
        <v>No</v>
      </c>
      <c r="I307" s="5">
        <f t="shared" ca="1" si="61"/>
        <v>-0.18734935183233659</v>
      </c>
    </row>
    <row r="308" spans="1:9" x14ac:dyDescent="0.2">
      <c r="A308">
        <v>7</v>
      </c>
      <c r="B308" t="str">
        <f t="shared" ca="1" si="57"/>
        <v>Mon</v>
      </c>
      <c r="C308" s="2">
        <f ca="1">OFFSET(Data!$A$1,$C$36-A308,0,1,1)</f>
        <v>46132</v>
      </c>
      <c r="D308" s="5">
        <f ca="1">_xlfn.XLOOKUP(C308,Data!$A:$A,Data!$I:$I)</f>
        <v>0</v>
      </c>
      <c r="E308" s="5">
        <f ca="1">$E$36+$F$36*_xlfn.XLOOKUP(C308,Data!$A:$A,Data!$F:$F)</f>
        <v>2.3597530817955912E-3</v>
      </c>
      <c r="F308" s="5">
        <f t="shared" ca="1" si="58"/>
        <v>-2.3597530817955912E-3</v>
      </c>
      <c r="G308" s="13">
        <f t="shared" ca="1" si="59"/>
        <v>-0.12682567014187135</v>
      </c>
      <c r="H308" t="str">
        <f t="shared" ca="1" si="60"/>
        <v>No</v>
      </c>
      <c r="I308" s="5">
        <f t="shared" ca="1" si="61"/>
        <v>-0.18615134882960838</v>
      </c>
    </row>
    <row r="309" spans="1:9" x14ac:dyDescent="0.2">
      <c r="A309">
        <v>6</v>
      </c>
      <c r="B309" t="str">
        <f t="shared" ca="1" si="57"/>
        <v>Fri</v>
      </c>
      <c r="C309" s="2">
        <f ca="1">OFFSET(Data!$A$1,$C$36-A309,0,1,1)</f>
        <v>46129</v>
      </c>
      <c r="D309" s="5">
        <f ca="1">_xlfn.XLOOKUP(C309,Data!$A:$A,Data!$I:$I)</f>
        <v>5.2047189451769338E-3</v>
      </c>
      <c r="E309" s="5">
        <f ca="1">$E$36+$F$36*_xlfn.XLOOKUP(C309,Data!$A:$A,Data!$F:$F)</f>
        <v>4.6260254783294054E-3</v>
      </c>
      <c r="F309" s="5">
        <f t="shared" ca="1" si="58"/>
        <v>5.7869346684752843E-4</v>
      </c>
      <c r="G309" s="13">
        <f t="shared" ca="1" si="59"/>
        <v>3.1102062036005067E-2</v>
      </c>
      <c r="H309" t="str">
        <f t="shared" ca="1" si="60"/>
        <v>No</v>
      </c>
      <c r="I309" s="5">
        <f t="shared" ca="1" si="61"/>
        <v>-0.18422632438452702</v>
      </c>
    </row>
    <row r="310" spans="1:9" x14ac:dyDescent="0.2">
      <c r="A310">
        <v>5</v>
      </c>
      <c r="B310" t="str">
        <f t="shared" ca="1" si="57"/>
        <v>Thu</v>
      </c>
      <c r="C310" s="2">
        <f ca="1">OFFSET(Data!$A$1,$C$36-A310,0,1,1)</f>
        <v>46128</v>
      </c>
      <c r="D310" s="5">
        <f ca="1">_xlfn.XLOOKUP(C310,Data!$A:$A,Data!$I:$I)</f>
        <v>-4.2524916943521562E-2</v>
      </c>
      <c r="E310" s="5">
        <f ca="1">$E$36+$F$36*_xlfn.XLOOKUP(C310,Data!$A:$A,Data!$F:$F)</f>
        <v>-3.2039830794833106E-3</v>
      </c>
      <c r="F310" s="5">
        <f t="shared" ca="1" si="58"/>
        <v>-3.9320933864038253E-2</v>
      </c>
      <c r="G310" s="13">
        <f t="shared" ca="1" si="59"/>
        <v>-2.1133159339350045</v>
      </c>
      <c r="H310" t="str">
        <f t="shared" ca="1" si="60"/>
        <v>Yes</v>
      </c>
      <c r="I310" s="5">
        <f t="shared" ca="1" si="61"/>
        <v>-0.18469813424774639</v>
      </c>
    </row>
    <row r="311" spans="1:9" x14ac:dyDescent="0.2">
      <c r="A311">
        <v>4</v>
      </c>
      <c r="B311" t="str">
        <f t="shared" ca="1" si="57"/>
        <v>Wed</v>
      </c>
      <c r="C311" s="2">
        <f ca="1">OFFSET(Data!$A$1,$C$36-A311,0,1,1)</f>
        <v>46127</v>
      </c>
      <c r="D311" s="5">
        <f ca="1">_xlfn.XLOOKUP(C311,Data!$A:$A,Data!$I:$I)</f>
        <v>0</v>
      </c>
      <c r="E311" s="5">
        <f ca="1">$E$36+$F$36*_xlfn.XLOOKUP(C311,Data!$A:$A,Data!$F:$F)</f>
        <v>-1.271107579789833E-3</v>
      </c>
      <c r="F311" s="5">
        <f t="shared" ca="1" si="58"/>
        <v>1.271107579789833E-3</v>
      </c>
      <c r="G311" s="13">
        <f t="shared" ca="1" si="59"/>
        <v>6.8316075894936448E-2</v>
      </c>
      <c r="H311" t="str">
        <f t="shared" ca="1" si="60"/>
        <v>No</v>
      </c>
      <c r="I311" s="5">
        <f t="shared" ca="1" si="61"/>
        <v>-0.15132754059942577</v>
      </c>
    </row>
    <row r="312" spans="1:9" x14ac:dyDescent="0.2">
      <c r="A312">
        <v>3</v>
      </c>
      <c r="B312" t="str">
        <f t="shared" ca="1" si="57"/>
        <v>Tue</v>
      </c>
      <c r="C312" s="2">
        <f ca="1">OFFSET(Data!$A$1,$C$36-A312,0,1,1)</f>
        <v>46126</v>
      </c>
      <c r="D312" s="5">
        <f ca="1">_xlfn.XLOOKUP(C312,Data!$A:$A,Data!$I:$I)</f>
        <v>0</v>
      </c>
      <c r="E312" s="5">
        <f ca="1">$E$36+$F$36*_xlfn.XLOOKUP(C312,Data!$A:$A,Data!$F:$F)</f>
        <v>6.057269839337724E-3</v>
      </c>
      <c r="F312" s="5">
        <f t="shared" ca="1" si="58"/>
        <v>-6.057269839337724E-3</v>
      </c>
      <c r="G312" s="13">
        <f t="shared" ca="1" si="59"/>
        <v>-0.32554986898018917</v>
      </c>
      <c r="H312" t="str">
        <f t="shared" ca="1" si="60"/>
        <v>No</v>
      </c>
      <c r="I312" s="5">
        <f t="shared" ca="1" si="61"/>
        <v>-0.15240492512369352</v>
      </c>
    </row>
    <row r="313" spans="1:9" x14ac:dyDescent="0.2">
      <c r="A313">
        <v>2</v>
      </c>
      <c r="B313" t="str">
        <f t="shared" ca="1" si="57"/>
        <v>Mon</v>
      </c>
      <c r="C313" s="2">
        <f ca="1">OFFSET(Data!$A$1,$C$36-A313,0,1,1)</f>
        <v>46125</v>
      </c>
      <c r="D313" s="5">
        <f ca="1">_xlfn.XLOOKUP(C313,Data!$A:$A,Data!$I:$I)</f>
        <v>0</v>
      </c>
      <c r="E313" s="5">
        <f ca="1">$E$36+$F$36*_xlfn.XLOOKUP(C313,Data!$A:$A,Data!$F:$F)</f>
        <v>-4.5015799972968765E-3</v>
      </c>
      <c r="F313" s="5">
        <f t="shared" ca="1" si="58"/>
        <v>4.5015799972968765E-3</v>
      </c>
      <c r="G313" s="13">
        <f t="shared" ca="1" si="59"/>
        <v>0.24193883006606631</v>
      </c>
      <c r="H313" t="str">
        <f t="shared" ca="1" si="60"/>
        <v>No</v>
      </c>
      <c r="I313" s="5">
        <f t="shared" ca="1" si="61"/>
        <v>-0.14723952481718938</v>
      </c>
    </row>
    <row r="314" spans="1:9" x14ac:dyDescent="0.2">
      <c r="A314">
        <v>1</v>
      </c>
      <c r="B314" t="str">
        <f t="shared" ca="1" si="57"/>
        <v>Fri</v>
      </c>
      <c r="C314" s="2">
        <f ca="1">OFFSET(Data!$A$1,$C$36-A314,0,1,1)</f>
        <v>46122</v>
      </c>
      <c r="D314" s="5">
        <f ca="1">_xlfn.XLOOKUP(C314,Data!$A:$A,Data!$I:$I)</f>
        <v>0</v>
      </c>
      <c r="E314" s="5">
        <f ca="1">$E$36+$F$36*_xlfn.XLOOKUP(C314,Data!$A:$A,Data!$F:$F)</f>
        <v>7.6070693697590855E-3</v>
      </c>
      <c r="F314" s="5">
        <f t="shared" ca="1" si="58"/>
        <v>-7.6070693697590855E-3</v>
      </c>
      <c r="G314" s="13">
        <f t="shared" ca="1" si="59"/>
        <v>-0.40884433124726838</v>
      </c>
      <c r="H314" t="str">
        <f t="shared" ca="1" si="60"/>
        <v>No</v>
      </c>
      <c r="I314" s="5">
        <f t="shared" ca="1" si="61"/>
        <v>-0.15106109122784517</v>
      </c>
    </row>
    <row r="315" spans="1:9" x14ac:dyDescent="0.2">
      <c r="A315">
        <v>0</v>
      </c>
      <c r="B315" t="str">
        <f t="shared" ca="1" si="57"/>
        <v>Thu</v>
      </c>
      <c r="C315" s="2">
        <f ca="1">OFFSET(Data!$A$1,$C$36-A315,0,1,1)</f>
        <v>46121</v>
      </c>
      <c r="D315" s="5">
        <f ca="1">_xlfn.XLOOKUP(C315,Data!$A:$A,Data!$I:$I)</f>
        <v>0</v>
      </c>
      <c r="E315" s="5">
        <f ca="1">$E$36+$F$36*_xlfn.XLOOKUP(C315,Data!$A:$A,Data!$F:$F)</f>
        <v>9.461404068932134E-3</v>
      </c>
      <c r="F315" s="5">
        <f t="shared" ca="1" si="58"/>
        <v>-9.461404068932134E-3</v>
      </c>
      <c r="G315" s="13">
        <f t="shared" ca="1" si="59"/>
        <v>-0.50850613175691972</v>
      </c>
      <c r="H315" t="str">
        <f t="shared" ca="1" si="60"/>
        <v>No</v>
      </c>
      <c r="I315" s="5">
        <f t="shared" ca="1" si="61"/>
        <v>-0.14455365151279587</v>
      </c>
    </row>
    <row r="316" spans="1:9" x14ac:dyDescent="0.2">
      <c r="A316">
        <v>-1</v>
      </c>
      <c r="B316" t="str">
        <f t="shared" ca="1" si="57"/>
        <v>Mon</v>
      </c>
      <c r="C316" s="2">
        <f ca="1">OFFSET(Data!$A$1,$C$36-A316,0,1,1)</f>
        <v>46118</v>
      </c>
      <c r="D316" s="5">
        <f ca="1">_xlfn.XLOOKUP(C316,Data!$A:$A,Data!$I:$I)</f>
        <v>0</v>
      </c>
      <c r="E316" s="5">
        <f ca="1">$E$36+$F$36*_xlfn.XLOOKUP(C316,Data!$A:$A,Data!$F:$F)</f>
        <v>5.0892329793261219E-3</v>
      </c>
      <c r="F316" s="5">
        <f t="shared" ca="1" si="58"/>
        <v>-5.0892329793261219E-3</v>
      </c>
      <c r="G316" s="13">
        <f t="shared" ca="1" si="59"/>
        <v>-0.27352242405803473</v>
      </c>
      <c r="H316" t="str">
        <f t="shared" ca="1" si="60"/>
        <v>No</v>
      </c>
      <c r="I316" s="5">
        <f t="shared" ca="1" si="61"/>
        <v>-0.13638261850552347</v>
      </c>
    </row>
    <row r="317" spans="1:9" x14ac:dyDescent="0.2">
      <c r="A317">
        <v>-2</v>
      </c>
      <c r="B317" t="str">
        <f t="shared" ca="1" si="57"/>
        <v>Fri</v>
      </c>
      <c r="C317" s="2">
        <f ca="1">OFFSET(Data!$A$1,$C$36-A317,0,1,1)</f>
        <v>46115</v>
      </c>
      <c r="D317" s="5">
        <f ca="1">_xlfn.XLOOKUP(C317,Data!$A:$A,Data!$I:$I)</f>
        <v>0</v>
      </c>
      <c r="E317" s="5">
        <f ca="1">$E$36+$F$36*_xlfn.XLOOKUP(C317,Data!$A:$A,Data!$F:$F)</f>
        <v>9.0338511141523845E-3</v>
      </c>
      <c r="F317" s="5">
        <f t="shared" ca="1" si="58"/>
        <v>-9.0338511141523845E-3</v>
      </c>
      <c r="G317" s="13">
        <f t="shared" ca="1" si="59"/>
        <v>-0.48552716398719953</v>
      </c>
      <c r="H317" t="str">
        <f t="shared" ca="1" si="60"/>
        <v>No</v>
      </c>
      <c r="I317" s="5">
        <f t="shared" ca="1" si="61"/>
        <v>-0.13196498608549989</v>
      </c>
    </row>
    <row r="318" spans="1:9" x14ac:dyDescent="0.2">
      <c r="A318">
        <v>-3</v>
      </c>
      <c r="B318" t="str">
        <f t="shared" ca="1" si="57"/>
        <v>Tue</v>
      </c>
      <c r="C318" s="2">
        <f ca="1">OFFSET(Data!$A$1,$C$36-A318,0,1,1)</f>
        <v>46112</v>
      </c>
      <c r="D318" s="5">
        <f ca="1">_xlfn.XLOOKUP(C318,Data!$A:$A,Data!$I:$I)</f>
        <v>0</v>
      </c>
      <c r="E318" s="5">
        <f ca="1">$E$36+$F$36*_xlfn.XLOOKUP(C318,Data!$A:$A,Data!$F:$F)</f>
        <v>7.70093191880083E-3</v>
      </c>
      <c r="F318" s="5">
        <f t="shared" ca="1" si="58"/>
        <v>-7.70093191880083E-3</v>
      </c>
      <c r="G318" s="13">
        <f t="shared" ca="1" si="59"/>
        <v>-0.41388900341033441</v>
      </c>
      <c r="H318" t="str">
        <f t="shared" ca="1" si="60"/>
        <v>No</v>
      </c>
      <c r="I318" s="5">
        <f t="shared" ca="1" si="61"/>
        <v>-0.12405180046721087</v>
      </c>
    </row>
    <row r="319" spans="1:9" x14ac:dyDescent="0.2">
      <c r="A319">
        <v>-4</v>
      </c>
      <c r="B319" t="str">
        <f t="shared" ca="1" si="57"/>
        <v>Mon</v>
      </c>
      <c r="C319" s="2">
        <f ca="1">OFFSET(Data!$A$1,$C$36-A319,0,1,1)</f>
        <v>46111</v>
      </c>
      <c r="D319" s="5">
        <f ca="1">_xlfn.XLOOKUP(C319,Data!$A:$A,Data!$I:$I)</f>
        <v>-1.051939513477973E-2</v>
      </c>
      <c r="E319" s="5">
        <f ca="1">$E$36+$F$36*_xlfn.XLOOKUP(C319,Data!$A:$A,Data!$F:$F)</f>
        <v>-6.4430557735889156E-3</v>
      </c>
      <c r="F319" s="5">
        <f t="shared" ca="1" si="58"/>
        <v>-4.0763393611908142E-3</v>
      </c>
      <c r="G319" s="13">
        <f t="shared" ca="1" si="59"/>
        <v>-0.21908413858933379</v>
      </c>
      <c r="H319" t="str">
        <f t="shared" ca="1" si="60"/>
        <v>No</v>
      </c>
      <c r="I319" s="5">
        <f t="shared" ca="1" si="61"/>
        <v>-0.11725383232838948</v>
      </c>
    </row>
    <row r="320" spans="1:9" x14ac:dyDescent="0.2">
      <c r="A320">
        <v>-5</v>
      </c>
      <c r="B320" t="str">
        <f t="shared" ca="1" si="57"/>
        <v>Fri</v>
      </c>
      <c r="C320" s="2">
        <f ca="1">OFFSET(Data!$A$1,$C$36-A320,0,1,1)</f>
        <v>46108</v>
      </c>
      <c r="D320" s="5">
        <f ca="1">_xlfn.XLOOKUP(C320,Data!$A:$A,Data!$I:$I)</f>
        <v>-2.9974489795918324E-2</v>
      </c>
      <c r="E320" s="5">
        <f ca="1">$E$36+$F$36*_xlfn.XLOOKUP(C320,Data!$A:$A,Data!$F:$F)</f>
        <v>-1.2109850501498369E-2</v>
      </c>
      <c r="F320" s="5">
        <f t="shared" ca="1" si="58"/>
        <v>-1.7864639294419955E-2</v>
      </c>
      <c r="G320" s="13">
        <f t="shared" ca="1" si="59"/>
        <v>-0.96014064684835532</v>
      </c>
      <c r="H320" t="str">
        <f t="shared" ca="1" si="60"/>
        <v>No</v>
      </c>
      <c r="I320" s="5">
        <f t="shared" ca="1" si="61"/>
        <v>-0.11364073115263063</v>
      </c>
    </row>
    <row r="321" spans="1:9" x14ac:dyDescent="0.2">
      <c r="A321">
        <v>-6</v>
      </c>
      <c r="B321" t="str">
        <f t="shared" ca="1" si="57"/>
        <v>Thu</v>
      </c>
      <c r="C321" s="2">
        <f ca="1">OFFSET(Data!$A$1,$C$36-A321,0,1,1)</f>
        <v>46107</v>
      </c>
      <c r="D321" s="5">
        <f ca="1">_xlfn.XLOOKUP(C321,Data!$A:$A,Data!$I:$I)</f>
        <v>-8.3576855639976633E-2</v>
      </c>
      <c r="E321" s="5">
        <f ca="1">$E$36+$F$36*_xlfn.XLOOKUP(C321,Data!$A:$A,Data!$F:$F)</f>
        <v>-2.4377150828569969E-3</v>
      </c>
      <c r="F321" s="5">
        <f t="shared" ca="1" si="58"/>
        <v>-8.1139140557119641E-2</v>
      </c>
      <c r="G321" s="13">
        <f t="shared" ca="1" si="59"/>
        <v>-4.3608485799971453</v>
      </c>
      <c r="H321" t="str">
        <f t="shared" ca="1" si="60"/>
        <v>Yes</v>
      </c>
      <c r="I321" s="5">
        <f t="shared" ca="1" si="61"/>
        <v>-9.7518219677381057E-2</v>
      </c>
    </row>
    <row r="322" spans="1:9" x14ac:dyDescent="0.2">
      <c r="A322">
        <v>-7</v>
      </c>
      <c r="B322" t="str">
        <f t="shared" ca="1" si="57"/>
        <v>Wed</v>
      </c>
      <c r="C322" s="2">
        <f ca="1">OFFSET(Data!$A$1,$C$36-A322,0,1,1)</f>
        <v>46106</v>
      </c>
      <c r="D322" s="5">
        <f ca="1">_xlfn.XLOOKUP(C322,Data!$A:$A,Data!$I:$I)</f>
        <v>0</v>
      </c>
      <c r="E322" s="5">
        <f ca="1">$E$36+$F$36*_xlfn.XLOOKUP(C322,Data!$A:$A,Data!$F:$F)</f>
        <v>3.84133819157582E-3</v>
      </c>
      <c r="F322" s="5">
        <f t="shared" ca="1" si="58"/>
        <v>-3.84133819157582E-3</v>
      </c>
      <c r="G322" s="13">
        <f t="shared" ca="1" si="59"/>
        <v>-0.20645392695809545</v>
      </c>
      <c r="H322" t="str">
        <f t="shared" ca="1" si="60"/>
        <v>No</v>
      </c>
      <c r="I322" s="5">
        <f t="shared" ca="1" si="61"/>
        <v>-1.7825418236001811E-2</v>
      </c>
    </row>
    <row r="323" spans="1:9" x14ac:dyDescent="0.2">
      <c r="A323">
        <v>-8</v>
      </c>
      <c r="B323" t="str">
        <f t="shared" ca="1" si="57"/>
        <v>Tue</v>
      </c>
      <c r="C323" s="2">
        <f ca="1">OFFSET(Data!$A$1,$C$36-A323,0,1,1)</f>
        <v>46105</v>
      </c>
      <c r="D323" s="5">
        <f ca="1">_xlfn.XLOOKUP(C323,Data!$A:$A,Data!$I:$I)</f>
        <v>-9.8379629629629095E-3</v>
      </c>
      <c r="E323" s="5">
        <f ca="1">$E$36+$F$36*_xlfn.XLOOKUP(C323,Data!$A:$A,Data!$F:$F)</f>
        <v>-3.703316599352724E-3</v>
      </c>
      <c r="F323" s="5">
        <f t="shared" ca="1" si="58"/>
        <v>-6.1346463636101859E-3</v>
      </c>
      <c r="G323" s="13">
        <f t="shared" ca="1" si="59"/>
        <v>-0.32970849456682749</v>
      </c>
      <c r="H323" t="str">
        <f t="shared" ca="1" si="60"/>
        <v>No</v>
      </c>
      <c r="I323" s="5">
        <f t="shared" ca="1" si="61"/>
        <v>-1.403800476827588E-2</v>
      </c>
    </row>
    <row r="324" spans="1:9" x14ac:dyDescent="0.2">
      <c r="A324">
        <v>-9</v>
      </c>
      <c r="B324" t="str">
        <f t="shared" ca="1" si="57"/>
        <v>Mon</v>
      </c>
      <c r="C324" s="2">
        <f ca="1">OFFSET(Data!$A$1,$C$36-A324,0,1,1)</f>
        <v>46104</v>
      </c>
      <c r="D324" s="5">
        <f ca="1">_xlfn.XLOOKUP(C324,Data!$A:$A,Data!$I:$I)</f>
        <v>0</v>
      </c>
      <c r="E324" s="5">
        <f ca="1">$E$36+$F$36*_xlfn.XLOOKUP(C324,Data!$A:$A,Data!$F:$F)</f>
        <v>-1.0207328089900498E-3</v>
      </c>
      <c r="F324" s="5">
        <f t="shared" ca="1" si="58"/>
        <v>1.0207328089900498E-3</v>
      </c>
      <c r="G324" s="13">
        <f t="shared" ca="1" si="59"/>
        <v>5.4859605242024906E-2</v>
      </c>
      <c r="H324" t="str">
        <f t="shared" ca="1" si="60"/>
        <v>No</v>
      </c>
      <c r="I324" s="5">
        <f t="shared" ca="1" si="61"/>
        <v>-7.952141983568084E-3</v>
      </c>
    </row>
    <row r="325" spans="1:9" x14ac:dyDescent="0.2">
      <c r="A325">
        <v>-10</v>
      </c>
      <c r="B325" t="str">
        <f t="shared" ca="1" si="57"/>
        <v>Fri</v>
      </c>
      <c r="C325" s="2">
        <f ca="1">OFFSET(Data!$A$1,$C$36-A325,0,1,1)</f>
        <v>46101</v>
      </c>
      <c r="D325" s="5">
        <f ca="1">_xlfn.XLOOKUP(C325,Data!$A:$A,Data!$I:$I)</f>
        <v>-7.1818442976155916E-3</v>
      </c>
      <c r="E325" s="5">
        <f ca="1">$E$36+$F$36*_xlfn.XLOOKUP(C325,Data!$A:$A,Data!$F:$F)</f>
        <v>1.7818809265154529E-3</v>
      </c>
      <c r="F325" s="5">
        <f t="shared" ca="1" si="58"/>
        <v>-8.9637252241310441E-3</v>
      </c>
      <c r="G325" s="13">
        <f t="shared" ca="1" si="59"/>
        <v>-0.48175822601446711</v>
      </c>
      <c r="H325" t="str">
        <f t="shared" ca="1" si="60"/>
        <v>No</v>
      </c>
      <c r="I325" s="5">
        <f ca="1">F325</f>
        <v>-8.9637252241310441E-3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570B0-EF16-864D-9A8A-D8189AF01FFF}">
  <dimension ref="A1:BG717"/>
  <sheetViews>
    <sheetView topLeftCell="AO1" zoomScale="75" workbookViewId="0">
      <selection activeCell="BB13" sqref="BB13"/>
    </sheetView>
  </sheetViews>
  <sheetFormatPr baseColWidth="10" defaultRowHeight="16" x14ac:dyDescent="0.2"/>
  <cols>
    <col min="1" max="1" width="11.6640625" bestFit="1" customWidth="1"/>
    <col min="8" max="8" width="35" bestFit="1" customWidth="1"/>
    <col min="9" max="9" width="11" bestFit="1" customWidth="1"/>
    <col min="42" max="43" width="11.6640625" bestFit="1" customWidth="1"/>
  </cols>
  <sheetData>
    <row r="1" spans="1:59" ht="18" x14ac:dyDescent="0.25">
      <c r="A1" s="7" t="s">
        <v>0</v>
      </c>
      <c r="B1" s="7" t="s">
        <v>63</v>
      </c>
      <c r="C1" s="7" t="s">
        <v>64</v>
      </c>
      <c r="D1" s="7" t="s">
        <v>65</v>
      </c>
      <c r="E1" s="7" t="s">
        <v>66</v>
      </c>
      <c r="G1" s="8" t="s">
        <v>62</v>
      </c>
      <c r="AS1" s="9" t="s">
        <v>73</v>
      </c>
      <c r="BA1" s="9" t="s">
        <v>79</v>
      </c>
    </row>
    <row r="2" spans="1:59" x14ac:dyDescent="0.2">
      <c r="A2" s="2">
        <f>Data!A2</f>
        <v>46142</v>
      </c>
      <c r="B2" s="5">
        <f>Data!F2</f>
        <v>3.431963639737301E-4</v>
      </c>
      <c r="C2" s="5">
        <f>Data!G2</f>
        <v>2.7285129604366354E-3</v>
      </c>
      <c r="D2" s="5">
        <f>Data!H2</f>
        <v>-6.4935064935067732E-4</v>
      </c>
      <c r="E2" s="5">
        <f>Data!I2</f>
        <v>-4.1549295774647832E-2</v>
      </c>
      <c r="G2" s="3" t="s">
        <v>67</v>
      </c>
      <c r="H2">
        <v>1</v>
      </c>
      <c r="I2">
        <v>1</v>
      </c>
      <c r="J2">
        <v>1</v>
      </c>
      <c r="K2">
        <v>2</v>
      </c>
      <c r="L2">
        <v>2</v>
      </c>
      <c r="M2">
        <v>2</v>
      </c>
      <c r="N2">
        <v>3</v>
      </c>
      <c r="O2">
        <v>3</v>
      </c>
      <c r="P2">
        <v>3</v>
      </c>
      <c r="Q2">
        <v>4</v>
      </c>
      <c r="R2">
        <v>4</v>
      </c>
      <c r="S2">
        <v>4</v>
      </c>
      <c r="T2">
        <v>5</v>
      </c>
      <c r="U2">
        <v>5</v>
      </c>
      <c r="V2">
        <v>5</v>
      </c>
      <c r="W2">
        <v>6</v>
      </c>
      <c r="X2">
        <v>6</v>
      </c>
      <c r="Y2">
        <v>6</v>
      </c>
      <c r="Z2">
        <v>7</v>
      </c>
      <c r="AA2">
        <v>7</v>
      </c>
      <c r="AB2">
        <v>7</v>
      </c>
      <c r="AC2">
        <v>8</v>
      </c>
      <c r="AD2">
        <v>8</v>
      </c>
      <c r="AE2">
        <v>8</v>
      </c>
      <c r="AF2">
        <v>9</v>
      </c>
      <c r="AG2">
        <v>9</v>
      </c>
      <c r="AH2">
        <v>9</v>
      </c>
      <c r="AI2">
        <v>10</v>
      </c>
      <c r="AJ2">
        <v>10</v>
      </c>
      <c r="AK2">
        <v>10</v>
      </c>
      <c r="AL2">
        <v>11</v>
      </c>
      <c r="AM2">
        <v>11</v>
      </c>
      <c r="AN2">
        <v>11</v>
      </c>
      <c r="AO2">
        <v>12</v>
      </c>
      <c r="AP2">
        <v>12</v>
      </c>
      <c r="AQ2">
        <v>12</v>
      </c>
      <c r="AS2" s="12" t="s">
        <v>42</v>
      </c>
      <c r="AT2" s="12" t="s">
        <v>74</v>
      </c>
      <c r="AU2" s="12" t="s">
        <v>75</v>
      </c>
      <c r="AV2" s="12" t="s">
        <v>76</v>
      </c>
      <c r="AW2" s="12" t="s">
        <v>48</v>
      </c>
      <c r="AX2" s="12" t="s">
        <v>77</v>
      </c>
      <c r="AY2" s="12" t="s">
        <v>78</v>
      </c>
      <c r="BA2" s="12" t="s">
        <v>42</v>
      </c>
      <c r="BB2" s="12" t="s">
        <v>74</v>
      </c>
      <c r="BC2" s="12" t="s">
        <v>75</v>
      </c>
      <c r="BD2" s="12" t="s">
        <v>76</v>
      </c>
      <c r="BE2" s="12" t="s">
        <v>48</v>
      </c>
      <c r="BF2" s="12" t="s">
        <v>77</v>
      </c>
      <c r="BG2" s="12" t="s">
        <v>78</v>
      </c>
    </row>
    <row r="3" spans="1:59" x14ac:dyDescent="0.2">
      <c r="A3" s="2">
        <f>Data!A3</f>
        <v>46141</v>
      </c>
      <c r="B3" s="5">
        <f>Data!F3</f>
        <v>1.2818766410980231E-2</v>
      </c>
      <c r="C3" s="5">
        <f>Data!G3</f>
        <v>1.366120218579292E-3</v>
      </c>
      <c r="D3" s="5">
        <f>Data!H3</f>
        <v>0</v>
      </c>
      <c r="E3" s="5">
        <f>Data!I3</f>
        <v>-1.0452961672473893E-2</v>
      </c>
      <c r="G3" s="3" t="s">
        <v>68</v>
      </c>
      <c r="H3" s="2">
        <f>Fattal!B25</f>
        <v>45207</v>
      </c>
      <c r="I3" s="2">
        <f>Isrotel!B25</f>
        <v>45207</v>
      </c>
      <c r="J3" s="2">
        <f>Dan!B25</f>
        <v>45207</v>
      </c>
      <c r="K3" s="2">
        <f>Fattal!B26</f>
        <v>45252</v>
      </c>
      <c r="L3" s="2">
        <f>Isrotel!B26</f>
        <v>45252</v>
      </c>
      <c r="M3" s="2">
        <f>Dan!B26</f>
        <v>45252</v>
      </c>
      <c r="N3" s="2">
        <f>Fattal!B27</f>
        <v>45396</v>
      </c>
      <c r="O3" s="2">
        <f>Isrotel!B27</f>
        <v>45396</v>
      </c>
      <c r="P3" s="2">
        <f>Dan!B27</f>
        <v>45396</v>
      </c>
      <c r="Q3" s="2">
        <f>Fattal!B28</f>
        <v>45504</v>
      </c>
      <c r="R3" s="2">
        <f>Isrotel!B28</f>
        <v>45504</v>
      </c>
      <c r="S3" s="2">
        <f>Dan!B28</f>
        <v>45504</v>
      </c>
      <c r="T3" s="2">
        <f>Fattal!B29</f>
        <v>45571</v>
      </c>
      <c r="U3" s="2">
        <f>Isrotel!B29</f>
        <v>45571</v>
      </c>
      <c r="V3" s="2">
        <f>Dan!B29</f>
        <v>45571</v>
      </c>
      <c r="W3" s="2">
        <f>Fattal!B30</f>
        <v>45623</v>
      </c>
      <c r="X3" s="2">
        <f>Isrotel!B30</f>
        <v>45623</v>
      </c>
      <c r="Y3" s="2">
        <f>Dan!B30</f>
        <v>45623</v>
      </c>
      <c r="Z3" s="2">
        <f>Fattal!B31</f>
        <v>45672</v>
      </c>
      <c r="AA3" s="2">
        <f>Isrotel!B31</f>
        <v>45672</v>
      </c>
      <c r="AB3" s="2">
        <f>Dan!B31</f>
        <v>45672</v>
      </c>
      <c r="AC3" s="2">
        <f>Fattal!B32</f>
        <v>45789</v>
      </c>
      <c r="AD3" s="2">
        <f>Isrotel!B32</f>
        <v>45789</v>
      </c>
      <c r="AE3" s="2">
        <f>Dan!B32</f>
        <v>45789</v>
      </c>
      <c r="AF3" s="2">
        <f>Fattal!B33</f>
        <v>45823</v>
      </c>
      <c r="AG3" s="2">
        <f>Isrotel!B33</f>
        <v>45823</v>
      </c>
      <c r="AH3" s="2">
        <f>Dan!B33</f>
        <v>45823</v>
      </c>
      <c r="AI3" s="2">
        <f>Fattal!B34</f>
        <v>45939</v>
      </c>
      <c r="AJ3" s="2">
        <f>Isrotel!B34</f>
        <v>45939</v>
      </c>
      <c r="AK3" s="2">
        <f>Dan!B34</f>
        <v>45939</v>
      </c>
      <c r="AL3" s="2">
        <f>Fattal!B35</f>
        <v>46083</v>
      </c>
      <c r="AM3" s="2">
        <f>Isrotel!B35</f>
        <v>46083</v>
      </c>
      <c r="AN3" s="2">
        <f>Dan!B35</f>
        <v>46083</v>
      </c>
      <c r="AO3" s="2">
        <f>Fattal!B36</f>
        <v>46121</v>
      </c>
      <c r="AP3" s="2">
        <f>Isrotel!B36</f>
        <v>46121</v>
      </c>
      <c r="AQ3" s="2">
        <f>Dan!B36</f>
        <v>46121</v>
      </c>
      <c r="AS3">
        <v>10</v>
      </c>
      <c r="AT3" s="5">
        <f t="shared" ref="AT3:AT23" ca="1" si="0">AVERAGEIF($H$5:$AQ$5,"+",$H13:$AQ13)</f>
        <v>7.2230142864844289E-3</v>
      </c>
      <c r="AU3" s="10" cm="1">
        <f t="array" aca="1" ref="AU3" ca="1">SQRT(SUMPRODUCT(($H$5:$AQ$5="+")*($H13:$AQ13-AT3)^2)/(AY3-1))/SQRT(AY3)</f>
        <v>3.2188251508589697E-3</v>
      </c>
      <c r="AV3" s="13">
        <f t="shared" ref="AV3:AV23" ca="1" si="1">AT3/AU3</f>
        <v>2.2439908811315545</v>
      </c>
      <c r="AW3" t="str">
        <f t="shared" ref="AW3:AW23" ca="1" si="2">IF(ABS(AV3)&lt;1.96,"No","Yes")</f>
        <v>Yes</v>
      </c>
      <c r="AX3" s="5">
        <f t="shared" ref="AX3:AX22" ca="1" si="3">(1+AX4)*(1+AT3)-1</f>
        <v>2.7065876287075685E-2</v>
      </c>
      <c r="AY3">
        <f t="shared" ref="AY3:AY23" si="4">COUNTIF($H$5:$AQ$5,"+")</f>
        <v>18</v>
      </c>
      <c r="BA3">
        <v>10</v>
      </c>
      <c r="BB3" s="5">
        <f t="shared" ref="BB3:BB23" ca="1" si="5">AVERAGEIF($H$5:$AQ$5,"-",$H13:$AQ13)</f>
        <v>3.3846766144188471E-3</v>
      </c>
      <c r="BC3" s="10" cm="1">
        <f t="array" aca="1" ref="BC3" ca="1">SQRT(SUMPRODUCT(($H$5:$AQ$5="-")*($H13:$AQ13-BB3)^2)/(BG3-1))/SQRT(BG3)</f>
        <v>4.3448473374568704E-3</v>
      </c>
      <c r="BD3" s="13">
        <f t="shared" ref="BD3:BD23" ca="1" si="6">BB3/BC3</f>
        <v>0.77900933025646157</v>
      </c>
      <c r="BE3" t="str">
        <f t="shared" ref="BE3:BE23" ca="1" si="7">IF(ABS(BD3)&lt;1.96,"No","Yes")</f>
        <v>No</v>
      </c>
      <c r="BF3" s="5">
        <f t="shared" ref="BF3:BF22" ca="1" si="8">(1+BF4)*(1+BB3)-1</f>
        <v>-1.7506626787104351E-2</v>
      </c>
      <c r="BG3">
        <f t="shared" ref="BG3:BG23" si="9">COUNTIF($H$5:$AQ$5,"-")</f>
        <v>18</v>
      </c>
    </row>
    <row r="4" spans="1:59" x14ac:dyDescent="0.2">
      <c r="A4" s="2">
        <f>Data!A4</f>
        <v>46140</v>
      </c>
      <c r="B4" s="5">
        <f>Data!F4</f>
        <v>-3.1139373279139848E-3</v>
      </c>
      <c r="C4" s="5">
        <f>Data!G4</f>
        <v>-3.4036759700476482E-3</v>
      </c>
      <c r="D4" s="5">
        <f>Data!H4</f>
        <v>-1.2820512820512775E-2</v>
      </c>
      <c r="E4" s="5">
        <f>Data!I4</f>
        <v>-1.0344827586206917E-2</v>
      </c>
      <c r="G4" s="3" t="s">
        <v>69</v>
      </c>
      <c r="H4" t="s">
        <v>2</v>
      </c>
      <c r="I4" t="s">
        <v>3</v>
      </c>
      <c r="J4" t="s">
        <v>4</v>
      </c>
      <c r="K4" t="s">
        <v>2</v>
      </c>
      <c r="L4" t="s">
        <v>3</v>
      </c>
      <c r="M4" t="s">
        <v>4</v>
      </c>
      <c r="N4" t="s">
        <v>2</v>
      </c>
      <c r="O4" t="s">
        <v>3</v>
      </c>
      <c r="P4" t="s">
        <v>4</v>
      </c>
      <c r="Q4" t="s">
        <v>2</v>
      </c>
      <c r="R4" t="s">
        <v>3</v>
      </c>
      <c r="S4" t="s">
        <v>4</v>
      </c>
      <c r="T4" t="s">
        <v>2</v>
      </c>
      <c r="U4" t="s">
        <v>3</v>
      </c>
      <c r="V4" t="s">
        <v>4</v>
      </c>
      <c r="W4" t="s">
        <v>2</v>
      </c>
      <c r="X4" t="s">
        <v>3</v>
      </c>
      <c r="Y4" t="s">
        <v>4</v>
      </c>
      <c r="Z4" t="s">
        <v>2</v>
      </c>
      <c r="AA4" t="s">
        <v>3</v>
      </c>
      <c r="AB4" t="s">
        <v>4</v>
      </c>
      <c r="AC4" t="s">
        <v>2</v>
      </c>
      <c r="AD4" t="s">
        <v>3</v>
      </c>
      <c r="AE4" t="s">
        <v>4</v>
      </c>
      <c r="AF4" t="s">
        <v>2</v>
      </c>
      <c r="AG4" t="s">
        <v>3</v>
      </c>
      <c r="AH4" t="s">
        <v>4</v>
      </c>
      <c r="AI4" t="s">
        <v>2</v>
      </c>
      <c r="AJ4" t="s">
        <v>3</v>
      </c>
      <c r="AK4" t="s">
        <v>4</v>
      </c>
      <c r="AL4" t="s">
        <v>2</v>
      </c>
      <c r="AM4" t="s">
        <v>3</v>
      </c>
      <c r="AN4" t="s">
        <v>4</v>
      </c>
      <c r="AO4" t="s">
        <v>2</v>
      </c>
      <c r="AP4" t="s">
        <v>3</v>
      </c>
      <c r="AQ4" t="s">
        <v>4</v>
      </c>
      <c r="AS4">
        <v>9</v>
      </c>
      <c r="AT4" s="5">
        <f t="shared" ca="1" si="0"/>
        <v>1.5779649532258054E-3</v>
      </c>
      <c r="AU4" s="10" cm="1">
        <f t="array" aca="1" ref="AU4" ca="1">SQRT(SUMPRODUCT(($H$5:$AQ$5="+")*($H14:$AQ14-AT4)^2)/(AY4-1))/SQRT(AY4)</f>
        <v>4.7197801218629969E-3</v>
      </c>
      <c r="AV4" s="13">
        <f t="shared" ca="1" si="1"/>
        <v>0.33433018328890907</v>
      </c>
      <c r="AW4" t="str">
        <f t="shared" ca="1" si="2"/>
        <v>No</v>
      </c>
      <c r="AX4" s="5">
        <f t="shared" ca="1" si="3"/>
        <v>1.9700564541456522E-2</v>
      </c>
      <c r="AY4">
        <f t="shared" si="4"/>
        <v>18</v>
      </c>
      <c r="BA4">
        <v>9</v>
      </c>
      <c r="BB4" s="5">
        <f t="shared" ca="1" si="5"/>
        <v>-2.6333132688215346E-4</v>
      </c>
      <c r="BC4" s="10" cm="1">
        <f t="array" aca="1" ref="BC4" ca="1">SQRT(SUMPRODUCT(($H$5:$AQ$5="-")*($H14:$AQ14-BB4)^2)/(BG4-1))/SQRT(BG4)</f>
        <v>3.9345218977825738E-3</v>
      </c>
      <c r="BD4" s="13">
        <f t="shared" ca="1" si="6"/>
        <v>-6.692841817211953E-2</v>
      </c>
      <c r="BE4" t="str">
        <f t="shared" ca="1" si="7"/>
        <v>No</v>
      </c>
      <c r="BF4" s="5">
        <f t="shared" ca="1" si="8"/>
        <v>-2.0820831619647318E-2</v>
      </c>
      <c r="BG4">
        <f t="shared" si="9"/>
        <v>18</v>
      </c>
    </row>
    <row r="5" spans="1:59" x14ac:dyDescent="0.2">
      <c r="A5" s="2">
        <f>Data!A5</f>
        <v>46139</v>
      </c>
      <c r="B5" s="5">
        <f>Data!F5</f>
        <v>-8.0242364693361434E-4</v>
      </c>
      <c r="C5" s="5">
        <f>Data!G5</f>
        <v>3.5236081747709758E-2</v>
      </c>
      <c r="D5" s="5">
        <f>Data!H5</f>
        <v>1.1017498379779722E-2</v>
      </c>
      <c r="E5" s="5">
        <f>Data!I5</f>
        <v>0</v>
      </c>
      <c r="G5" s="3" t="s">
        <v>17</v>
      </c>
      <c r="H5" s="14" t="s">
        <v>19</v>
      </c>
      <c r="I5" s="14" t="s">
        <v>19</v>
      </c>
      <c r="J5" s="14" t="s">
        <v>19</v>
      </c>
      <c r="K5" s="14" t="s">
        <v>21</v>
      </c>
      <c r="L5" s="14" t="s">
        <v>21</v>
      </c>
      <c r="M5" s="14" t="s">
        <v>21</v>
      </c>
      <c r="N5" s="14" t="s">
        <v>19</v>
      </c>
      <c r="O5" s="14" t="s">
        <v>19</v>
      </c>
      <c r="P5" s="14" t="s">
        <v>19</v>
      </c>
      <c r="Q5" s="14" t="s">
        <v>19</v>
      </c>
      <c r="R5" s="14" t="s">
        <v>19</v>
      </c>
      <c r="S5" s="14" t="s">
        <v>19</v>
      </c>
      <c r="T5" s="14" t="s">
        <v>19</v>
      </c>
      <c r="U5" s="14" t="s">
        <v>19</v>
      </c>
      <c r="V5" s="14" t="s">
        <v>19</v>
      </c>
      <c r="W5" s="14" t="s">
        <v>21</v>
      </c>
      <c r="X5" s="14" t="s">
        <v>21</v>
      </c>
      <c r="Y5" s="14" t="s">
        <v>21</v>
      </c>
      <c r="Z5" s="14" t="s">
        <v>21</v>
      </c>
      <c r="AA5" s="14" t="s">
        <v>21</v>
      </c>
      <c r="AB5" s="14" t="s">
        <v>21</v>
      </c>
      <c r="AC5" s="14" t="s">
        <v>21</v>
      </c>
      <c r="AD5" s="14" t="s">
        <v>21</v>
      </c>
      <c r="AE5" s="14" t="s">
        <v>21</v>
      </c>
      <c r="AF5" s="14" t="s">
        <v>19</v>
      </c>
      <c r="AG5" s="14" t="s">
        <v>19</v>
      </c>
      <c r="AH5" s="14" t="s">
        <v>19</v>
      </c>
      <c r="AI5" s="14" t="s">
        <v>21</v>
      </c>
      <c r="AJ5" s="14" t="s">
        <v>21</v>
      </c>
      <c r="AK5" s="14" t="s">
        <v>21</v>
      </c>
      <c r="AL5" s="14" t="s">
        <v>19</v>
      </c>
      <c r="AM5" s="14" t="s">
        <v>19</v>
      </c>
      <c r="AN5" s="14" t="s">
        <v>19</v>
      </c>
      <c r="AO5" s="14" t="s">
        <v>21</v>
      </c>
      <c r="AP5" s="14" t="s">
        <v>21</v>
      </c>
      <c r="AQ5" s="14" t="s">
        <v>21</v>
      </c>
      <c r="AS5">
        <v>8</v>
      </c>
      <c r="AT5" s="5">
        <f t="shared" ca="1" si="0"/>
        <v>6.2425793459826816E-3</v>
      </c>
      <c r="AU5" s="10" cm="1">
        <f t="array" aca="1" ref="AU5" ca="1">SQRT(SUMPRODUCT(($H$5:$AQ$5="+")*($H15:$AQ15-AT5)^2)/(AY5-1))/SQRT(AY5)</f>
        <v>3.080146669535259E-3</v>
      </c>
      <c r="AV5" s="13">
        <f t="shared" ca="1" si="1"/>
        <v>2.0267149638444262</v>
      </c>
      <c r="AW5" t="str">
        <f t="shared" ca="1" si="2"/>
        <v>Yes</v>
      </c>
      <c r="AX5" s="5">
        <f t="shared" ca="1" si="3"/>
        <v>1.8094047814916969E-2</v>
      </c>
      <c r="AY5">
        <f t="shared" si="4"/>
        <v>18</v>
      </c>
      <c r="BA5">
        <v>8</v>
      </c>
      <c r="BB5" s="5">
        <f t="shared" ca="1" si="5"/>
        <v>4.8856838899851741E-3</v>
      </c>
      <c r="BC5" s="10" cm="1">
        <f t="array" aca="1" ref="BC5" ca="1">SQRT(SUMPRODUCT(($H$5:$AQ$5="-")*($H15:$AQ15-BB5)^2)/(BG5-1))/SQRT(BG5)</f>
        <v>4.5197069915386698E-3</v>
      </c>
      <c r="BD5" s="13">
        <f t="shared" ca="1" si="6"/>
        <v>1.0809735894675581</v>
      </c>
      <c r="BE5" t="str">
        <f t="shared" ca="1" si="7"/>
        <v>No</v>
      </c>
      <c r="BF5" s="5">
        <f t="shared" ca="1" si="8"/>
        <v>-2.0562915152496863E-2</v>
      </c>
      <c r="BG5">
        <f t="shared" si="9"/>
        <v>18</v>
      </c>
    </row>
    <row r="6" spans="1:59" x14ac:dyDescent="0.2">
      <c r="A6" s="2">
        <f>Data!A6</f>
        <v>46136</v>
      </c>
      <c r="B6" s="5">
        <f>Data!F6</f>
        <v>-1.2361225032058276E-2</v>
      </c>
      <c r="C6" s="5">
        <f>Data!G6</f>
        <v>-1.0460251046025104E-2</v>
      </c>
      <c r="D6" s="5">
        <f>Data!H6</f>
        <v>-1.9071837253655466E-2</v>
      </c>
      <c r="E6" s="5">
        <f>Data!I6</f>
        <v>1.7271157167531026E-3</v>
      </c>
      <c r="AS6">
        <v>7</v>
      </c>
      <c r="AT6" s="5">
        <f t="shared" ca="1" si="0"/>
        <v>-8.7016891117571945E-4</v>
      </c>
      <c r="AU6" s="10" cm="1">
        <f t="array" aca="1" ref="AU6" ca="1">SQRT(SUMPRODUCT(($H$5:$AQ$5="+")*($H16:$AQ16-AT6)^2)/(AY6-1))/SQRT(AY6)</f>
        <v>3.3700091300651568E-3</v>
      </c>
      <c r="AV6" s="13">
        <f t="shared" ca="1" si="1"/>
        <v>-0.25820965985302696</v>
      </c>
      <c r="AW6" t="str">
        <f t="shared" ca="1" si="2"/>
        <v>No</v>
      </c>
      <c r="AX6" s="5">
        <f t="shared" ca="1" si="3"/>
        <v>1.177794372072527E-2</v>
      </c>
      <c r="AY6">
        <f t="shared" si="4"/>
        <v>18</v>
      </c>
      <c r="BA6">
        <v>7</v>
      </c>
      <c r="BB6" s="5">
        <f t="shared" ca="1" si="5"/>
        <v>3.3629404267741187E-3</v>
      </c>
      <c r="BC6" s="10" cm="1">
        <f t="array" aca="1" ref="BC6" ca="1">SQRT(SUMPRODUCT(($H$5:$AQ$5="-")*($H16:$AQ16-BB6)^2)/(BG6-1))/SQRT(BG6)</f>
        <v>5.8829281250813567E-3</v>
      </c>
      <c r="BD6" s="13">
        <f t="shared" ca="1" si="6"/>
        <v>0.57164397648111864</v>
      </c>
      <c r="BE6" t="str">
        <f t="shared" ca="1" si="7"/>
        <v>No</v>
      </c>
      <c r="BF6" s="5">
        <f t="shared" ca="1" si="8"/>
        <v>-2.532486973440462E-2</v>
      </c>
      <c r="BG6">
        <f t="shared" si="9"/>
        <v>18</v>
      </c>
    </row>
    <row r="7" spans="1:59" x14ac:dyDescent="0.2">
      <c r="A7" s="2">
        <f>Data!A7</f>
        <v>46135</v>
      </c>
      <c r="B7" s="5">
        <f>Data!F7</f>
        <v>4.159089806310412E-5</v>
      </c>
      <c r="C7" s="5">
        <f>Data!G7</f>
        <v>1.9914651493598834E-2</v>
      </c>
      <c r="D7" s="5">
        <f>Data!H7</f>
        <v>-6.9444444444444198E-3</v>
      </c>
      <c r="E7" s="5">
        <f>Data!I7</f>
        <v>-6.9036934760091651E-4</v>
      </c>
      <c r="G7" s="3" t="s">
        <v>34</v>
      </c>
      <c r="H7">
        <f>Fattal!C25</f>
        <v>630</v>
      </c>
      <c r="I7">
        <f>Isrotel!C25</f>
        <v>630</v>
      </c>
      <c r="J7">
        <f>Dan!C25</f>
        <v>630</v>
      </c>
      <c r="K7">
        <f>Fattal!C26</f>
        <v>597</v>
      </c>
      <c r="L7">
        <f>Isrotel!C26</f>
        <v>597</v>
      </c>
      <c r="M7">
        <f>Dan!C26</f>
        <v>597</v>
      </c>
      <c r="N7">
        <f>Fattal!C27</f>
        <v>497</v>
      </c>
      <c r="O7">
        <f>Isrotel!C27</f>
        <v>497</v>
      </c>
      <c r="P7">
        <f>Dan!C27</f>
        <v>497</v>
      </c>
      <c r="Q7">
        <f>Fattal!C28</f>
        <v>427</v>
      </c>
      <c r="R7">
        <f>Isrotel!C28</f>
        <v>427</v>
      </c>
      <c r="S7">
        <f>Dan!C28</f>
        <v>427</v>
      </c>
      <c r="T7">
        <f>Fattal!C29</f>
        <v>383</v>
      </c>
      <c r="U7">
        <f>Isrotel!C29</f>
        <v>383</v>
      </c>
      <c r="V7">
        <f>Dan!C29</f>
        <v>383</v>
      </c>
      <c r="W7">
        <f>Fattal!C30</f>
        <v>349</v>
      </c>
      <c r="X7">
        <f>Isrotel!C30</f>
        <v>349</v>
      </c>
      <c r="Y7">
        <f>Dan!C30</f>
        <v>349</v>
      </c>
      <c r="Z7">
        <f>Fattal!C31</f>
        <v>314</v>
      </c>
      <c r="AA7">
        <f>Isrotel!C31</f>
        <v>314</v>
      </c>
      <c r="AB7">
        <f>Dan!C31</f>
        <v>314</v>
      </c>
      <c r="AC7">
        <f>Fattal!C32</f>
        <v>234</v>
      </c>
      <c r="AD7">
        <f>Isrotel!C32</f>
        <v>234</v>
      </c>
      <c r="AE7">
        <f>Dan!C32</f>
        <v>234</v>
      </c>
      <c r="AF7">
        <f>Fattal!C33</f>
        <v>212</v>
      </c>
      <c r="AG7">
        <f>Isrotel!C33</f>
        <v>212</v>
      </c>
      <c r="AH7">
        <f>Dan!C33</f>
        <v>212</v>
      </c>
      <c r="AI7">
        <f>Fattal!C34</f>
        <v>136</v>
      </c>
      <c r="AJ7">
        <f>Isrotel!C34</f>
        <v>136</v>
      </c>
      <c r="AK7">
        <f>Dan!C34</f>
        <v>136</v>
      </c>
      <c r="AL7">
        <f>Fattal!C35</f>
        <v>37</v>
      </c>
      <c r="AM7">
        <f>Isrotel!C35</f>
        <v>37</v>
      </c>
      <c r="AN7">
        <f>Dan!C35</f>
        <v>37</v>
      </c>
      <c r="AO7">
        <f>Fattal!C36</f>
        <v>14</v>
      </c>
      <c r="AP7">
        <f>Isrotel!C36</f>
        <v>14</v>
      </c>
      <c r="AQ7">
        <f>Dan!C36</f>
        <v>14</v>
      </c>
      <c r="AS7">
        <v>6</v>
      </c>
      <c r="AT7" s="5">
        <f t="shared" ca="1" si="0"/>
        <v>-6.3592463198447718E-4</v>
      </c>
      <c r="AU7" s="10" cm="1">
        <f t="array" aca="1" ref="AU7" ca="1">SQRT(SUMPRODUCT(($H$5:$AQ$5="+")*($H17:$AQ17-AT7)^2)/(AY7-1))/SQRT(AY7)</f>
        <v>5.2787131373599489E-3</v>
      </c>
      <c r="AV7" s="13">
        <f t="shared" ca="1" si="1"/>
        <v>-0.1204696325480803</v>
      </c>
      <c r="AW7" t="str">
        <f t="shared" ca="1" si="2"/>
        <v>No</v>
      </c>
      <c r="AX7" s="5">
        <f t="shared" ca="1" si="3"/>
        <v>1.2659128211713444E-2</v>
      </c>
      <c r="AY7">
        <f t="shared" si="4"/>
        <v>18</v>
      </c>
      <c r="BA7">
        <v>6</v>
      </c>
      <c r="BB7" s="5">
        <f t="shared" ca="1" si="5"/>
        <v>-4.3954892566890162E-3</v>
      </c>
      <c r="BC7" s="10" cm="1">
        <f t="array" aca="1" ref="BC7" ca="1">SQRT(SUMPRODUCT(($H$5:$AQ$5="-")*($H17:$AQ17-BB7)^2)/(BG7-1))/SQRT(BG7)</f>
        <v>4.521327649343339E-3</v>
      </c>
      <c r="BD7" s="13">
        <f t="shared" ca="1" si="6"/>
        <v>-0.97216782272512392</v>
      </c>
      <c r="BE7" t="str">
        <f t="shared" ca="1" si="7"/>
        <v>No</v>
      </c>
      <c r="BF7" s="5">
        <f t="shared" ca="1" si="8"/>
        <v>-2.8591658118224395E-2</v>
      </c>
      <c r="BG7">
        <f t="shared" si="9"/>
        <v>18</v>
      </c>
    </row>
    <row r="8" spans="1:59" x14ac:dyDescent="0.2">
      <c r="A8" s="2">
        <f>Data!A8</f>
        <v>46132</v>
      </c>
      <c r="B8" s="5">
        <f>Data!F8</f>
        <v>4.372213700067018E-3</v>
      </c>
      <c r="C8" s="5">
        <f>Data!G8</f>
        <v>1.2968299711815456E-2</v>
      </c>
      <c r="D8" s="5">
        <f>Data!H8</f>
        <v>1.0204081632652962E-2</v>
      </c>
      <c r="E8" s="5">
        <f>Data!I8</f>
        <v>0</v>
      </c>
      <c r="G8" s="3" t="s">
        <v>70</v>
      </c>
      <c r="H8" s="10">
        <f ca="1">Fattal!E25</f>
        <v>2.8642490800503181E-4</v>
      </c>
      <c r="I8" s="10">
        <f ca="1">Isrotel!E25</f>
        <v>-1.211010685407E-3</v>
      </c>
      <c r="J8" s="10">
        <f ca="1">Dan!E25</f>
        <v>-4.9567690553471136E-4</v>
      </c>
      <c r="K8" s="10">
        <f ca="1">Fattal!E26</f>
        <v>1.1347158435413285E-3</v>
      </c>
      <c r="L8" s="10">
        <f ca="1">Isrotel!E26</f>
        <v>-9.835942916420952E-4</v>
      </c>
      <c r="M8" s="10">
        <f ca="1">Dan!E26</f>
        <v>-7.3523555020580343E-4</v>
      </c>
      <c r="N8" s="10">
        <f ca="1">Fattal!E27</f>
        <v>1.1870734965598062E-3</v>
      </c>
      <c r="O8" s="10">
        <f ca="1">Isrotel!E27</f>
        <v>6.793219535985997E-4</v>
      </c>
      <c r="P8" s="10">
        <f ca="1">Dan!E27</f>
        <v>1.8098925539750449E-4</v>
      </c>
      <c r="Q8" s="10">
        <f ca="1">Fattal!E28</f>
        <v>1.2483265091444004E-5</v>
      </c>
      <c r="R8" s="10">
        <f ca="1">Isrotel!E28</f>
        <v>5.7920211038198623E-5</v>
      </c>
      <c r="S8" s="10">
        <f ca="1">Dan!E28</f>
        <v>-1.6159766863276101E-4</v>
      </c>
      <c r="T8" s="10">
        <f ca="1">Fattal!E29</f>
        <v>1.570814254243566E-4</v>
      </c>
      <c r="U8" s="10">
        <f ca="1">Isrotel!E29</f>
        <v>-7.0571050576716628E-5</v>
      </c>
      <c r="V8" s="10">
        <f ca="1">Dan!E29</f>
        <v>-3.0717478947758661E-5</v>
      </c>
      <c r="W8" s="10">
        <f ca="1">Fattal!E30</f>
        <v>-1.4222530783512366E-4</v>
      </c>
      <c r="X8" s="10">
        <f ca="1">Isrotel!E30</f>
        <v>-1.5956978423853948E-4</v>
      </c>
      <c r="Y8" s="10">
        <f ca="1">Dan!E30</f>
        <v>2.4884628149272707E-4</v>
      </c>
      <c r="Z8" s="10">
        <f ca="1">Fattal!E31</f>
        <v>-1.9690886251461613E-4</v>
      </c>
      <c r="AA8" s="10">
        <f ca="1">Isrotel!E31</f>
        <v>1.8442854531771681E-4</v>
      </c>
      <c r="AB8" s="10">
        <f ca="1">Dan!E31</f>
        <v>2.5457800456028931E-4</v>
      </c>
      <c r="AC8" s="10">
        <f ca="1">Fattal!E32</f>
        <v>-7.4675550299921649E-4</v>
      </c>
      <c r="AD8" s="10">
        <f ca="1">Isrotel!E32</f>
        <v>-1.1976949587322937E-3</v>
      </c>
      <c r="AE8" s="10">
        <f ca="1">Dan!E32</f>
        <v>-1.5373290969219818E-4</v>
      </c>
      <c r="AF8" s="10">
        <f ca="1">Fattal!E33</f>
        <v>-3.8242669516412868E-4</v>
      </c>
      <c r="AG8" s="10">
        <f ca="1">Isrotel!E33</f>
        <v>-8.7320991624750799E-4</v>
      </c>
      <c r="AH8" s="10">
        <f ca="1">Dan!E33</f>
        <v>-1.0009683504823541E-4</v>
      </c>
      <c r="AI8" s="10">
        <f ca="1">Fattal!E34</f>
        <v>-8.2260591815581886E-4</v>
      </c>
      <c r="AJ8" s="10">
        <f ca="1">Isrotel!E34</f>
        <v>5.8771904308495921E-4</v>
      </c>
      <c r="AK8" s="10">
        <f ca="1">Dan!E34</f>
        <v>-3.6793552607660221E-4</v>
      </c>
      <c r="AL8" s="10">
        <f ca="1">Fattal!E35</f>
        <v>-9.9985744145034052E-4</v>
      </c>
      <c r="AM8" s="10">
        <f ca="1">Isrotel!E35</f>
        <v>1.198401597354978E-3</v>
      </c>
      <c r="AN8" s="10">
        <f ca="1">Dan!E35</f>
        <v>1.1057310138957166E-3</v>
      </c>
      <c r="AO8" s="10">
        <f ca="1">Fattal!E36</f>
        <v>-9.6423103421411143E-4</v>
      </c>
      <c r="AP8" s="10">
        <f ca="1">Isrotel!E36</f>
        <v>9.2044387398620888E-4</v>
      </c>
      <c r="AQ8" s="10">
        <f ca="1">Dan!E36</f>
        <v>7.6649657837135133E-4</v>
      </c>
      <c r="AS8">
        <v>5</v>
      </c>
      <c r="AT8" s="5">
        <f t="shared" ca="1" si="0"/>
        <v>-6.6526431979798155E-4</v>
      </c>
      <c r="AU8" s="10" cm="1">
        <f t="array" aca="1" ref="AU8" ca="1">SQRT(SUMPRODUCT(($H$5:$AQ$5="+")*($H18:$AQ18-AT8)^2)/(AY8-1))/SQRT(AY8)</f>
        <v>4.1219062044251242E-3</v>
      </c>
      <c r="AV8" s="13">
        <f t="shared" ca="1" si="1"/>
        <v>-0.16139724845843864</v>
      </c>
      <c r="AW8" t="str">
        <f t="shared" ca="1" si="2"/>
        <v>No</v>
      </c>
      <c r="AX8" s="5">
        <f t="shared" ca="1" si="3"/>
        <v>1.3303512875227241E-2</v>
      </c>
      <c r="AY8">
        <f t="shared" si="4"/>
        <v>18</v>
      </c>
      <c r="BA8">
        <v>5</v>
      </c>
      <c r="BB8" s="5">
        <f t="shared" ca="1" si="5"/>
        <v>4.9998820178886669E-4</v>
      </c>
      <c r="BC8" s="10" cm="1">
        <f t="array" aca="1" ref="BC8" ca="1">SQRT(SUMPRODUCT(($H$5:$AQ$5="-")*($H18:$AQ18-BB8)^2)/(BG8-1))/SQRT(BG8)</f>
        <v>2.7146462788035361E-3</v>
      </c>
      <c r="BD8" s="13">
        <f t="shared" ca="1" si="6"/>
        <v>0.18418171298885888</v>
      </c>
      <c r="BE8" t="str">
        <f t="shared" ca="1" si="7"/>
        <v>No</v>
      </c>
      <c r="BF8" s="5">
        <f t="shared" ca="1" si="8"/>
        <v>-2.4302992403550605E-2</v>
      </c>
      <c r="BG8">
        <f t="shared" si="9"/>
        <v>18</v>
      </c>
    </row>
    <row r="9" spans="1:59" x14ac:dyDescent="0.2">
      <c r="A9" s="2">
        <f>Data!A9</f>
        <v>46129</v>
      </c>
      <c r="B9" s="5">
        <f>Data!F9</f>
        <v>1.0591317277496737E-2</v>
      </c>
      <c r="C9" s="5">
        <f>Data!G9</f>
        <v>3.2738095238095344E-2</v>
      </c>
      <c r="D9" s="5">
        <f>Data!H9</f>
        <v>4.2553191489361764E-2</v>
      </c>
      <c r="E9" s="5">
        <f>Data!I9</f>
        <v>5.2047189451769338E-3</v>
      </c>
      <c r="G9" s="3" t="s">
        <v>71</v>
      </c>
      <c r="H9" s="10">
        <f ca="1">Fattal!F25</f>
        <v>1.4028615278337524</v>
      </c>
      <c r="I9" s="10">
        <f ca="1">Isrotel!F25</f>
        <v>0.20242167467609223</v>
      </c>
      <c r="J9" s="10">
        <f ca="1">Dan!F25</f>
        <v>0.11154208127770433</v>
      </c>
      <c r="K9" s="10">
        <f ca="1">Fattal!F26</f>
        <v>1.3515287146880119</v>
      </c>
      <c r="L9" s="10">
        <f ca="1">Isrotel!F26</f>
        <v>0.32767132744187832</v>
      </c>
      <c r="M9" s="10">
        <f ca="1">Dan!F26</f>
        <v>0.22071894480953044</v>
      </c>
      <c r="N9" s="10">
        <f ca="1">Fattal!F27</f>
        <v>1.1217334273267003</v>
      </c>
      <c r="O9" s="10">
        <f ca="1">Isrotel!F27</f>
        <v>0.4361716317300528</v>
      </c>
      <c r="P9" s="10">
        <f ca="1">Dan!F27</f>
        <v>0.23559376814729482</v>
      </c>
      <c r="Q9" s="10">
        <f ca="1">Fattal!F28</f>
        <v>1.1850264402160997</v>
      </c>
      <c r="R9" s="10">
        <f ca="1">Isrotel!F28</f>
        <v>0.52546814201719272</v>
      </c>
      <c r="S9" s="10">
        <f ca="1">Dan!F28</f>
        <v>0.25415525499384817</v>
      </c>
      <c r="T9" s="10">
        <f ca="1">Fattal!F29</f>
        <v>1.2128881294793152</v>
      </c>
      <c r="U9" s="10">
        <f ca="1">Isrotel!F29</f>
        <v>0.67927324895374963</v>
      </c>
      <c r="V9" s="10">
        <f ca="1">Dan!F29</f>
        <v>0.18775613636281613</v>
      </c>
      <c r="W9" s="10">
        <f ca="1">Fattal!F30</f>
        <v>1.285762114103892</v>
      </c>
      <c r="X9" s="10">
        <f ca="1">Isrotel!F30</f>
        <v>0.73853276348458885</v>
      </c>
      <c r="Y9" s="10">
        <f ca="1">Dan!F30</f>
        <v>6.581792120029753E-2</v>
      </c>
      <c r="Z9" s="10">
        <f ca="1">Fattal!F31</f>
        <v>1.2085726701151118</v>
      </c>
      <c r="AA9" s="10">
        <f ca="1">Isrotel!F31</f>
        <v>0.73870749276569092</v>
      </c>
      <c r="AB9" s="10">
        <f ca="1">Dan!F31</f>
        <v>5.1232161689801027E-2</v>
      </c>
      <c r="AC9" s="10">
        <f ca="1">Fattal!F32</f>
        <v>1.1120020118193856</v>
      </c>
      <c r="AD9" s="10">
        <f ca="1">Isrotel!F32</f>
        <v>0.8003972398508814</v>
      </c>
      <c r="AE9" s="10">
        <f ca="1">Dan!F32</f>
        <v>0.17186972545050871</v>
      </c>
      <c r="AF9" s="10">
        <f ca="1">Fattal!F33</f>
        <v>1.119146081869578</v>
      </c>
      <c r="AG9" s="10">
        <f ca="1">Isrotel!F33</f>
        <v>0.87301138030999059</v>
      </c>
      <c r="AH9" s="10">
        <f ca="1">Dan!F33</f>
        <v>0.19999511463399944</v>
      </c>
      <c r="AI9" s="10">
        <f ca="1">Fattal!F34</f>
        <v>1.0944115020309486</v>
      </c>
      <c r="AJ9" s="10">
        <f ca="1">Isrotel!F34</f>
        <v>0.9953578990699018</v>
      </c>
      <c r="AK9" s="10">
        <f ca="1">Dan!F34</f>
        <v>0.45472164644579299</v>
      </c>
      <c r="AL9" s="10">
        <f ca="1">Fattal!F35</f>
        <v>1.0400682269413126</v>
      </c>
      <c r="AM9" s="10">
        <f ca="1">Isrotel!F35</f>
        <v>0.82484742251924714</v>
      </c>
      <c r="AN9" s="10">
        <f ca="1">Dan!F35</f>
        <v>0.43279233158642372</v>
      </c>
      <c r="AO9" s="10">
        <f ca="1">Fattal!F36</f>
        <v>1.0115584922531848</v>
      </c>
      <c r="AP9" s="10">
        <f ca="1">Isrotel!F36</f>
        <v>0.86729297462373089</v>
      </c>
      <c r="AQ9" s="10">
        <f ca="1">Dan!F36</f>
        <v>0.36440499315022462</v>
      </c>
      <c r="AS9">
        <v>4</v>
      </c>
      <c r="AT9" s="5">
        <f t="shared" ca="1" si="0"/>
        <v>6.7027673786432982E-3</v>
      </c>
      <c r="AU9" s="10" cm="1">
        <f t="array" aca="1" ref="AU9" ca="1">SQRT(SUMPRODUCT(($H$5:$AQ$5="+")*($H19:$AQ19-AT9)^2)/(AY9-1))/SQRT(AY9)</f>
        <v>4.2128738040424826E-3</v>
      </c>
      <c r="AV9" s="13">
        <f t="shared" ca="1" si="1"/>
        <v>1.5910202133782472</v>
      </c>
      <c r="AW9" t="str">
        <f t="shared" ca="1" si="2"/>
        <v>No</v>
      </c>
      <c r="AX9" s="5">
        <f t="shared" ca="1" si="3"/>
        <v>1.3978076310454002E-2</v>
      </c>
      <c r="AY9">
        <f t="shared" si="4"/>
        <v>18</v>
      </c>
      <c r="BA9">
        <v>4</v>
      </c>
      <c r="BB9" s="5">
        <f t="shared" ca="1" si="5"/>
        <v>-1.9703497113003569E-3</v>
      </c>
      <c r="BC9" s="10" cm="1">
        <f t="array" aca="1" ref="BC9" ca="1">SQRT(SUMPRODUCT(($H$5:$AQ$5="-")*($H19:$AQ19-BB9)^2)/(BG9-1))/SQRT(BG9)</f>
        <v>4.0259555638737796E-3</v>
      </c>
      <c r="BD9" s="13">
        <f t="shared" ca="1" si="6"/>
        <v>-0.48941168873818464</v>
      </c>
      <c r="BE9" t="str">
        <f t="shared" ca="1" si="7"/>
        <v>No</v>
      </c>
      <c r="BF9" s="5">
        <f t="shared" ca="1" si="8"/>
        <v>-2.4790585605021564E-2</v>
      </c>
      <c r="BG9">
        <f t="shared" si="9"/>
        <v>18</v>
      </c>
    </row>
    <row r="10" spans="1:59" x14ac:dyDescent="0.2">
      <c r="A10" s="2">
        <f>Data!A10</f>
        <v>46128</v>
      </c>
      <c r="B10" s="5">
        <f>Data!F10</f>
        <v>-1.0895788291841124E-2</v>
      </c>
      <c r="C10" s="5">
        <f>Data!G10</f>
        <v>-9.8718137616030655E-3</v>
      </c>
      <c r="D10" s="5">
        <f>Data!H10</f>
        <v>-2.5906735751295318E-2</v>
      </c>
      <c r="E10" s="5">
        <f>Data!I10</f>
        <v>-4.2524916943521562E-2</v>
      </c>
      <c r="G10" s="3" t="s">
        <v>39</v>
      </c>
      <c r="H10" s="10">
        <f ca="1">Fattal!I25</f>
        <v>1.8253548980771618E-2</v>
      </c>
      <c r="I10" s="10">
        <f ca="1">Isrotel!I25</f>
        <v>1.7755405362645301E-2</v>
      </c>
      <c r="J10" s="10">
        <f ca="1">Dan!I25</f>
        <v>1.1768349548213033E-2</v>
      </c>
      <c r="K10" s="10">
        <f ca="1">Fattal!I26</f>
        <v>1.7779337991007324E-2</v>
      </c>
      <c r="L10" s="10">
        <f ca="1">Isrotel!I26</f>
        <v>1.8130911184039238E-2</v>
      </c>
      <c r="M10" s="10">
        <f ca="1">Dan!I26</f>
        <v>1.2837468506595612E-2</v>
      </c>
      <c r="N10" s="10">
        <f ca="1">Fattal!I27</f>
        <v>1.5674184351158579E-2</v>
      </c>
      <c r="O10" s="10">
        <f ca="1">Isrotel!I27</f>
        <v>1.8851354750825708E-2</v>
      </c>
      <c r="P10" s="10">
        <f ca="1">Dan!I27</f>
        <v>1.3780370780628883E-2</v>
      </c>
      <c r="Q10" s="10">
        <f ca="1">Fattal!I28</f>
        <v>1.4435731031486624E-2</v>
      </c>
      <c r="R10" s="10">
        <f ca="1">Isrotel!I28</f>
        <v>1.5338251010987297E-2</v>
      </c>
      <c r="S10" s="10">
        <f ca="1">Dan!I28</f>
        <v>1.3440895382723257E-2</v>
      </c>
      <c r="T10" s="10">
        <f ca="1">Fattal!I29</f>
        <v>1.468459864973683E-2</v>
      </c>
      <c r="U10" s="10">
        <f ca="1">Isrotel!I29</f>
        <v>1.6012594729731988E-2</v>
      </c>
      <c r="V10" s="10">
        <f ca="1">Dan!I29</f>
        <v>1.2824565714082182E-2</v>
      </c>
      <c r="W10" s="10">
        <f ca="1">Fattal!I30</f>
        <v>1.4930031897311267E-2</v>
      </c>
      <c r="X10" s="10">
        <f ca="1">Isrotel!I30</f>
        <v>1.5991545117874956E-2</v>
      </c>
      <c r="Y10" s="10">
        <f ca="1">Dan!I30</f>
        <v>1.174848272684776E-2</v>
      </c>
      <c r="Z10" s="10">
        <f ca="1">Fattal!I31</f>
        <v>1.4935076407362935E-2</v>
      </c>
      <c r="AA10" s="10">
        <f ca="1">Isrotel!I31</f>
        <v>1.6174780423995658E-2</v>
      </c>
      <c r="AB10" s="10">
        <f ca="1">Dan!I31</f>
        <v>1.0941814387755855E-2</v>
      </c>
      <c r="AC10" s="10">
        <f ca="1">Fattal!I32</f>
        <v>1.6032162879685855E-2</v>
      </c>
      <c r="AD10" s="10">
        <f ca="1">Isrotel!I32</f>
        <v>1.5805793930191568E-2</v>
      </c>
      <c r="AE10" s="10">
        <f ca="1">Dan!I32</f>
        <v>1.3758419112709476E-2</v>
      </c>
      <c r="AF10" s="10">
        <f ca="1">Fattal!I33</f>
        <v>1.5880047433680058E-2</v>
      </c>
      <c r="AG10" s="10">
        <f ca="1">Isrotel!I33</f>
        <v>1.6170578449677106E-2</v>
      </c>
      <c r="AH10" s="10">
        <f ca="1">Dan!I33</f>
        <v>1.4625994685510265E-2</v>
      </c>
      <c r="AI10" s="10">
        <f ca="1">Fattal!I34</f>
        <v>1.5956257674465752E-2</v>
      </c>
      <c r="AJ10" s="10">
        <f ca="1">Isrotel!I34</f>
        <v>2.0178646347266595E-2</v>
      </c>
      <c r="AK10" s="10">
        <f ca="1">Dan!I34</f>
        <v>1.7517363124307069E-2</v>
      </c>
      <c r="AL10" s="10">
        <f ca="1">Fattal!I35</f>
        <v>1.5699861196723314E-2</v>
      </c>
      <c r="AM10" s="10">
        <f ca="1">Isrotel!I35</f>
        <v>2.3125207492923312E-2</v>
      </c>
      <c r="AN10" s="10">
        <f ca="1">Dan!I35</f>
        <v>1.8225817122639185E-2</v>
      </c>
      <c r="AO10" s="10">
        <f ca="1">Fattal!I36</f>
        <v>1.6206938647354605E-2</v>
      </c>
      <c r="AP10" s="10">
        <f ca="1">Isrotel!I36</f>
        <v>2.3560232000095452E-2</v>
      </c>
      <c r="AQ10" s="10">
        <f ca="1">Dan!I36</f>
        <v>1.860627331324876E-2</v>
      </c>
      <c r="AS10">
        <v>3</v>
      </c>
      <c r="AT10" s="5">
        <f t="shared" ca="1" si="0"/>
        <v>5.1279990921806358E-3</v>
      </c>
      <c r="AU10" s="10" cm="1">
        <f t="array" aca="1" ref="AU10" ca="1">SQRT(SUMPRODUCT(($H$5:$AQ$5="+")*($H20:$AQ20-AT10)^2)/(AY10-1))/SQRT(AY10)</f>
        <v>4.4317173579886647E-3</v>
      </c>
      <c r="AV10" s="13">
        <f t="shared" ca="1" si="1"/>
        <v>1.1571132989645303</v>
      </c>
      <c r="AW10" t="str">
        <f t="shared" ca="1" si="2"/>
        <v>No</v>
      </c>
      <c r="AX10" s="5">
        <f t="shared" ca="1" si="3"/>
        <v>7.2268689106267381E-3</v>
      </c>
      <c r="AY10">
        <f t="shared" si="4"/>
        <v>18</v>
      </c>
      <c r="BA10">
        <v>3</v>
      </c>
      <c r="BB10" s="5">
        <f t="shared" ca="1" si="5"/>
        <v>-6.6935580477835667E-3</v>
      </c>
      <c r="BC10" s="10" cm="1">
        <f t="array" aca="1" ref="BC10" ca="1">SQRT(SUMPRODUCT(($H$5:$AQ$5="-")*($H20:$AQ20-BB10)^2)/(BG10-1))/SQRT(BG10)</f>
        <v>3.4880448753646528E-3</v>
      </c>
      <c r="BD10" s="13">
        <f t="shared" ca="1" si="6"/>
        <v>-1.9189999804930256</v>
      </c>
      <c r="BE10" t="str">
        <f t="shared" ca="1" si="7"/>
        <v>No</v>
      </c>
      <c r="BF10" s="5">
        <f t="shared" ca="1" si="8"/>
        <v>-2.286528850833236E-2</v>
      </c>
      <c r="BG10">
        <f t="shared" si="9"/>
        <v>18</v>
      </c>
    </row>
    <row r="11" spans="1:59" x14ac:dyDescent="0.2">
      <c r="A11" s="2">
        <f>Data!A11</f>
        <v>46127</v>
      </c>
      <c r="B11" s="5">
        <f>Data!F11</f>
        <v>-5.5915923120218869E-3</v>
      </c>
      <c r="C11" s="5">
        <f>Data!G11</f>
        <v>2.9893778452200204E-2</v>
      </c>
      <c r="D11" s="5">
        <f>Data!H11</f>
        <v>-1.025641025641022E-2</v>
      </c>
      <c r="E11" s="5">
        <f>Data!I11</f>
        <v>0</v>
      </c>
      <c r="AS11">
        <v>2</v>
      </c>
      <c r="AT11" s="5">
        <f t="shared" ca="1" si="0"/>
        <v>-2.3146533430007826E-3</v>
      </c>
      <c r="AU11" s="10" cm="1">
        <f t="array" aca="1" ref="AU11" ca="1">SQRT(SUMPRODUCT(($H$5:$AQ$5="+")*($H21:$AQ21-AT11)^2)/(AY11-1))/SQRT(AY11)</f>
        <v>5.332091187071843E-3</v>
      </c>
      <c r="AV11" s="13">
        <f t="shared" ca="1" si="1"/>
        <v>-0.43409860442988624</v>
      </c>
      <c r="AW11" t="str">
        <f t="shared" ca="1" si="2"/>
        <v>No</v>
      </c>
      <c r="AX11" s="5">
        <f t="shared" ca="1" si="3"/>
        <v>2.0881617270056552E-3</v>
      </c>
      <c r="AY11">
        <f t="shared" si="4"/>
        <v>18</v>
      </c>
      <c r="BA11">
        <v>2</v>
      </c>
      <c r="BB11" s="5">
        <f t="shared" ca="1" si="5"/>
        <v>3.4676114563011629E-3</v>
      </c>
      <c r="BC11" s="10" cm="1">
        <f t="array" aca="1" ref="BC11" ca="1">SQRT(SUMPRODUCT(($H$5:$AQ$5="-")*($H21:$AQ21-BB11)^2)/(BG11-1))/SQRT(BG11)</f>
        <v>5.2854182581142627E-3</v>
      </c>
      <c r="BD11" s="13">
        <f t="shared" ca="1" si="6"/>
        <v>0.65607134326174232</v>
      </c>
      <c r="BE11" t="str">
        <f t="shared" ca="1" si="7"/>
        <v>No</v>
      </c>
      <c r="BF11" s="5">
        <f t="shared" ca="1" si="8"/>
        <v>-1.6280706313315907E-2</v>
      </c>
      <c r="BG11">
        <f t="shared" si="9"/>
        <v>18</v>
      </c>
    </row>
    <row r="12" spans="1:59" x14ac:dyDescent="0.2">
      <c r="A12" s="2">
        <f>Data!A12</f>
        <v>46126</v>
      </c>
      <c r="B12" s="5">
        <f>Data!F12</f>
        <v>1.4518937337352211E-2</v>
      </c>
      <c r="C12" s="5">
        <f>Data!G12</f>
        <v>5.7784911717496001E-2</v>
      </c>
      <c r="D12" s="5">
        <f>Data!H12</f>
        <v>1.9607843137254832E-2</v>
      </c>
      <c r="E12" s="5">
        <f>Data!I12</f>
        <v>0</v>
      </c>
      <c r="G12" s="3" t="s">
        <v>72</v>
      </c>
      <c r="AS12">
        <v>1</v>
      </c>
      <c r="AT12" s="5">
        <f t="shared" ca="1" si="0"/>
        <v>-1.1551274421488118E-4</v>
      </c>
      <c r="AU12" s="10" cm="1">
        <f t="array" aca="1" ref="AU12" ca="1">SQRT(SUMPRODUCT(($H$5:$AQ$5="+")*($H22:$AQ22-AT12)^2)/(AY12-1))/SQRT(AY12)</f>
        <v>4.3037626815241817E-3</v>
      </c>
      <c r="AV12" s="13">
        <f t="shared" ca="1" si="1"/>
        <v>-2.6839942804181813E-2</v>
      </c>
      <c r="AW12" t="str">
        <f t="shared" ca="1" si="2"/>
        <v>No</v>
      </c>
      <c r="AX12" s="5">
        <f t="shared" ca="1" si="3"/>
        <v>4.4130297039635114E-3</v>
      </c>
      <c r="AY12">
        <f t="shared" si="4"/>
        <v>18</v>
      </c>
      <c r="BA12">
        <v>1</v>
      </c>
      <c r="BB12" s="5">
        <f t="shared" ca="1" si="5"/>
        <v>-2.4080626413930215E-3</v>
      </c>
      <c r="BC12" s="10" cm="1">
        <f t="array" aca="1" ref="BC12" ca="1">SQRT(SUMPRODUCT(($H$5:$AQ$5="-")*($H22:$AQ22-BB12)^2)/(BG12-1))/SQRT(BG12)</f>
        <v>4.6583956679991769E-3</v>
      </c>
      <c r="BD12" s="13">
        <f t="shared" ca="1" si="6"/>
        <v>-0.51692960688916878</v>
      </c>
      <c r="BE12" t="str">
        <f t="shared" ca="1" si="7"/>
        <v>No</v>
      </c>
      <c r="BF12" s="5">
        <f t="shared" ca="1" si="8"/>
        <v>-1.9680074916376245E-2</v>
      </c>
      <c r="BG12">
        <f t="shared" si="9"/>
        <v>18</v>
      </c>
    </row>
    <row r="13" spans="1:59" x14ac:dyDescent="0.2">
      <c r="A13" s="2">
        <f>Data!A13</f>
        <v>46125</v>
      </c>
      <c r="B13" s="5">
        <f>Data!F13</f>
        <v>-1.4456653104905404E-2</v>
      </c>
      <c r="C13" s="5">
        <f>Data!G13</f>
        <v>-1.7040075733669946E-2</v>
      </c>
      <c r="D13" s="5">
        <f>Data!H13</f>
        <v>-9.7087378640776656E-3</v>
      </c>
      <c r="E13" s="5">
        <f>Data!I13</f>
        <v>0</v>
      </c>
      <c r="G13" s="3">
        <v>10</v>
      </c>
      <c r="H13" s="5">
        <f ca="1">_xlfn.XLOOKUP(OFFSET(Data!$A$1,H$7-$G13,0,1,1),Data!$A:$A,Data!$G:$G)-(H$8+H$9*_xlfn.XLOOKUP(OFFSET(Data!$A$1,H$7-$G13,0,1,1),Data!$A:$A,Data!$F:$F))</f>
        <v>2.1362200573130555E-2</v>
      </c>
      <c r="I13" s="5">
        <f ca="1">_xlfn.XLOOKUP(OFFSET(Data!$A$1,I$7-$G13,0,1,1),Data!$A:$A,Data!$H:$H)-(I$8+I$9*_xlfn.XLOOKUP(OFFSET(Data!$A$1,I$7-$G13,0,1,1),Data!$A:$A,Data!$F:$F))</f>
        <v>2.009997361217758E-2</v>
      </c>
      <c r="J13" s="5">
        <f ca="1">_xlfn.XLOOKUP(OFFSET(Data!$A$1,J$7-$G13,0,1,1),Data!$A:$A,Data!$I:$I)-(J$8+J$9*_xlfn.XLOOKUP(OFFSET(Data!$A$1,J$7-$G13,0,1,1),Data!$A:$A,Data!$F:$F))</f>
        <v>2.0937782314196685E-2</v>
      </c>
      <c r="K13" s="5">
        <f ca="1">_xlfn.XLOOKUP(OFFSET(Data!$A$1,K$7-$G13,0,1,1),Data!$A:$A,Data!$G:$G)-(K$8+K$9*_xlfn.XLOOKUP(OFFSET(Data!$A$1,K$7-$G13,0,1,1),Data!$A:$A,Data!$F:$F))</f>
        <v>3.5419887775728964E-2</v>
      </c>
      <c r="L13" s="5">
        <f ca="1">_xlfn.XLOOKUP(OFFSET(Data!$A$1,L$7-$G13,0,1,1),Data!$A:$A,Data!$H:$H)-(L$8+L$9*_xlfn.XLOOKUP(OFFSET(Data!$A$1,L$7-$G13,0,1,1),Data!$A:$A,Data!$F:$F))</f>
        <v>1.1402918482105008E-2</v>
      </c>
      <c r="M13" s="5">
        <f ca="1">_xlfn.XLOOKUP(OFFSET(Data!$A$1,M$7-$G13,0,1,1),Data!$A:$A,Data!$I:$I)-(M$8+M$9*_xlfn.XLOOKUP(OFFSET(Data!$A$1,M$7-$G13,0,1,1),Data!$A:$A,Data!$F:$F))</f>
        <v>-1.1172047252801758E-2</v>
      </c>
      <c r="N13" s="5">
        <f ca="1">_xlfn.XLOOKUP(OFFSET(Data!$A$1,N$7-$G13,0,1,1),Data!$A:$A,Data!$G:$G)-(N$8+N$9*_xlfn.XLOOKUP(OFFSET(Data!$A$1,N$7-$G13,0,1,1),Data!$A:$A,Data!$F:$F))</f>
        <v>-5.0592738823914164E-3</v>
      </c>
      <c r="O13" s="5">
        <f ca="1">_xlfn.XLOOKUP(OFFSET(Data!$A$1,O$7-$G13,0,1,1),Data!$A:$A,Data!$H:$H)-(O$8+O$9*_xlfn.XLOOKUP(OFFSET(Data!$A$1,O$7-$G13,0,1,1),Data!$A:$A,Data!$F:$F))</f>
        <v>-3.1296375376894968E-2</v>
      </c>
      <c r="P13" s="5">
        <f ca="1">_xlfn.XLOOKUP(OFFSET(Data!$A$1,P$7-$G13,0,1,1),Data!$A:$A,Data!$I:$I)-(P$8+P$9*_xlfn.XLOOKUP(OFFSET(Data!$A$1,P$7-$G13,0,1,1),Data!$A:$A,Data!$F:$F))</f>
        <v>-9.9425402730822358E-4</v>
      </c>
      <c r="Q13" s="5">
        <f ca="1">_xlfn.XLOOKUP(OFFSET(Data!$A$1,Q$7-$G13,0,1,1),Data!$A:$A,Data!$G:$G)-(Q$8+Q$9*_xlfn.XLOOKUP(OFFSET(Data!$A$1,Q$7-$G13,0,1,1),Data!$A:$A,Data!$F:$F))</f>
        <v>1.4101418839891574E-2</v>
      </c>
      <c r="R13" s="5">
        <f ca="1">_xlfn.XLOOKUP(OFFSET(Data!$A$1,R$7-$G13,0,1,1),Data!$A:$A,Data!$H:$H)-(R$8+R$9*_xlfn.XLOOKUP(OFFSET(Data!$A$1,R$7-$G13,0,1,1),Data!$A:$A,Data!$F:$F))</f>
        <v>2.6036275788479432E-2</v>
      </c>
      <c r="S13" s="5">
        <f ca="1">_xlfn.XLOOKUP(OFFSET(Data!$A$1,S$7-$G13,0,1,1),Data!$A:$A,Data!$I:$I)-(S$8+S$9*_xlfn.XLOOKUP(OFFSET(Data!$A$1,S$7-$G13,0,1,1),Data!$A:$A,Data!$F:$F))</f>
        <v>-3.8015681591055191E-3</v>
      </c>
      <c r="T13" s="5">
        <f ca="1">_xlfn.XLOOKUP(OFFSET(Data!$A$1,T$7-$G13,0,1,1),Data!$A:$A,Data!$G:$G)-(T$8+T$9*_xlfn.XLOOKUP(OFFSET(Data!$A$1,T$7-$G13,0,1,1),Data!$A:$A,Data!$F:$F))</f>
        <v>-1.9602406432393707E-2</v>
      </c>
      <c r="U13" s="5">
        <f ca="1">_xlfn.XLOOKUP(OFFSET(Data!$A$1,U$7-$G13,0,1,1),Data!$A:$A,Data!$H:$H)-(U$8+U$9*_xlfn.XLOOKUP(OFFSET(Data!$A$1,U$7-$G13,0,1,1),Data!$A:$A,Data!$F:$F))</f>
        <v>-8.2162472424308214E-5</v>
      </c>
      <c r="V13" s="5">
        <f ca="1">_xlfn.XLOOKUP(OFFSET(Data!$A$1,V$7-$G13,0,1,1),Data!$A:$A,Data!$I:$I)-(V$8+V$9*_xlfn.XLOOKUP(OFFSET(Data!$A$1,V$7-$G13,0,1,1),Data!$A:$A,Data!$F:$F))</f>
        <v>1.7005905412597244E-3</v>
      </c>
      <c r="W13" s="5">
        <f ca="1">_xlfn.XLOOKUP(OFFSET(Data!$A$1,W$7-$G13,0,1,1),Data!$A:$A,Data!$G:$G)-(W$8+W$9*_xlfn.XLOOKUP(OFFSET(Data!$A$1,W$7-$G13,0,1,1),Data!$A:$A,Data!$F:$F))</f>
        <v>3.2577237502742955E-3</v>
      </c>
      <c r="X13" s="5">
        <f ca="1">_xlfn.XLOOKUP(OFFSET(Data!$A$1,X$7-$G13,0,1,1),Data!$A:$A,Data!$H:$H)-(X$8+X$9*_xlfn.XLOOKUP(OFFSET(Data!$A$1,X$7-$G13,0,1,1),Data!$A:$A,Data!$F:$F))</f>
        <v>-5.5295376396867976E-3</v>
      </c>
      <c r="Y13" s="5">
        <f ca="1">_xlfn.XLOOKUP(OFFSET(Data!$A$1,Y$7-$G13,0,1,1),Data!$A:$A,Data!$I:$I)-(Y$8+Y$9*_xlfn.XLOOKUP(OFFSET(Data!$A$1,Y$7-$G13,0,1,1),Data!$A:$A,Data!$F:$F))</f>
        <v>-1.4369077233820389E-2</v>
      </c>
      <c r="Z13" s="5">
        <f ca="1">_xlfn.XLOOKUP(OFFSET(Data!$A$1,Z$7-$G13,0,1,1),Data!$A:$A,Data!$G:$G)-(Z$8+Z$9*_xlfn.XLOOKUP(OFFSET(Data!$A$1,Z$7-$G13,0,1,1),Data!$A:$A,Data!$F:$F))</f>
        <v>1.7073229290991927E-2</v>
      </c>
      <c r="AA13" s="5">
        <f ca="1">_xlfn.XLOOKUP(OFFSET(Data!$A$1,AA$7-$G13,0,1,1),Data!$A:$A,Data!$H:$H)-(AA$8+AA$9*_xlfn.XLOOKUP(OFFSET(Data!$A$1,AA$7-$G13,0,1,1),Data!$A:$A,Data!$F:$F))</f>
        <v>1.0951560852726767E-2</v>
      </c>
      <c r="AB13" s="5">
        <f ca="1">_xlfn.XLOOKUP(OFFSET(Data!$A$1,AB$7-$G13,0,1,1),Data!$A:$A,Data!$I:$I)-(AB$8+AB$9*_xlfn.XLOOKUP(OFFSET(Data!$A$1,AB$7-$G13,0,1,1),Data!$A:$A,Data!$F:$F))</f>
        <v>-5.2461365779611245E-4</v>
      </c>
      <c r="AC13" s="5">
        <f ca="1">_xlfn.XLOOKUP(OFFSET(Data!$A$1,AC$7-$G13,0,1,1),Data!$A:$A,Data!$G:$G)-(AC$8+AC$9*_xlfn.XLOOKUP(OFFSET(Data!$A$1,AC$7-$G13,0,1,1),Data!$A:$A,Data!$F:$F))</f>
        <v>2.8782866158209228E-3</v>
      </c>
      <c r="AD13" s="5">
        <f ca="1">_xlfn.XLOOKUP(OFFSET(Data!$A$1,AD$7-$G13,0,1,1),Data!$A:$A,Data!$H:$H)-(AD$8+AD$9*_xlfn.XLOOKUP(OFFSET(Data!$A$1,AD$7-$G13,0,1,1),Data!$A:$A,Data!$F:$F))</f>
        <v>1.1941121350676313E-2</v>
      </c>
      <c r="AE13" s="5">
        <f ca="1">_xlfn.XLOOKUP(OFFSET(Data!$A$1,AE$7-$G13,0,1,1),Data!$A:$A,Data!$I:$I)-(AE$8+AE$9*_xlfn.XLOOKUP(OFFSET(Data!$A$1,AE$7-$G13,0,1,1),Data!$A:$A,Data!$F:$F))</f>
        <v>1.208395390222744E-2</v>
      </c>
      <c r="AF13" s="5">
        <f ca="1">_xlfn.XLOOKUP(OFFSET(Data!$A$1,AF$7-$G13,0,1,1),Data!$A:$A,Data!$G:$G)-(AF$8+AF$9*_xlfn.XLOOKUP(OFFSET(Data!$A$1,AF$7-$G13,0,1,1),Data!$A:$A,Data!$F:$F))</f>
        <v>-8.5557321609028569E-3</v>
      </c>
      <c r="AG13" s="5">
        <f ca="1">_xlfn.XLOOKUP(OFFSET(Data!$A$1,AG$7-$G13,0,1,1),Data!$A:$A,Data!$H:$H)-(AG$8+AG$9*_xlfn.XLOOKUP(OFFSET(Data!$A$1,AG$7-$G13,0,1,1),Data!$A:$A,Data!$F:$F))</f>
        <v>-1.7615960912182E-2</v>
      </c>
      <c r="AH13" s="5">
        <f ca="1">_xlfn.XLOOKUP(OFFSET(Data!$A$1,AH$7-$G13,0,1,1),Data!$A:$A,Data!$I:$I)-(AH$8+AH$9*_xlfn.XLOOKUP(OFFSET(Data!$A$1,AH$7-$G13,0,1,1),Data!$A:$A,Data!$F:$F))</f>
        <v>3.4556962267386221E-2</v>
      </c>
      <c r="AI13" s="5">
        <f ca="1">_xlfn.XLOOKUP(OFFSET(Data!$A$1,AI$7-$G13,0,1,1),Data!$A:$A,Data!$G:$G)-(AI$8+AI$9*_xlfn.XLOOKUP(OFFSET(Data!$A$1,AI$7-$G13,0,1,1),Data!$A:$A,Data!$F:$F))</f>
        <v>-2.5781083484380635E-3</v>
      </c>
      <c r="AJ13" s="5">
        <f ca="1">_xlfn.XLOOKUP(OFFSET(Data!$A$1,AJ$7-$G13,0,1,1),Data!$A:$A,Data!$H:$H)-(AJ$8+AJ$9*_xlfn.XLOOKUP(OFFSET(Data!$A$1,AJ$7-$G13,0,1,1),Data!$A:$A,Data!$F:$F))</f>
        <v>-4.1635648782099377E-4</v>
      </c>
      <c r="AK13" s="5">
        <f ca="1">_xlfn.XLOOKUP(OFFSET(Data!$A$1,AK$7-$G13,0,1,1),Data!$A:$A,Data!$I:$I)-(AK$8+AK$9*_xlfn.XLOOKUP(OFFSET(Data!$A$1,AK$7-$G13,0,1,1),Data!$A:$A,Data!$F:$F))</f>
        <v>1.2264403017523797E-2</v>
      </c>
      <c r="AL13" s="5">
        <f ca="1">_xlfn.XLOOKUP(OFFSET(Data!$A$1,AL$7-$G13,0,1,1),Data!$A:$A,Data!$G:$G)-(AL$8+AL$9*_xlfn.XLOOKUP(OFFSET(Data!$A$1,AL$7-$G13,0,1,1),Data!$A:$A,Data!$F:$F))</f>
        <v>4.469786542235267E-3</v>
      </c>
      <c r="AM13" s="5">
        <f ca="1">_xlfn.XLOOKUP(OFFSET(Data!$A$1,AM$7-$G13,0,1,1),Data!$A:$A,Data!$H:$H)-(AM$8+AM$9*_xlfn.XLOOKUP(OFFSET(Data!$A$1,AM$7-$G13,0,1,1),Data!$A:$A,Data!$F:$F))</f>
        <v>2.2221587256676098E-2</v>
      </c>
      <c r="AN13" s="5">
        <f ca="1">_xlfn.XLOOKUP(OFFSET(Data!$A$1,AN$7-$G13,0,1,1),Data!$A:$A,Data!$I:$I)-(AN$8+AN$9*_xlfn.XLOOKUP(OFFSET(Data!$A$1,AN$7-$G13,0,1,1),Data!$A:$A,Data!$F:$F))</f>
        <v>-1.7554665252290887E-2</v>
      </c>
      <c r="AO13" s="5">
        <f ca="1">_xlfn.XLOOKUP(OFFSET(Data!$A$1,AO$7-$G13,0,1,1),Data!$A:$A,Data!$G:$G)-(AO$8+AO$9*_xlfn.XLOOKUP(OFFSET(Data!$A$1,AO$7-$G13,0,1,1),Data!$A:$A,Data!$F:$F))</f>
        <v>3.7012011236364335E-2</v>
      </c>
      <c r="AP13" s="5">
        <f ca="1">_xlfn.XLOOKUP(OFFSET(Data!$A$1,AP$7-$G13,0,1,1),Data!$A:$A,Data!$H:$H)-(AP$8+AP$9*_xlfn.XLOOKUP(OFFSET(Data!$A$1,AP$7-$G13,0,1,1),Data!$A:$A,Data!$F:$F))</f>
        <v>1.0792990897450991E-2</v>
      </c>
      <c r="AQ13" s="5">
        <f ca="1">_xlfn.XLOOKUP(OFFSET(Data!$A$1,AQ$7-$G13,0,1,1),Data!$A:$A,Data!$I:$I)-(AQ$8+AQ$9*_xlfn.XLOOKUP(OFFSET(Data!$A$1,AQ$7-$G13,0,1,1),Data!$A:$A,Data!$F:$F))</f>
        <v>-4.7408939480692936E-4</v>
      </c>
      <c r="AS13">
        <v>0</v>
      </c>
      <c r="AT13" s="5">
        <f t="shared" ca="1" si="0"/>
        <v>2.2254997895689043E-3</v>
      </c>
      <c r="AU13" s="10" cm="1">
        <f t="array" aca="1" ref="AU13" ca="1">SQRT(SUMPRODUCT(($H$5:$AQ$5="+")*($H23:$AQ23-AT13)^2)/(AY13-1))/SQRT(AY13)</f>
        <v>7.7668369394509823E-3</v>
      </c>
      <c r="AV13" s="13">
        <f t="shared" ca="1" si="1"/>
        <v>0.28653875534127271</v>
      </c>
      <c r="AW13" t="str">
        <f t="shared" ca="1" si="2"/>
        <v>No</v>
      </c>
      <c r="AX13" s="5">
        <f t="shared" ca="1" si="3"/>
        <v>4.5290656129759466E-3</v>
      </c>
      <c r="AY13">
        <f t="shared" si="4"/>
        <v>18</v>
      </c>
      <c r="BA13">
        <v>0</v>
      </c>
      <c r="BB13" s="5">
        <f t="shared" ca="1" si="5"/>
        <v>-9.8457144888612798E-3</v>
      </c>
      <c r="BC13" s="10" cm="1">
        <f t="array" aca="1" ref="BC13" ca="1">SQRT(SUMPRODUCT(($H$5:$AQ$5="-")*($H23:$AQ23-BB13)^2)/(BG13-1))/SQRT(BG13)</f>
        <v>4.3357266207719007E-3</v>
      </c>
      <c r="BD13" s="13">
        <f t="shared" ca="1" si="6"/>
        <v>-2.2708337840517312</v>
      </c>
      <c r="BE13" t="str">
        <f t="shared" ca="1" si="7"/>
        <v>Yes</v>
      </c>
      <c r="BF13" s="5">
        <f t="shared" ca="1" si="8"/>
        <v>-1.7313704760601345E-2</v>
      </c>
      <c r="BG13">
        <f t="shared" si="9"/>
        <v>18</v>
      </c>
    </row>
    <row r="14" spans="1:59" x14ac:dyDescent="0.2">
      <c r="A14" s="2">
        <f>Data!A14</f>
        <v>46122</v>
      </c>
      <c r="B14" s="5">
        <f>Data!F14</f>
        <v>1.8771896433833257E-2</v>
      </c>
      <c r="C14" s="5">
        <f>Data!G14</f>
        <v>2.4737267582861655E-2</v>
      </c>
      <c r="D14" s="5">
        <f>Data!H14</f>
        <v>3.2467532467532756E-3</v>
      </c>
      <c r="E14" s="5">
        <f>Data!I14</f>
        <v>0</v>
      </c>
      <c r="G14" s="3">
        <v>9</v>
      </c>
      <c r="H14" s="5">
        <f ca="1">_xlfn.XLOOKUP(OFFSET(Data!$A$1,H$7-$G14,0,1,1),Data!$A:$A,Data!$G:$G)-(H$8+H$9*_xlfn.XLOOKUP(OFFSET(Data!$A$1,H$7-$G14,0,1,1),Data!$A:$A,Data!$F:$F))</f>
        <v>1.8913700055418033E-2</v>
      </c>
      <c r="I14" s="5">
        <f ca="1">_xlfn.XLOOKUP(OFFSET(Data!$A$1,I$7-$G14,0,1,1),Data!$A:$A,Data!$H:$H)-(I$8+I$9*_xlfn.XLOOKUP(OFFSET(Data!$A$1,I$7-$G14,0,1,1),Data!$A:$A,Data!$F:$F))</f>
        <v>2.6655301837480889E-2</v>
      </c>
      <c r="J14" s="5">
        <f ca="1">_xlfn.XLOOKUP(OFFSET(Data!$A$1,J$7-$G14,0,1,1),Data!$A:$A,Data!$I:$I)-(J$8+J$9*_xlfn.XLOOKUP(OFFSET(Data!$A$1,J$7-$G14,0,1,1),Data!$A:$A,Data!$F:$F))</f>
        <v>2.4910105683308499E-3</v>
      </c>
      <c r="K14" s="5">
        <f ca="1">_xlfn.XLOOKUP(OFFSET(Data!$A$1,K$7-$G14,0,1,1),Data!$A:$A,Data!$G:$G)-(K$8+K$9*_xlfn.XLOOKUP(OFFSET(Data!$A$1,K$7-$G14,0,1,1),Data!$A:$A,Data!$F:$F))</f>
        <v>1.8949765708589226E-2</v>
      </c>
      <c r="L14" s="5">
        <f ca="1">_xlfn.XLOOKUP(OFFSET(Data!$A$1,L$7-$G14,0,1,1),Data!$A:$A,Data!$H:$H)-(L$8+L$9*_xlfn.XLOOKUP(OFFSET(Data!$A$1,L$7-$G14,0,1,1),Data!$A:$A,Data!$F:$F))</f>
        <v>7.2013936126311944E-3</v>
      </c>
      <c r="M14" s="5">
        <f ca="1">_xlfn.XLOOKUP(OFFSET(Data!$A$1,M$7-$G14,0,1,1),Data!$A:$A,Data!$I:$I)-(M$8+M$9*_xlfn.XLOOKUP(OFFSET(Data!$A$1,M$7-$G14,0,1,1),Data!$A:$A,Data!$F:$F))</f>
        <v>-2.4671008311580582E-2</v>
      </c>
      <c r="N14" s="5">
        <f ca="1">_xlfn.XLOOKUP(OFFSET(Data!$A$1,N$7-$G14,0,1,1),Data!$A:$A,Data!$G:$G)-(N$8+N$9*_xlfn.XLOOKUP(OFFSET(Data!$A$1,N$7-$G14,0,1,1),Data!$A:$A,Data!$F:$F))</f>
        <v>9.5176069611847911E-3</v>
      </c>
      <c r="O14" s="5">
        <f ca="1">_xlfn.XLOOKUP(OFFSET(Data!$A$1,O$7-$G14,0,1,1),Data!$A:$A,Data!$H:$H)-(O$8+O$9*_xlfn.XLOOKUP(OFFSET(Data!$A$1,O$7-$G14,0,1,1),Data!$A:$A,Data!$F:$F))</f>
        <v>-1.3340927201245228E-2</v>
      </c>
      <c r="P14" s="5">
        <f ca="1">_xlfn.XLOOKUP(OFFSET(Data!$A$1,P$7-$G14,0,1,1),Data!$A:$A,Data!$I:$I)-(P$8+P$9*_xlfn.XLOOKUP(OFFSET(Data!$A$1,P$7-$G14,0,1,1),Data!$A:$A,Data!$F:$F))</f>
        <v>1.6516577666187203E-3</v>
      </c>
      <c r="Q14" s="5">
        <f ca="1">_xlfn.XLOOKUP(OFFSET(Data!$A$1,Q$7-$G14,0,1,1),Data!$A:$A,Data!$G:$G)-(Q$8+Q$9*_xlfn.XLOOKUP(OFFSET(Data!$A$1,Q$7-$G14,0,1,1),Data!$A:$A,Data!$F:$F))</f>
        <v>-1.6164336231393208E-2</v>
      </c>
      <c r="R14" s="5">
        <f ca="1">_xlfn.XLOOKUP(OFFSET(Data!$A$1,R$7-$G14,0,1,1),Data!$A:$A,Data!$H:$H)-(R$8+R$9*_xlfn.XLOOKUP(OFFSET(Data!$A$1,R$7-$G14,0,1,1),Data!$A:$A,Data!$F:$F))</f>
        <v>2.2993352563531598E-2</v>
      </c>
      <c r="S14" s="5">
        <f ca="1">_xlfn.XLOOKUP(OFFSET(Data!$A$1,S$7-$G14,0,1,1),Data!$A:$A,Data!$I:$I)-(S$8+S$9*_xlfn.XLOOKUP(OFFSET(Data!$A$1,S$7-$G14,0,1,1),Data!$A:$A,Data!$F:$F))</f>
        <v>-4.3669044213708614E-3</v>
      </c>
      <c r="T14" s="5">
        <f ca="1">_xlfn.XLOOKUP(OFFSET(Data!$A$1,T$7-$G14,0,1,1),Data!$A:$A,Data!$G:$G)-(T$8+T$9*_xlfn.XLOOKUP(OFFSET(Data!$A$1,T$7-$G14,0,1,1),Data!$A:$A,Data!$F:$F))</f>
        <v>-1.3406745821556956E-2</v>
      </c>
      <c r="U14" s="5">
        <f ca="1">_xlfn.XLOOKUP(OFFSET(Data!$A$1,U$7-$G14,0,1,1),Data!$A:$A,Data!$H:$H)-(U$8+U$9*_xlfn.XLOOKUP(OFFSET(Data!$A$1,U$7-$G14,0,1,1),Data!$A:$A,Data!$F:$F))</f>
        <v>1.6211382989991553E-3</v>
      </c>
      <c r="V14" s="5">
        <f ca="1">_xlfn.XLOOKUP(OFFSET(Data!$A$1,V$7-$G14,0,1,1),Data!$A:$A,Data!$I:$I)-(V$8+V$9*_xlfn.XLOOKUP(OFFSET(Data!$A$1,V$7-$G14,0,1,1),Data!$A:$A,Data!$F:$F))</f>
        <v>6.003015724792002E-3</v>
      </c>
      <c r="W14" s="5">
        <f ca="1">_xlfn.XLOOKUP(OFFSET(Data!$A$1,W$7-$G14,0,1,1),Data!$A:$A,Data!$G:$G)-(W$8+W$9*_xlfn.XLOOKUP(OFFSET(Data!$A$1,W$7-$G14,0,1,1),Data!$A:$A,Data!$F:$F))</f>
        <v>1.6540939593795061E-3</v>
      </c>
      <c r="X14" s="5">
        <f ca="1">_xlfn.XLOOKUP(OFFSET(Data!$A$1,X$7-$G14,0,1,1),Data!$A:$A,Data!$H:$H)-(X$8+X$9*_xlfn.XLOOKUP(OFFSET(Data!$A$1,X$7-$G14,0,1,1),Data!$A:$A,Data!$F:$F))</f>
        <v>8.7758408140622361E-4</v>
      </c>
      <c r="Y14" s="5">
        <f ca="1">_xlfn.XLOOKUP(OFFSET(Data!$A$1,Y$7-$G14,0,1,1),Data!$A:$A,Data!$I:$I)-(Y$8+Y$9*_xlfn.XLOOKUP(OFFSET(Data!$A$1,Y$7-$G14,0,1,1),Data!$A:$A,Data!$F:$F))</f>
        <v>-4.1412751375682758E-5</v>
      </c>
      <c r="Z14" s="5">
        <f ca="1">_xlfn.XLOOKUP(OFFSET(Data!$A$1,Z$7-$G14,0,1,1),Data!$A:$A,Data!$G:$G)-(Z$8+Z$9*_xlfn.XLOOKUP(OFFSET(Data!$A$1,Z$7-$G14,0,1,1),Data!$A:$A,Data!$F:$F))</f>
        <v>1.2644353057001003E-2</v>
      </c>
      <c r="AA14" s="5">
        <f ca="1">_xlfn.XLOOKUP(OFFSET(Data!$A$1,AA$7-$G14,0,1,1),Data!$A:$A,Data!$H:$H)-(AA$8+AA$9*_xlfn.XLOOKUP(OFFSET(Data!$A$1,AA$7-$G14,0,1,1),Data!$A:$A,Data!$F:$F))</f>
        <v>-5.2714787563362875E-3</v>
      </c>
      <c r="AB14" s="5">
        <f ca="1">_xlfn.XLOOKUP(OFFSET(Data!$A$1,AB$7-$G14,0,1,1),Data!$A:$A,Data!$I:$I)-(AB$8+AB$9*_xlfn.XLOOKUP(OFFSET(Data!$A$1,AB$7-$G14,0,1,1),Data!$A:$A,Data!$F:$F))</f>
        <v>-3.2130493799141372E-4</v>
      </c>
      <c r="AC14" s="5">
        <f ca="1">_xlfn.XLOOKUP(OFFSET(Data!$A$1,AC$7-$G14,0,1,1),Data!$A:$A,Data!$G:$G)-(AC$8+AC$9*_xlfn.XLOOKUP(OFFSET(Data!$A$1,AC$7-$G14,0,1,1),Data!$A:$A,Data!$F:$F))</f>
        <v>4.4110034302021935E-3</v>
      </c>
      <c r="AD14" s="5">
        <f ca="1">_xlfn.XLOOKUP(OFFSET(Data!$A$1,AD$7-$G14,0,1,1),Data!$A:$A,Data!$H:$H)-(AD$8+AD$9*_xlfn.XLOOKUP(OFFSET(Data!$A$1,AD$7-$G14,0,1,1),Data!$A:$A,Data!$F:$F))</f>
        <v>1.3240592915595113E-2</v>
      </c>
      <c r="AE14" s="5">
        <f ca="1">_xlfn.XLOOKUP(OFFSET(Data!$A$1,AE$7-$G14,0,1,1),Data!$A:$A,Data!$I:$I)-(AE$8+AE$9*_xlfn.XLOOKUP(OFFSET(Data!$A$1,AE$7-$G14,0,1,1),Data!$A:$A,Data!$F:$F))</f>
        <v>-1.9850251799104303E-2</v>
      </c>
      <c r="AF14" s="5">
        <f ca="1">_xlfn.XLOOKUP(OFFSET(Data!$A$1,AF$7-$G14,0,1,1),Data!$A:$A,Data!$G:$G)-(AF$8+AF$9*_xlfn.XLOOKUP(OFFSET(Data!$A$1,AF$7-$G14,0,1,1),Data!$A:$A,Data!$F:$F))</f>
        <v>-1.3646793467245254E-2</v>
      </c>
      <c r="AG14" s="5">
        <f ca="1">_xlfn.XLOOKUP(OFFSET(Data!$A$1,AG$7-$G14,0,1,1),Data!$A:$A,Data!$H:$H)-(AG$8+AG$9*_xlfn.XLOOKUP(OFFSET(Data!$A$1,AG$7-$G14,0,1,1),Data!$A:$A,Data!$F:$F))</f>
        <v>4.6382926489998014E-3</v>
      </c>
      <c r="AH14" s="5">
        <f ca="1">_xlfn.XLOOKUP(OFFSET(Data!$A$1,AH$7-$G14,0,1,1),Data!$A:$A,Data!$I:$I)-(AH$8+AH$9*_xlfn.XLOOKUP(OFFSET(Data!$A$1,AH$7-$G14,0,1,1),Data!$A:$A,Data!$F:$F))</f>
        <v>1.7416156191973724E-2</v>
      </c>
      <c r="AI14" s="5">
        <f ca="1">_xlfn.XLOOKUP(OFFSET(Data!$A$1,AI$7-$G14,0,1,1),Data!$A:$A,Data!$G:$G)-(AI$8+AI$9*_xlfn.XLOOKUP(OFFSET(Data!$A$1,AI$7-$G14,0,1,1),Data!$A:$A,Data!$F:$F))</f>
        <v>-3.7618513998010378E-3</v>
      </c>
      <c r="AJ14" s="5">
        <f ca="1">_xlfn.XLOOKUP(OFFSET(Data!$A$1,AJ$7-$G14,0,1,1),Data!$A:$A,Data!$H:$H)-(AJ$8+AJ$9*_xlfn.XLOOKUP(OFFSET(Data!$A$1,AJ$7-$G14,0,1,1),Data!$A:$A,Data!$F:$F))</f>
        <v>-3.6051002649143973E-2</v>
      </c>
      <c r="AK14" s="5">
        <f ca="1">_xlfn.XLOOKUP(OFFSET(Data!$A$1,AK$7-$G14,0,1,1),Data!$A:$A,Data!$I:$I)-(AK$8+AK$9*_xlfn.XLOOKUP(OFFSET(Data!$A$1,AK$7-$G14,0,1,1),Data!$A:$A,Data!$F:$F))</f>
        <v>6.019117709265031E-2</v>
      </c>
      <c r="AL14" s="5">
        <f ca="1">_xlfn.XLOOKUP(OFFSET(Data!$A$1,AL$7-$G14,0,1,1),Data!$A:$A,Data!$G:$G)-(AL$8+AL$9*_xlfn.XLOOKUP(OFFSET(Data!$A$1,AL$7-$G14,0,1,1),Data!$A:$A,Data!$F:$F))</f>
        <v>-1.4301411426678222E-2</v>
      </c>
      <c r="AM14" s="5">
        <f ca="1">_xlfn.XLOOKUP(OFFSET(Data!$A$1,AM$7-$G14,0,1,1),Data!$A:$A,Data!$H:$H)-(AM$8+AM$9*_xlfn.XLOOKUP(OFFSET(Data!$A$1,AM$7-$G14,0,1,1),Data!$A:$A,Data!$F:$F))</f>
        <v>-4.0605766910681088E-2</v>
      </c>
      <c r="AN14" s="5">
        <f ca="1">_xlfn.XLOOKUP(OFFSET(Data!$A$1,AN$7-$G14,0,1,1),Data!$A:$A,Data!$I:$I)-(AN$8+AN$9*_xlfn.XLOOKUP(OFFSET(Data!$A$1,AN$7-$G14,0,1,1),Data!$A:$A,Data!$F:$F))</f>
        <v>-8.0831102103749806E-4</v>
      </c>
      <c r="AO14" s="5">
        <f ca="1">_xlfn.XLOOKUP(OFFSET(Data!$A$1,AO$7-$G14,0,1,1),Data!$A:$A,Data!$G:$G)-(AO$8+AO$9*_xlfn.XLOOKUP(OFFSET(Data!$A$1,AO$7-$G14,0,1,1),Data!$A:$A,Data!$F:$F))</f>
        <v>3.0080821440202042E-3</v>
      </c>
      <c r="AP14" s="5">
        <f ca="1">_xlfn.XLOOKUP(OFFSET(Data!$A$1,AP$7-$G14,0,1,1),Data!$A:$A,Data!$H:$H)-(AP$8+AP$9*_xlfn.XLOOKUP(OFFSET(Data!$A$1,AP$7-$G14,0,1,1),Data!$A:$A,Data!$F:$F))</f>
        <v>-9.2714774995945291E-3</v>
      </c>
      <c r="AQ14" s="5">
        <f ca="1">_xlfn.XLOOKUP(OFFSET(Data!$A$1,AQ$7-$G14,0,1,1),Data!$A:$A,Data!$I:$I)-(AQ$8+AQ$9*_xlfn.XLOOKUP(OFFSET(Data!$A$1,AQ$7-$G14,0,1,1),Data!$A:$A,Data!$F:$F))</f>
        <v>5.465111261517332E-3</v>
      </c>
      <c r="AS14">
        <v>-1</v>
      </c>
      <c r="AT14" s="5">
        <f t="shared" ca="1" si="0"/>
        <v>1.4251592899354962E-2</v>
      </c>
      <c r="AU14" s="10" cm="1">
        <f t="array" aca="1" ref="AU14" ca="1">SQRT(SUMPRODUCT(($H$5:$AQ$5="+")*($H24:$AQ24-AT14)^2)/(AY14-1))/SQRT(AY14)</f>
        <v>5.8021539740093697E-3</v>
      </c>
      <c r="AV14" s="13">
        <f t="shared" ca="1" si="1"/>
        <v>2.4562589967785553</v>
      </c>
      <c r="AW14" t="str">
        <f t="shared" ca="1" si="2"/>
        <v>Yes</v>
      </c>
      <c r="AX14" s="5">
        <f t="shared" ca="1" si="3"/>
        <v>2.2984506220313783E-3</v>
      </c>
      <c r="AY14">
        <f t="shared" si="4"/>
        <v>18</v>
      </c>
      <c r="BA14">
        <v>-1</v>
      </c>
      <c r="BB14" s="5">
        <f t="shared" ca="1" si="5"/>
        <v>1.7716038310722068E-3</v>
      </c>
      <c r="BC14" s="10" cm="1">
        <f t="array" aca="1" ref="BC14" ca="1">SQRT(SUMPRODUCT(($H$5:$AQ$5="-")*($H24:$AQ24-BB14)^2)/(BG14-1))/SQRT(BG14)</f>
        <v>1.7375927112980325E-3</v>
      </c>
      <c r="BD14" s="13">
        <f t="shared" ca="1" si="6"/>
        <v>1.0195737007602703</v>
      </c>
      <c r="BE14" t="str">
        <f t="shared" ca="1" si="7"/>
        <v>No</v>
      </c>
      <c r="BF14" s="5">
        <f t="shared" ca="1" si="8"/>
        <v>-7.5422491030121552E-3</v>
      </c>
      <c r="BG14">
        <f t="shared" si="9"/>
        <v>18</v>
      </c>
    </row>
    <row r="15" spans="1:59" x14ac:dyDescent="0.2">
      <c r="A15" s="2">
        <f>Data!A15</f>
        <v>46121</v>
      </c>
      <c r="B15" s="5">
        <f>Data!F15</f>
        <v>2.386056078813481E-2</v>
      </c>
      <c r="C15" s="5">
        <f>Data!G15</f>
        <v>3.3589572192513462E-2</v>
      </c>
      <c r="D15" s="5">
        <f>Data!H15</f>
        <v>1.5161502966380969E-2</v>
      </c>
      <c r="E15" s="5">
        <f>Data!I15</f>
        <v>0</v>
      </c>
      <c r="G15" s="3">
        <v>8</v>
      </c>
      <c r="H15" s="5">
        <f ca="1">_xlfn.XLOOKUP(OFFSET(Data!$A$1,H$7-$G15,0,1,1),Data!$A:$A,Data!$G:$G)-(H$8+H$9*_xlfn.XLOOKUP(OFFSET(Data!$A$1,H$7-$G15,0,1,1),Data!$A:$A,Data!$F:$F))</f>
        <v>-2.3676910809213008E-3</v>
      </c>
      <c r="I15" s="5">
        <f ca="1">_xlfn.XLOOKUP(OFFSET(Data!$A$1,I$7-$G15,0,1,1),Data!$A:$A,Data!$H:$H)-(I$8+I$9*_xlfn.XLOOKUP(OFFSET(Data!$A$1,I$7-$G15,0,1,1),Data!$A:$A,Data!$F:$F))</f>
        <v>4.7652288238612169E-3</v>
      </c>
      <c r="J15" s="5">
        <f ca="1">_xlfn.XLOOKUP(OFFSET(Data!$A$1,J$7-$G15,0,1,1),Data!$A:$A,Data!$I:$I)-(J$8+J$9*_xlfn.XLOOKUP(OFFSET(Data!$A$1,J$7-$G15,0,1,1),Data!$A:$A,Data!$F:$F))</f>
        <v>-1.1635366901301841E-4</v>
      </c>
      <c r="K15" s="5">
        <f ca="1">_xlfn.XLOOKUP(OFFSET(Data!$A$1,K$7-$G15,0,1,1),Data!$A:$A,Data!$G:$G)-(K$8+K$9*_xlfn.XLOOKUP(OFFSET(Data!$A$1,K$7-$G15,0,1,1),Data!$A:$A,Data!$F:$F))</f>
        <v>-8.3009088043211627E-3</v>
      </c>
      <c r="L15" s="5">
        <f ca="1">_xlfn.XLOOKUP(OFFSET(Data!$A$1,L$7-$G15,0,1,1),Data!$A:$A,Data!$H:$H)-(L$8+L$9*_xlfn.XLOOKUP(OFFSET(Data!$A$1,L$7-$G15,0,1,1),Data!$A:$A,Data!$F:$F))</f>
        <v>2.0711202235191829E-2</v>
      </c>
      <c r="M15" s="5">
        <f ca="1">_xlfn.XLOOKUP(OFFSET(Data!$A$1,M$7-$G15,0,1,1),Data!$A:$A,Data!$I:$I)-(M$8+M$9*_xlfn.XLOOKUP(OFFSET(Data!$A$1,M$7-$G15,0,1,1),Data!$A:$A,Data!$F:$F))</f>
        <v>2.4155965992074931E-2</v>
      </c>
      <c r="N15" s="5">
        <f ca="1">_xlfn.XLOOKUP(OFFSET(Data!$A$1,N$7-$G15,0,1,1),Data!$A:$A,Data!$G:$G)-(N$8+N$9*_xlfn.XLOOKUP(OFFSET(Data!$A$1,N$7-$G15,0,1,1),Data!$A:$A,Data!$F:$F))</f>
        <v>-1.6697779899479674E-2</v>
      </c>
      <c r="O15" s="5">
        <f ca="1">_xlfn.XLOOKUP(OFFSET(Data!$A$1,O$7-$G15,0,1,1),Data!$A:$A,Data!$H:$H)-(O$8+O$9*_xlfn.XLOOKUP(OFFSET(Data!$A$1,O$7-$G15,0,1,1),Data!$A:$A,Data!$F:$F))</f>
        <v>-5.5716917426013608E-3</v>
      </c>
      <c r="P15" s="5">
        <f ca="1">_xlfn.XLOOKUP(OFFSET(Data!$A$1,P$7-$G15,0,1,1),Data!$A:$A,Data!$I:$I)-(P$8+P$9*_xlfn.XLOOKUP(OFFSET(Data!$A$1,P$7-$G15,0,1,1),Data!$A:$A,Data!$F:$F))</f>
        <v>-2.8859475759619628E-3</v>
      </c>
      <c r="Q15" s="5">
        <f ca="1">_xlfn.XLOOKUP(OFFSET(Data!$A$1,Q$7-$G15,0,1,1),Data!$A:$A,Data!$G:$G)-(Q$8+Q$9*_xlfn.XLOOKUP(OFFSET(Data!$A$1,Q$7-$G15,0,1,1),Data!$A:$A,Data!$F:$F))</f>
        <v>-3.9530917501008796E-3</v>
      </c>
      <c r="R15" s="5">
        <f ca="1">_xlfn.XLOOKUP(OFFSET(Data!$A$1,R$7-$G15,0,1,1),Data!$A:$A,Data!$H:$H)-(R$8+R$9*_xlfn.XLOOKUP(OFFSET(Data!$A$1,R$7-$G15,0,1,1),Data!$A:$A,Data!$F:$F))</f>
        <v>-1.9813225854536459E-2</v>
      </c>
      <c r="S15" s="5">
        <f ca="1">_xlfn.XLOOKUP(OFFSET(Data!$A$1,S$7-$G15,0,1,1),Data!$A:$A,Data!$I:$I)-(S$8+S$9*_xlfn.XLOOKUP(OFFSET(Data!$A$1,S$7-$G15,0,1,1),Data!$A:$A,Data!$F:$F))</f>
        <v>5.93198382746219E-3</v>
      </c>
      <c r="T15" s="5">
        <f ca="1">_xlfn.XLOOKUP(OFFSET(Data!$A$1,T$7-$G15,0,1,1),Data!$A:$A,Data!$G:$G)-(T$8+T$9*_xlfn.XLOOKUP(OFFSET(Data!$A$1,T$7-$G15,0,1,1),Data!$A:$A,Data!$F:$F))</f>
        <v>3.9314208485313085E-2</v>
      </c>
      <c r="U15" s="5">
        <f ca="1">_xlfn.XLOOKUP(OFFSET(Data!$A$1,U$7-$G15,0,1,1),Data!$A:$A,Data!$H:$H)-(U$8+U$9*_xlfn.XLOOKUP(OFFSET(Data!$A$1,U$7-$G15,0,1,1),Data!$A:$A,Data!$F:$F))</f>
        <v>4.3800308818703077E-3</v>
      </c>
      <c r="V15" s="5">
        <f ca="1">_xlfn.XLOOKUP(OFFSET(Data!$A$1,V$7-$G15,0,1,1),Data!$A:$A,Data!$I:$I)-(V$8+V$9*_xlfn.XLOOKUP(OFFSET(Data!$A$1,V$7-$G15,0,1,1),Data!$A:$A,Data!$F:$F))</f>
        <v>-3.9326562800816225E-3</v>
      </c>
      <c r="W15" s="5">
        <f ca="1">_xlfn.XLOOKUP(OFFSET(Data!$A$1,W$7-$G15,0,1,1),Data!$A:$A,Data!$G:$G)-(W$8+W$9*_xlfn.XLOOKUP(OFFSET(Data!$A$1,W$7-$G15,0,1,1),Data!$A:$A,Data!$F:$F))</f>
        <v>1.6425499259864328E-2</v>
      </c>
      <c r="X15" s="5">
        <f ca="1">_xlfn.XLOOKUP(OFFSET(Data!$A$1,X$7-$G15,0,1,1),Data!$A:$A,Data!$H:$H)-(X$8+X$9*_xlfn.XLOOKUP(OFFSET(Data!$A$1,X$7-$G15,0,1,1),Data!$A:$A,Data!$F:$F))</f>
        <v>2.3230482602765869E-2</v>
      </c>
      <c r="Y15" s="5">
        <f ca="1">_xlfn.XLOOKUP(OFFSET(Data!$A$1,Y$7-$G15,0,1,1),Data!$A:$A,Data!$I:$I)-(Y$8+Y$9*_xlfn.XLOOKUP(OFFSET(Data!$A$1,Y$7-$G15,0,1,1),Data!$A:$A,Data!$F:$F))</f>
        <v>-8.0835842161368506E-4</v>
      </c>
      <c r="Z15" s="5">
        <f ca="1">_xlfn.XLOOKUP(OFFSET(Data!$A$1,Z$7-$G15,0,1,1),Data!$A:$A,Data!$G:$G)-(Z$8+Z$9*_xlfn.XLOOKUP(OFFSET(Data!$A$1,Z$7-$G15,0,1,1),Data!$A:$A,Data!$F:$F))</f>
        <v>2.2192285953384572E-2</v>
      </c>
      <c r="AA15" s="5">
        <f ca="1">_xlfn.XLOOKUP(OFFSET(Data!$A$1,AA$7-$G15,0,1,1),Data!$A:$A,Data!$H:$H)-(AA$8+AA$9*_xlfn.XLOOKUP(OFFSET(Data!$A$1,AA$7-$G15,0,1,1),Data!$A:$A,Data!$F:$F))</f>
        <v>3.0987120654144343E-4</v>
      </c>
      <c r="AB15" s="5">
        <f ca="1">_xlfn.XLOOKUP(OFFSET(Data!$A$1,AB$7-$G15,0,1,1),Data!$A:$A,Data!$I:$I)-(AB$8+AB$9*_xlfn.XLOOKUP(OFFSET(Data!$A$1,AB$7-$G15,0,1,1),Data!$A:$A,Data!$F:$F))</f>
        <v>8.5795014751231628E-4</v>
      </c>
      <c r="AC15" s="5">
        <f ca="1">_xlfn.XLOOKUP(OFFSET(Data!$A$1,AC$7-$G15,0,1,1),Data!$A:$A,Data!$G:$G)-(AC$8+AC$9*_xlfn.XLOOKUP(OFFSET(Data!$A$1,AC$7-$G15,0,1,1),Data!$A:$A,Data!$F:$F))</f>
        <v>1.5547930687000741E-2</v>
      </c>
      <c r="AD15" s="5">
        <f ca="1">_xlfn.XLOOKUP(OFFSET(Data!$A$1,AD$7-$G15,0,1,1),Data!$A:$A,Data!$H:$H)-(AD$8+AD$9*_xlfn.XLOOKUP(OFFSET(Data!$A$1,AD$7-$G15,0,1,1),Data!$A:$A,Data!$F:$F))</f>
        <v>-1.0261731533144166E-2</v>
      </c>
      <c r="AE15" s="5">
        <f ca="1">_xlfn.XLOOKUP(OFFSET(Data!$A$1,AE$7-$G15,0,1,1),Data!$A:$A,Data!$I:$I)-(AE$8+AE$9*_xlfn.XLOOKUP(OFFSET(Data!$A$1,AE$7-$G15,0,1,1),Data!$A:$A,Data!$F:$F))</f>
        <v>-6.908570306929665E-3</v>
      </c>
      <c r="AF15" s="5">
        <f ca="1">_xlfn.XLOOKUP(OFFSET(Data!$A$1,AF$7-$G15,0,1,1),Data!$A:$A,Data!$G:$G)-(AF$8+AF$9*_xlfn.XLOOKUP(OFFSET(Data!$A$1,AF$7-$G15,0,1,1),Data!$A:$A,Data!$F:$F))</f>
        <v>2.3448573833328299E-2</v>
      </c>
      <c r="AG15" s="5">
        <f ca="1">_xlfn.XLOOKUP(OFFSET(Data!$A$1,AG$7-$G15,0,1,1),Data!$A:$A,Data!$H:$H)-(AG$8+AG$9*_xlfn.XLOOKUP(OFFSET(Data!$A$1,AG$7-$G15,0,1,1),Data!$A:$A,Data!$F:$F))</f>
        <v>4.7358244550337748E-2</v>
      </c>
      <c r="AH15" s="5">
        <f ca="1">_xlfn.XLOOKUP(OFFSET(Data!$A$1,AH$7-$G15,0,1,1),Data!$A:$A,Data!$I:$I)-(AH$8+AH$9*_xlfn.XLOOKUP(OFFSET(Data!$A$1,AH$7-$G15,0,1,1),Data!$A:$A,Data!$F:$F))</f>
        <v>3.6959629483012735E-2</v>
      </c>
      <c r="AI15" s="5">
        <f ca="1">_xlfn.XLOOKUP(OFFSET(Data!$A$1,AI$7-$G15,0,1,1),Data!$A:$A,Data!$G:$G)-(AI$8+AI$9*_xlfn.XLOOKUP(OFFSET(Data!$A$1,AI$7-$G15,0,1,1),Data!$A:$A,Data!$F:$F))</f>
        <v>1.4724645749312806E-2</v>
      </c>
      <c r="AJ15" s="5">
        <f ca="1">_xlfn.XLOOKUP(OFFSET(Data!$A$1,AJ$7-$G15,0,1,1),Data!$A:$A,Data!$H:$H)-(AJ$8+AJ$9*_xlfn.XLOOKUP(OFFSET(Data!$A$1,AJ$7-$G15,0,1,1),Data!$A:$A,Data!$F:$F))</f>
        <v>-5.2669673940541201E-4</v>
      </c>
      <c r="AK15" s="5">
        <f ca="1">_xlfn.XLOOKUP(OFFSET(Data!$A$1,AK$7-$G15,0,1,1),Data!$A:$A,Data!$I:$I)-(AK$8+AK$9*_xlfn.XLOOKUP(OFFSET(Data!$A$1,AK$7-$G15,0,1,1),Data!$A:$A,Data!$F:$F))</f>
        <v>-1.0446969033198111E-2</v>
      </c>
      <c r="AL15" s="5">
        <f ca="1">_xlfn.XLOOKUP(OFFSET(Data!$A$1,AL$7-$G15,0,1,1),Data!$A:$A,Data!$G:$G)-(AL$8+AL$9*_xlfn.XLOOKUP(OFFSET(Data!$A$1,AL$7-$G15,0,1,1),Data!$A:$A,Data!$F:$F))</f>
        <v>-4.7573900947631012E-3</v>
      </c>
      <c r="AM15" s="5">
        <f ca="1">_xlfn.XLOOKUP(OFFSET(Data!$A$1,AM$7-$G15,0,1,1),Data!$A:$A,Data!$H:$H)-(AM$8+AM$9*_xlfn.XLOOKUP(OFFSET(Data!$A$1,AM$7-$G15,0,1,1),Data!$A:$A,Data!$F:$F))</f>
        <v>-1.0895799292685162E-2</v>
      </c>
      <c r="AN15" s="5">
        <f ca="1">_xlfn.XLOOKUP(OFFSET(Data!$A$1,AN$7-$G15,0,1,1),Data!$A:$A,Data!$I:$I)-(AN$8+AN$9*_xlfn.XLOOKUP(OFFSET(Data!$A$1,AN$7-$G15,0,1,1),Data!$A:$A,Data!$F:$F))</f>
        <v>-3.2239626253079048E-3</v>
      </c>
      <c r="AO15" s="5">
        <f ca="1">_xlfn.XLOOKUP(OFFSET(Data!$A$1,AO$7-$G15,0,1,1),Data!$A:$A,Data!$G:$G)-(AO$8+AO$9*_xlfn.XLOOKUP(OFFSET(Data!$A$1,AO$7-$G15,0,1,1),Data!$A:$A,Data!$F:$F))</f>
        <v>2.0836810901676776E-2</v>
      </c>
      <c r="AP15" s="5">
        <f ca="1">_xlfn.XLOOKUP(OFFSET(Data!$A$1,AP$7-$G15,0,1,1),Data!$A:$A,Data!$H:$H)-(AP$8+AP$9*_xlfn.XLOOKUP(OFFSET(Data!$A$1,AP$7-$G15,0,1,1),Data!$A:$A,Data!$F:$F))</f>
        <v>-7.9009598121290506E-3</v>
      </c>
      <c r="AQ15" s="5">
        <f ca="1">_xlfn.XLOOKUP(OFFSET(Data!$A$1,AQ$7-$G15,0,1,1),Data!$A:$A,Data!$I:$I)-(AQ$8+AQ$9*_xlfn.XLOOKUP(OFFSET(Data!$A$1,AQ$7-$G15,0,1,1),Data!$A:$A,Data!$F:$F))</f>
        <v>-1.472021856896065E-3</v>
      </c>
      <c r="AS15">
        <v>-2</v>
      </c>
      <c r="AT15" s="5">
        <f t="shared" ca="1" si="0"/>
        <v>4.459987492090472E-3</v>
      </c>
      <c r="AU15" s="10" cm="1">
        <f t="array" aca="1" ref="AU15" ca="1">SQRT(SUMPRODUCT(($H$5:$AQ$5="+")*($H25:$AQ25-AT15)^2)/(AY15-1))/SQRT(AY15)</f>
        <v>2.9876877081178844E-3</v>
      </c>
      <c r="AV15" s="13">
        <f t="shared" ca="1" si="1"/>
        <v>1.4927890488594853</v>
      </c>
      <c r="AW15" t="str">
        <f t="shared" ca="1" si="2"/>
        <v>No</v>
      </c>
      <c r="AX15" s="5">
        <f t="shared" ca="1" si="3"/>
        <v>-1.1785184623821165E-2</v>
      </c>
      <c r="AY15">
        <f t="shared" si="4"/>
        <v>18</v>
      </c>
      <c r="BA15">
        <v>-2</v>
      </c>
      <c r="BB15" s="5">
        <f t="shared" ca="1" si="5"/>
        <v>1.5149643228135308E-3</v>
      </c>
      <c r="BC15" s="10" cm="1">
        <f t="array" aca="1" ref="BC15" ca="1">SQRT(SUMPRODUCT(($H$5:$AQ$5="-")*($H25:$AQ25-BB15)^2)/(BG15-1))/SQRT(BG15)</f>
        <v>1.7857313156269044E-3</v>
      </c>
      <c r="BD15" s="13">
        <f t="shared" ca="1" si="6"/>
        <v>0.84837193006366851</v>
      </c>
      <c r="BE15" t="str">
        <f t="shared" ca="1" si="7"/>
        <v>No</v>
      </c>
      <c r="BF15" s="5">
        <f t="shared" ca="1" si="8"/>
        <v>-9.2973816571216839E-3</v>
      </c>
      <c r="BG15">
        <f t="shared" si="9"/>
        <v>18</v>
      </c>
    </row>
    <row r="16" spans="1:59" x14ac:dyDescent="0.2">
      <c r="A16" s="2">
        <f>Data!A16</f>
        <v>46118</v>
      </c>
      <c r="B16" s="5">
        <f>Data!F16</f>
        <v>1.1862451070127733E-2</v>
      </c>
      <c r="C16" s="5">
        <f>Data!G16</f>
        <v>3.3506044905008636E-2</v>
      </c>
      <c r="D16" s="5">
        <f>Data!H16</f>
        <v>3.6202185792349795E-2</v>
      </c>
      <c r="E16" s="5">
        <f>Data!I16</f>
        <v>0</v>
      </c>
      <c r="G16" s="3">
        <v>7</v>
      </c>
      <c r="H16" s="5">
        <f ca="1">_xlfn.XLOOKUP(OFFSET(Data!$A$1,H$7-$G16,0,1,1),Data!$A:$A,Data!$G:$G)-(H$8+H$9*_xlfn.XLOOKUP(OFFSET(Data!$A$1,H$7-$G16,0,1,1),Data!$A:$A,Data!$F:$F))</f>
        <v>-7.9984224681372163E-3</v>
      </c>
      <c r="I16" s="5">
        <f ca="1">_xlfn.XLOOKUP(OFFSET(Data!$A$1,I$7-$G16,0,1,1),Data!$A:$A,Data!$H:$H)-(I$8+I$9*_xlfn.XLOOKUP(OFFSET(Data!$A$1,I$7-$G16,0,1,1),Data!$A:$A,Data!$F:$F))</f>
        <v>1.9249880065905452E-2</v>
      </c>
      <c r="J16" s="5">
        <f ca="1">_xlfn.XLOOKUP(OFFSET(Data!$A$1,J$7-$G16,0,1,1),Data!$A:$A,Data!$I:$I)-(J$8+J$9*_xlfn.XLOOKUP(OFFSET(Data!$A$1,J$7-$G16,0,1,1),Data!$A:$A,Data!$F:$F))</f>
        <v>-1.2543136447525293E-2</v>
      </c>
      <c r="K16" s="5">
        <f ca="1">_xlfn.XLOOKUP(OFFSET(Data!$A$1,K$7-$G16,0,1,1),Data!$A:$A,Data!$G:$G)-(K$8+K$9*_xlfn.XLOOKUP(OFFSET(Data!$A$1,K$7-$G16,0,1,1),Data!$A:$A,Data!$F:$F))</f>
        <v>-2.0304771640039562E-2</v>
      </c>
      <c r="L16" s="5">
        <f ca="1">_xlfn.XLOOKUP(OFFSET(Data!$A$1,L$7-$G16,0,1,1),Data!$A:$A,Data!$H:$H)-(L$8+L$9*_xlfn.XLOOKUP(OFFSET(Data!$A$1,L$7-$G16,0,1,1),Data!$A:$A,Data!$F:$F))</f>
        <v>3.954508278894678E-3</v>
      </c>
      <c r="M16" s="5">
        <f ca="1">_xlfn.XLOOKUP(OFFSET(Data!$A$1,M$7-$G16,0,1,1),Data!$A:$A,Data!$I:$I)-(M$8+M$9*_xlfn.XLOOKUP(OFFSET(Data!$A$1,M$7-$G16,0,1,1),Data!$A:$A,Data!$F:$F))</f>
        <v>-1.2015219704642195E-3</v>
      </c>
      <c r="N16" s="5">
        <f ca="1">_xlfn.XLOOKUP(OFFSET(Data!$A$1,N$7-$G16,0,1,1),Data!$A:$A,Data!$G:$G)-(N$8+N$9*_xlfn.XLOOKUP(OFFSET(Data!$A$1,N$7-$G16,0,1,1),Data!$A:$A,Data!$F:$F))</f>
        <v>-8.3769042704427699E-3</v>
      </c>
      <c r="O16" s="5">
        <f ca="1">_xlfn.XLOOKUP(OFFSET(Data!$A$1,O$7-$G16,0,1,1),Data!$A:$A,Data!$H:$H)-(O$8+O$9*_xlfn.XLOOKUP(OFFSET(Data!$A$1,O$7-$G16,0,1,1),Data!$A:$A,Data!$F:$F))</f>
        <v>2.6900793587339461E-2</v>
      </c>
      <c r="P16" s="5">
        <f ca="1">_xlfn.XLOOKUP(OFFSET(Data!$A$1,P$7-$G16,0,1,1),Data!$A:$A,Data!$I:$I)-(P$8+P$9*_xlfn.XLOOKUP(OFFSET(Data!$A$1,P$7-$G16,0,1,1),Data!$A:$A,Data!$F:$F))</f>
        <v>1.4843025626885547E-3</v>
      </c>
      <c r="Q16" s="5">
        <f ca="1">_xlfn.XLOOKUP(OFFSET(Data!$A$1,Q$7-$G16,0,1,1),Data!$A:$A,Data!$G:$G)-(Q$8+Q$9*_xlfn.XLOOKUP(OFFSET(Data!$A$1,Q$7-$G16,0,1,1),Data!$A:$A,Data!$F:$F))</f>
        <v>-1.353670007754041E-2</v>
      </c>
      <c r="R16" s="5">
        <f ca="1">_xlfn.XLOOKUP(OFFSET(Data!$A$1,R$7-$G16,0,1,1),Data!$A:$A,Data!$H:$H)-(R$8+R$9*_xlfn.XLOOKUP(OFFSET(Data!$A$1,R$7-$G16,0,1,1),Data!$A:$A,Data!$F:$F))</f>
        <v>-1.6156569220875178E-2</v>
      </c>
      <c r="S16" s="5">
        <f ca="1">_xlfn.XLOOKUP(OFFSET(Data!$A$1,S$7-$G16,0,1,1),Data!$A:$A,Data!$I:$I)-(S$8+S$9*_xlfn.XLOOKUP(OFFSET(Data!$A$1,S$7-$G16,0,1,1),Data!$A:$A,Data!$F:$F))</f>
        <v>-5.5482303539045727E-3</v>
      </c>
      <c r="T16" s="5">
        <f ca="1">_xlfn.XLOOKUP(OFFSET(Data!$A$1,T$7-$G16,0,1,1),Data!$A:$A,Data!$G:$G)-(T$8+T$9*_xlfn.XLOOKUP(OFFSET(Data!$A$1,T$7-$G16,0,1,1),Data!$A:$A,Data!$F:$F))</f>
        <v>8.7887043164461102E-3</v>
      </c>
      <c r="U16" s="5">
        <f ca="1">_xlfn.XLOOKUP(OFFSET(Data!$A$1,U$7-$G16,0,1,1),Data!$A:$A,Data!$H:$H)-(U$8+U$9*_xlfn.XLOOKUP(OFFSET(Data!$A$1,U$7-$G16,0,1,1),Data!$A:$A,Data!$F:$F))</f>
        <v>-2.1853098671938832E-2</v>
      </c>
      <c r="V16" s="5">
        <f ca="1">_xlfn.XLOOKUP(OFFSET(Data!$A$1,V$7-$G16,0,1,1),Data!$A:$A,Data!$I:$I)-(V$8+V$9*_xlfn.XLOOKUP(OFFSET(Data!$A$1,V$7-$G16,0,1,1),Data!$A:$A,Data!$F:$F))</f>
        <v>-2.084208442429529E-2</v>
      </c>
      <c r="W16" s="5">
        <f ca="1">_xlfn.XLOOKUP(OFFSET(Data!$A$1,W$7-$G16,0,1,1),Data!$A:$A,Data!$G:$G)-(W$8+W$9*_xlfn.XLOOKUP(OFFSET(Data!$A$1,W$7-$G16,0,1,1),Data!$A:$A,Data!$F:$F))</f>
        <v>-2.9536311398378059E-2</v>
      </c>
      <c r="X16" s="5">
        <f ca="1">_xlfn.XLOOKUP(OFFSET(Data!$A$1,X$7-$G16,0,1,1),Data!$A:$A,Data!$H:$H)-(X$8+X$9*_xlfn.XLOOKUP(OFFSET(Data!$A$1,X$7-$G16,0,1,1),Data!$A:$A,Data!$F:$F))</f>
        <v>2.6297614577287095E-3</v>
      </c>
      <c r="Y16" s="5">
        <f ca="1">_xlfn.XLOOKUP(OFFSET(Data!$A$1,Y$7-$G16,0,1,1),Data!$A:$A,Data!$I:$I)-(Y$8+Y$9*_xlfn.XLOOKUP(OFFSET(Data!$A$1,Y$7-$G16,0,1,1),Data!$A:$A,Data!$F:$F))</f>
        <v>2.303584223572493E-3</v>
      </c>
      <c r="Z16" s="5">
        <f ca="1">_xlfn.XLOOKUP(OFFSET(Data!$A$1,Z$7-$G16,0,1,1),Data!$A:$A,Data!$G:$G)-(Z$8+Z$9*_xlfn.XLOOKUP(OFFSET(Data!$A$1,Z$7-$G16,0,1,1),Data!$A:$A,Data!$F:$F))</f>
        <v>-5.1473796750753755E-4</v>
      </c>
      <c r="AA16" s="5">
        <f ca="1">_xlfn.XLOOKUP(OFFSET(Data!$A$1,AA$7-$G16,0,1,1),Data!$A:$A,Data!$H:$H)-(AA$8+AA$9*_xlfn.XLOOKUP(OFFSET(Data!$A$1,AA$7-$G16,0,1,1),Data!$A:$A,Data!$F:$F))</f>
        <v>-2.3406489177991915E-3</v>
      </c>
      <c r="AB16" s="5">
        <f ca="1">_xlfn.XLOOKUP(OFFSET(Data!$A$1,AB$7-$G16,0,1,1),Data!$A:$A,Data!$I:$I)-(AB$8+AB$9*_xlfn.XLOOKUP(OFFSET(Data!$A$1,AB$7-$G16,0,1,1),Data!$A:$A,Data!$F:$F))</f>
        <v>4.1518487103299204E-3</v>
      </c>
      <c r="AC16" s="5">
        <f ca="1">_xlfn.XLOOKUP(OFFSET(Data!$A$1,AC$7-$G16,0,1,1),Data!$A:$A,Data!$G:$G)-(AC$8+AC$9*_xlfn.XLOOKUP(OFFSET(Data!$A$1,AC$7-$G16,0,1,1),Data!$A:$A,Data!$F:$F))</f>
        <v>-1.0632671112264519E-2</v>
      </c>
      <c r="AD16" s="5">
        <f ca="1">_xlfn.XLOOKUP(OFFSET(Data!$A$1,AD$7-$G16,0,1,1),Data!$A:$A,Data!$H:$H)-(AD$8+AD$9*_xlfn.XLOOKUP(OFFSET(Data!$A$1,AD$7-$G16,0,1,1),Data!$A:$A,Data!$F:$F))</f>
        <v>3.3280727096968159E-2</v>
      </c>
      <c r="AE16" s="5">
        <f ca="1">_xlfn.XLOOKUP(OFFSET(Data!$A$1,AE$7-$G16,0,1,1),Data!$A:$A,Data!$I:$I)-(AE$8+AE$9*_xlfn.XLOOKUP(OFFSET(Data!$A$1,AE$7-$G16,0,1,1),Data!$A:$A,Data!$F:$F))</f>
        <v>-2.5228974971704336E-2</v>
      </c>
      <c r="AF16" s="5">
        <f ca="1">_xlfn.XLOOKUP(OFFSET(Data!$A$1,AF$7-$G16,0,1,1),Data!$A:$A,Data!$G:$G)-(AF$8+AF$9*_xlfn.XLOOKUP(OFFSET(Data!$A$1,AF$7-$G16,0,1,1),Data!$A:$A,Data!$F:$F))</f>
        <v>4.1462494312932037E-2</v>
      </c>
      <c r="AG16" s="5">
        <f ca="1">_xlfn.XLOOKUP(OFFSET(Data!$A$1,AG$7-$G16,0,1,1),Data!$A:$A,Data!$H:$H)-(AG$8+AG$9*_xlfn.XLOOKUP(OFFSET(Data!$A$1,AG$7-$G16,0,1,1),Data!$A:$A,Data!$F:$F))</f>
        <v>3.3234640486417208E-2</v>
      </c>
      <c r="AH16" s="5">
        <f ca="1">_xlfn.XLOOKUP(OFFSET(Data!$A$1,AH$7-$G16,0,1,1),Data!$A:$A,Data!$I:$I)-(AH$8+AH$9*_xlfn.XLOOKUP(OFFSET(Data!$A$1,AH$7-$G16,0,1,1),Data!$A:$A,Data!$F:$F))</f>
        <v>6.6063219287751357E-2</v>
      </c>
      <c r="AI16" s="5">
        <f ca="1">_xlfn.XLOOKUP(OFFSET(Data!$A$1,AI$7-$G16,0,1,1),Data!$A:$A,Data!$G:$G)-(AI$8+AI$9*_xlfn.XLOOKUP(OFFSET(Data!$A$1,AI$7-$G16,0,1,1),Data!$A:$A,Data!$F:$F))</f>
        <v>-2.6123242951846116E-3</v>
      </c>
      <c r="AJ16" s="5">
        <f ca="1">_xlfn.XLOOKUP(OFFSET(Data!$A$1,AJ$7-$G16,0,1,1),Data!$A:$A,Data!$H:$H)-(AJ$8+AJ$9*_xlfn.XLOOKUP(OFFSET(Data!$A$1,AJ$7-$G16,0,1,1),Data!$A:$A,Data!$F:$F))</f>
        <v>1.0335202206711606E-2</v>
      </c>
      <c r="AK16" s="5">
        <f ca="1">_xlfn.XLOOKUP(OFFSET(Data!$A$1,AK$7-$G16,0,1,1),Data!$A:$A,Data!$I:$I)-(AK$8+AK$9*_xlfn.XLOOKUP(OFFSET(Data!$A$1,AK$7-$G16,0,1,1),Data!$A:$A,Data!$F:$F))</f>
        <v>7.4116145989430613E-3</v>
      </c>
      <c r="AL16" s="5">
        <f ca="1">_xlfn.XLOOKUP(OFFSET(Data!$A$1,AL$7-$G16,0,1,1),Data!$A:$A,Data!$G:$G)-(AL$8+AL$9*_xlfn.XLOOKUP(OFFSET(Data!$A$1,AL$7-$G16,0,1,1),Data!$A:$A,Data!$F:$F))</f>
        <v>-1.1778673254052918E-2</v>
      </c>
      <c r="AM16" s="5">
        <f ca="1">_xlfn.XLOOKUP(OFFSET(Data!$A$1,AM$7-$G16,0,1,1),Data!$A:$A,Data!$H:$H)-(AM$8+AM$9*_xlfn.XLOOKUP(OFFSET(Data!$A$1,AM$7-$G16,0,1,1),Data!$A:$A,Data!$F:$F))</f>
        <v>-2.4052823002634387E-2</v>
      </c>
      <c r="AN16" s="5">
        <f ca="1">_xlfn.XLOOKUP(OFFSET(Data!$A$1,AN$7-$G16,0,1,1),Data!$A:$A,Data!$I:$I)-(AN$8+AN$9*_xlfn.XLOOKUP(OFFSET(Data!$A$1,AN$7-$G16,0,1,1),Data!$A:$A,Data!$F:$F))</f>
        <v>6.0355352538008257E-3</v>
      </c>
      <c r="AO16" s="5">
        <f ca="1">_xlfn.XLOOKUP(OFFSET(Data!$A$1,AO$7-$G16,0,1,1),Data!$A:$A,Data!$G:$G)-(AO$8+AO$9*_xlfn.XLOOKUP(OFFSET(Data!$A$1,AO$7-$G16,0,1,1),Data!$A:$A,Data!$F:$F))</f>
        <v>9.5097808477810561E-3</v>
      </c>
      <c r="AP16" s="5">
        <f ca="1">_xlfn.XLOOKUP(OFFSET(Data!$A$1,AP$7-$G16,0,1,1),Data!$A:$A,Data!$H:$H)-(AP$8+AP$9*_xlfn.XLOOKUP(OFFSET(Data!$A$1,AP$7-$G16,0,1,1),Data!$A:$A,Data!$F:$F))</f>
        <v>5.4916475330449993E-3</v>
      </c>
      <c r="AQ16" s="5">
        <f ca="1">_xlfn.XLOOKUP(OFFSET(Data!$A$1,AQ$7-$G16,0,1,1),Data!$A:$A,Data!$I:$I)-(AQ$8+AQ$9*_xlfn.XLOOKUP(OFFSET(Data!$A$1,AQ$7-$G16,0,1,1),Data!$A:$A,Data!$F:$F))</f>
        <v>-2.3597530817955912E-3</v>
      </c>
      <c r="AS16">
        <v>-3</v>
      </c>
      <c r="AT16" s="5">
        <f t="shared" ca="1" si="0"/>
        <v>3.8105609136339599E-3</v>
      </c>
      <c r="AU16" s="10" cm="1">
        <f t="array" aca="1" ref="AU16" ca="1">SQRT(SUMPRODUCT(($H$5:$AQ$5="+")*($H26:$AQ26-AT16)^2)/(AY16-1))/SQRT(AY16)</f>
        <v>3.4880003025848714E-3</v>
      </c>
      <c r="AV16" s="13">
        <f t="shared" ca="1" si="1"/>
        <v>1.0924772313838524</v>
      </c>
      <c r="AW16" t="str">
        <f t="shared" ca="1" si="2"/>
        <v>No</v>
      </c>
      <c r="AX16" s="5">
        <f t="shared" ca="1" si="3"/>
        <v>-1.6173040557316942E-2</v>
      </c>
      <c r="AY16">
        <f t="shared" si="4"/>
        <v>18</v>
      </c>
      <c r="BA16">
        <v>-3</v>
      </c>
      <c r="BB16" s="5">
        <f t="shared" ca="1" si="5"/>
        <v>2.3022387923267475E-3</v>
      </c>
      <c r="BC16" s="10" cm="1">
        <f t="array" aca="1" ref="BC16" ca="1">SQRT(SUMPRODUCT(($H$5:$AQ$5="-")*($H26:$AQ26-BB16)^2)/(BG16-1))/SQRT(BG16)</f>
        <v>2.0281588053756572E-3</v>
      </c>
      <c r="BD16" s="13">
        <f t="shared" ca="1" si="6"/>
        <v>1.1351373404413097</v>
      </c>
      <c r="BE16" t="str">
        <f t="shared" ca="1" si="7"/>
        <v>No</v>
      </c>
      <c r="BF16" s="5">
        <f t="shared" ca="1" si="8"/>
        <v>-1.0795990439589898E-2</v>
      </c>
      <c r="BG16">
        <f t="shared" si="9"/>
        <v>18</v>
      </c>
    </row>
    <row r="17" spans="1:59" x14ac:dyDescent="0.2">
      <c r="A17" s="2">
        <f>Data!A17</f>
        <v>46115</v>
      </c>
      <c r="B17" s="5">
        <f>Data!F17</f>
        <v>2.2687270183405106E-2</v>
      </c>
      <c r="C17" s="5">
        <f>Data!G17</f>
        <v>1.1530398322851187E-2</v>
      </c>
      <c r="D17" s="5">
        <f>Data!H17</f>
        <v>-7.4576271186440612E-3</v>
      </c>
      <c r="E17" s="5">
        <f>Data!I17</f>
        <v>0</v>
      </c>
      <c r="G17" s="3">
        <v>6</v>
      </c>
      <c r="H17" s="5">
        <f ca="1">_xlfn.XLOOKUP(OFFSET(Data!$A$1,H$7-$G17,0,1,1),Data!$A:$A,Data!$G:$G)-(H$8+H$9*_xlfn.XLOOKUP(OFFSET(Data!$A$1,H$7-$G17,0,1,1),Data!$A:$A,Data!$F:$F))</f>
        <v>7.634527840776735E-3</v>
      </c>
      <c r="I17" s="5">
        <f ca="1">_xlfn.XLOOKUP(OFFSET(Data!$A$1,I$7-$G17,0,1,1),Data!$A:$A,Data!$H:$H)-(I$8+I$9*_xlfn.XLOOKUP(OFFSET(Data!$A$1,I$7-$G17,0,1,1),Data!$A:$A,Data!$F:$F))</f>
        <v>-5.7753264618808052E-3</v>
      </c>
      <c r="J17" s="5">
        <f ca="1">_xlfn.XLOOKUP(OFFSET(Data!$A$1,J$7-$G17,0,1,1),Data!$A:$A,Data!$I:$I)-(J$8+J$9*_xlfn.XLOOKUP(OFFSET(Data!$A$1,J$7-$G17,0,1,1),Data!$A:$A,Data!$F:$F))</f>
        <v>-3.0052998332012579E-3</v>
      </c>
      <c r="K17" s="5">
        <f ca="1">_xlfn.XLOOKUP(OFFSET(Data!$A$1,K$7-$G17,0,1,1),Data!$A:$A,Data!$G:$G)-(K$8+K$9*_xlfn.XLOOKUP(OFFSET(Data!$A$1,K$7-$G17,0,1,1),Data!$A:$A,Data!$F:$F))</f>
        <v>5.1549020853868116E-3</v>
      </c>
      <c r="L17" s="5">
        <f ca="1">_xlfn.XLOOKUP(OFFSET(Data!$A$1,L$7-$G17,0,1,1),Data!$A:$A,Data!$H:$H)-(L$8+L$9*_xlfn.XLOOKUP(OFFSET(Data!$A$1,L$7-$G17,0,1,1),Data!$A:$A,Data!$F:$F))</f>
        <v>-2.0438362624685777E-2</v>
      </c>
      <c r="M17" s="5">
        <f ca="1">_xlfn.XLOOKUP(OFFSET(Data!$A$1,M$7-$G17,0,1,1),Data!$A:$A,Data!$I:$I)-(M$8+M$9*_xlfn.XLOOKUP(OFFSET(Data!$A$1,M$7-$G17,0,1,1),Data!$A:$A,Data!$F:$F))</f>
        <v>-4.8651485862253971E-2</v>
      </c>
      <c r="N17" s="5">
        <f ca="1">_xlfn.XLOOKUP(OFFSET(Data!$A$1,N$7-$G17,0,1,1),Data!$A:$A,Data!$G:$G)-(N$8+N$9*_xlfn.XLOOKUP(OFFSET(Data!$A$1,N$7-$G17,0,1,1),Data!$A:$A,Data!$F:$F))</f>
        <v>2.262954192405521E-2</v>
      </c>
      <c r="O17" s="5">
        <f ca="1">_xlfn.XLOOKUP(OFFSET(Data!$A$1,O$7-$G17,0,1,1),Data!$A:$A,Data!$H:$H)-(O$8+O$9*_xlfn.XLOOKUP(OFFSET(Data!$A$1,O$7-$G17,0,1,1),Data!$A:$A,Data!$F:$F))</f>
        <v>-6.9446638028553241E-3</v>
      </c>
      <c r="P17" s="5">
        <f ca="1">_xlfn.XLOOKUP(OFFSET(Data!$A$1,P$7-$G17,0,1,1),Data!$A:$A,Data!$I:$I)-(P$8+P$9*_xlfn.XLOOKUP(OFFSET(Data!$A$1,P$7-$G17,0,1,1),Data!$A:$A,Data!$F:$F))</f>
        <v>-7.6715718101023249E-4</v>
      </c>
      <c r="Q17" s="5">
        <f ca="1">_xlfn.XLOOKUP(OFFSET(Data!$A$1,Q$7-$G17,0,1,1),Data!$A:$A,Data!$G:$G)-(Q$8+Q$9*_xlfn.XLOOKUP(OFFSET(Data!$A$1,Q$7-$G17,0,1,1),Data!$A:$A,Data!$F:$F))</f>
        <v>1.4210326310318116E-2</v>
      </c>
      <c r="R17" s="5">
        <f ca="1">_xlfn.XLOOKUP(OFFSET(Data!$A$1,R$7-$G17,0,1,1),Data!$A:$A,Data!$H:$H)-(R$8+R$9*_xlfn.XLOOKUP(OFFSET(Data!$A$1,R$7-$G17,0,1,1),Data!$A:$A,Data!$F:$F))</f>
        <v>-7.559882513569257E-4</v>
      </c>
      <c r="S17" s="5">
        <f ca="1">_xlfn.XLOOKUP(OFFSET(Data!$A$1,S$7-$G17,0,1,1),Data!$A:$A,Data!$I:$I)-(S$8+S$9*_xlfn.XLOOKUP(OFFSET(Data!$A$1,S$7-$G17,0,1,1),Data!$A:$A,Data!$F:$F))</f>
        <v>-3.1600440517958179E-3</v>
      </c>
      <c r="T17" s="5">
        <f ca="1">_xlfn.XLOOKUP(OFFSET(Data!$A$1,T$7-$G17,0,1,1),Data!$A:$A,Data!$G:$G)-(T$8+T$9*_xlfn.XLOOKUP(OFFSET(Data!$A$1,T$7-$G17,0,1,1),Data!$A:$A,Data!$F:$F))</f>
        <v>-7.2486729292493427E-3</v>
      </c>
      <c r="U17" s="5">
        <f ca="1">_xlfn.XLOOKUP(OFFSET(Data!$A$1,U$7-$G17,0,1,1),Data!$A:$A,Data!$H:$H)-(U$8+U$9*_xlfn.XLOOKUP(OFFSET(Data!$A$1,U$7-$G17,0,1,1),Data!$A:$A,Data!$F:$F))</f>
        <v>-3.4895038833554493E-3</v>
      </c>
      <c r="V17" s="5">
        <f ca="1">_xlfn.XLOOKUP(OFFSET(Data!$A$1,V$7-$G17,0,1,1),Data!$A:$A,Data!$I:$I)-(V$8+V$9*_xlfn.XLOOKUP(OFFSET(Data!$A$1,V$7-$G17,0,1,1),Data!$A:$A,Data!$F:$F))</f>
        <v>3.8981826529115539E-3</v>
      </c>
      <c r="W17" s="5">
        <f ca="1">_xlfn.XLOOKUP(OFFSET(Data!$A$1,W$7-$G17,0,1,1),Data!$A:$A,Data!$G:$G)-(W$8+W$9*_xlfn.XLOOKUP(OFFSET(Data!$A$1,W$7-$G17,0,1,1),Data!$A:$A,Data!$F:$F))</f>
        <v>1.7385248367211985E-2</v>
      </c>
      <c r="X17" s="5">
        <f ca="1">_xlfn.XLOOKUP(OFFSET(Data!$A$1,X$7-$G17,0,1,1),Data!$A:$A,Data!$H:$H)-(X$8+X$9*_xlfn.XLOOKUP(OFFSET(Data!$A$1,X$7-$G17,0,1,1),Data!$A:$A,Data!$F:$F))</f>
        <v>-1.4989034626232944E-2</v>
      </c>
      <c r="Y17" s="5">
        <f ca="1">_xlfn.XLOOKUP(OFFSET(Data!$A$1,Y$7-$G17,0,1,1),Data!$A:$A,Data!$I:$I)-(Y$8+Y$9*_xlfn.XLOOKUP(OFFSET(Data!$A$1,Y$7-$G17,0,1,1),Data!$A:$A,Data!$F:$F))</f>
        <v>-2.2490854451611762E-4</v>
      </c>
      <c r="Z17" s="5">
        <f ca="1">_xlfn.XLOOKUP(OFFSET(Data!$A$1,Z$7-$G17,0,1,1),Data!$A:$A,Data!$G:$G)-(Z$8+Z$9*_xlfn.XLOOKUP(OFFSET(Data!$A$1,Z$7-$G17,0,1,1),Data!$A:$A,Data!$F:$F))</f>
        <v>8.7262192538123395E-4</v>
      </c>
      <c r="AA17" s="5">
        <f ca="1">_xlfn.XLOOKUP(OFFSET(Data!$A$1,AA$7-$G17,0,1,1),Data!$A:$A,Data!$H:$H)-(AA$8+AA$9*_xlfn.XLOOKUP(OFFSET(Data!$A$1,AA$7-$G17,0,1,1),Data!$A:$A,Data!$F:$F))</f>
        <v>1.376134189608862E-2</v>
      </c>
      <c r="AB17" s="5">
        <f ca="1">_xlfn.XLOOKUP(OFFSET(Data!$A$1,AB$7-$G17,0,1,1),Data!$A:$A,Data!$I:$I)-(AB$8+AB$9*_xlfn.XLOOKUP(OFFSET(Data!$A$1,AB$7-$G17,0,1,1),Data!$A:$A,Data!$F:$F))</f>
        <v>-2.651316023208462E-2</v>
      </c>
      <c r="AC17" s="5">
        <f ca="1">_xlfn.XLOOKUP(OFFSET(Data!$A$1,AC$7-$G17,0,1,1),Data!$A:$A,Data!$G:$G)-(AC$8+AC$9*_xlfn.XLOOKUP(OFFSET(Data!$A$1,AC$7-$G17,0,1,1),Data!$A:$A,Data!$F:$F))</f>
        <v>-1.5992434667135277E-2</v>
      </c>
      <c r="AD17" s="5">
        <f ca="1">_xlfn.XLOOKUP(OFFSET(Data!$A$1,AD$7-$G17,0,1,1),Data!$A:$A,Data!$H:$H)-(AD$8+AD$9*_xlfn.XLOOKUP(OFFSET(Data!$A$1,AD$7-$G17,0,1,1),Data!$A:$A,Data!$F:$F))</f>
        <v>-3.0680040449141237E-2</v>
      </c>
      <c r="AE17" s="5">
        <f ca="1">_xlfn.XLOOKUP(OFFSET(Data!$A$1,AE$7-$G17,0,1,1),Data!$A:$A,Data!$I:$I)-(AE$8+AE$9*_xlfn.XLOOKUP(OFFSET(Data!$A$1,AE$7-$G17,0,1,1),Data!$A:$A,Data!$F:$F))</f>
        <v>4.3029612681761732E-3</v>
      </c>
      <c r="AF17" s="5">
        <f ca="1">_xlfn.XLOOKUP(OFFSET(Data!$A$1,AF$7-$G17,0,1,1),Data!$A:$A,Data!$G:$G)-(AF$8+AF$9*_xlfn.XLOOKUP(OFFSET(Data!$A$1,AF$7-$G17,0,1,1),Data!$A:$A,Data!$F:$F))</f>
        <v>7.9735043059352972E-3</v>
      </c>
      <c r="AG17" s="5">
        <f ca="1">_xlfn.XLOOKUP(OFFSET(Data!$A$1,AG$7-$G17,0,1,1),Data!$A:$A,Data!$H:$H)-(AG$8+AG$9*_xlfn.XLOOKUP(OFFSET(Data!$A$1,AG$7-$G17,0,1,1),Data!$A:$A,Data!$F:$F))</f>
        <v>2.5893328502514974E-3</v>
      </c>
      <c r="AH17" s="5">
        <f ca="1">_xlfn.XLOOKUP(OFFSET(Data!$A$1,AH$7-$G17,0,1,1),Data!$A:$A,Data!$I:$I)-(AH$8+AH$9*_xlfn.XLOOKUP(OFFSET(Data!$A$1,AH$7-$G17,0,1,1),Data!$A:$A,Data!$F:$F))</f>
        <v>-6.6453415264228169E-2</v>
      </c>
      <c r="AI17" s="5">
        <f ca="1">_xlfn.XLOOKUP(OFFSET(Data!$A$1,AI$7-$G17,0,1,1),Data!$A:$A,Data!$G:$G)-(AI$8+AI$9*_xlfn.XLOOKUP(OFFSET(Data!$A$1,AI$7-$G17,0,1,1),Data!$A:$A,Data!$F:$F))</f>
        <v>-4.7126146657074687E-3</v>
      </c>
      <c r="AJ17" s="5">
        <f ca="1">_xlfn.XLOOKUP(OFFSET(Data!$A$1,AJ$7-$G17,0,1,1),Data!$A:$A,Data!$H:$H)-(AJ$8+AJ$9*_xlfn.XLOOKUP(OFFSET(Data!$A$1,AJ$7-$G17,0,1,1),Data!$A:$A,Data!$F:$F))</f>
        <v>2.0944366683260107E-2</v>
      </c>
      <c r="AK17" s="5">
        <f ca="1">_xlfn.XLOOKUP(OFFSET(Data!$A$1,AK$7-$G17,0,1,1),Data!$A:$A,Data!$I:$I)-(AK$8+AK$9*_xlfn.XLOOKUP(OFFSET(Data!$A$1,AK$7-$G17,0,1,1),Data!$A:$A,Data!$F:$F))</f>
        <v>3.2319700718982922E-2</v>
      </c>
      <c r="AL17" s="5">
        <f ca="1">_xlfn.XLOOKUP(OFFSET(Data!$A$1,AL$7-$G17,0,1,1),Data!$A:$A,Data!$G:$G)-(AL$8+AL$9*_xlfn.XLOOKUP(OFFSET(Data!$A$1,AL$7-$G17,0,1,1),Data!$A:$A,Data!$F:$F))</f>
        <v>-3.3708714414056068E-2</v>
      </c>
      <c r="AM17" s="5">
        <f ca="1">_xlfn.XLOOKUP(OFFSET(Data!$A$1,AM$7-$G17,0,1,1),Data!$A:$A,Data!$H:$H)-(AM$8+AM$9*_xlfn.XLOOKUP(OFFSET(Data!$A$1,AM$7-$G17,0,1,1),Data!$A:$A,Data!$F:$F))</f>
        <v>-4.7482026014539457E-3</v>
      </c>
      <c r="AN17" s="5">
        <f ca="1">_xlfn.XLOOKUP(OFFSET(Data!$A$1,AN$7-$G17,0,1,1),Data!$A:$A,Data!$I:$I)-(AN$8+AN$9*_xlfn.XLOOKUP(OFFSET(Data!$A$1,AN$7-$G17,0,1,1),Data!$A:$A,Data!$F:$F))</f>
        <v>-1.9972338302073427E-3</v>
      </c>
      <c r="AO17" s="5">
        <f ca="1">_xlfn.XLOOKUP(OFFSET(Data!$A$1,AO$7-$G17,0,1,1),Data!$A:$A,Data!$G:$G)-(AO$8+AO$9*_xlfn.XLOOKUP(OFFSET(Data!$A$1,AO$7-$G17,0,1,1),Data!$A:$A,Data!$F:$F))</f>
        <v>2.2988589336109748E-2</v>
      </c>
      <c r="AP17" s="5">
        <f ca="1">_xlfn.XLOOKUP(OFFSET(Data!$A$1,AP$7-$G17,0,1,1),Data!$A:$A,Data!$H:$H)-(AP$8+AP$9*_xlfn.XLOOKUP(OFFSET(Data!$A$1,AP$7-$G17,0,1,1),Data!$A:$A,Data!$F:$F))</f>
        <v>3.244697254859169E-2</v>
      </c>
      <c r="AQ17" s="5">
        <f ca="1">_xlfn.XLOOKUP(OFFSET(Data!$A$1,AQ$7-$G17,0,1,1),Data!$A:$A,Data!$I:$I)-(AQ$8+AQ$9*_xlfn.XLOOKUP(OFFSET(Data!$A$1,AQ$7-$G17,0,1,1),Data!$A:$A,Data!$F:$F))</f>
        <v>5.7869346684752843E-4</v>
      </c>
      <c r="AS17">
        <v>-4</v>
      </c>
      <c r="AT17" s="5">
        <f t="shared" ca="1" si="0"/>
        <v>-2.1039743420126203E-3</v>
      </c>
      <c r="AU17" s="10" cm="1">
        <f t="array" aca="1" ref="AU17" ca="1">SQRT(SUMPRODUCT(($H$5:$AQ$5="+")*($H27:$AQ27-AT17)^2)/(AY17-1))/SQRT(AY17)</f>
        <v>4.405034833775477E-3</v>
      </c>
      <c r="AV17" s="13">
        <f t="shared" ca="1" si="1"/>
        <v>-0.4776294448072142</v>
      </c>
      <c r="AW17" t="str">
        <f t="shared" ca="1" si="2"/>
        <v>No</v>
      </c>
      <c r="AX17" s="5">
        <f t="shared" ca="1" si="3"/>
        <v>-1.9907741808138035E-2</v>
      </c>
      <c r="AY17">
        <f t="shared" si="4"/>
        <v>18</v>
      </c>
      <c r="BA17">
        <v>-4</v>
      </c>
      <c r="BB17" s="5">
        <f t="shared" ca="1" si="5"/>
        <v>-7.796297872310051E-4</v>
      </c>
      <c r="BC17" s="10" cm="1">
        <f t="array" aca="1" ref="BC17" ca="1">SQRT(SUMPRODUCT(($H$5:$AQ$5="-")*($H27:$AQ27-BB17)^2)/(BG17-1))/SQRT(BG17)</f>
        <v>2.266894750385337E-3</v>
      </c>
      <c r="BD17" s="13">
        <f t="shared" ca="1" si="6"/>
        <v>-0.3439197109166538</v>
      </c>
      <c r="BE17" t="str">
        <f t="shared" ca="1" si="7"/>
        <v>No</v>
      </c>
      <c r="BF17" s="5">
        <f t="shared" ca="1" si="8"/>
        <v>-1.3068143245593022E-2</v>
      </c>
      <c r="BG17">
        <f t="shared" si="9"/>
        <v>18</v>
      </c>
    </row>
    <row r="18" spans="1:59" x14ac:dyDescent="0.2">
      <c r="A18" s="2">
        <f>Data!A18</f>
        <v>46112</v>
      </c>
      <c r="B18" s="5">
        <f>Data!F18</f>
        <v>1.9029473993982249E-2</v>
      </c>
      <c r="C18" s="5">
        <f>Data!G18</f>
        <v>1.3995801259623075E-3</v>
      </c>
      <c r="D18" s="5">
        <f>Data!H18</f>
        <v>3.8732394366197243E-2</v>
      </c>
      <c r="E18" s="5">
        <f>Data!I18</f>
        <v>0</v>
      </c>
      <c r="G18" s="3">
        <v>5</v>
      </c>
      <c r="H18" s="5">
        <f ca="1">_xlfn.XLOOKUP(OFFSET(Data!$A$1,H$7-$G18,0,1,1),Data!$A:$A,Data!$G:$G)-(H$8+H$9*_xlfn.XLOOKUP(OFFSET(Data!$A$1,H$7-$G18,0,1,1),Data!$A:$A,Data!$F:$F))</f>
        <v>1.566014796322248E-2</v>
      </c>
      <c r="I18" s="5">
        <f ca="1">_xlfn.XLOOKUP(OFFSET(Data!$A$1,I$7-$G18,0,1,1),Data!$A:$A,Data!$H:$H)-(I$8+I$9*_xlfn.XLOOKUP(OFFSET(Data!$A$1,I$7-$G18,0,1,1),Data!$A:$A,Data!$F:$F))</f>
        <v>-1.1532141940004131E-2</v>
      </c>
      <c r="J18" s="5">
        <f ca="1">_xlfn.XLOOKUP(OFFSET(Data!$A$1,J$7-$G18,0,1,1),Data!$A:$A,Data!$I:$I)-(J$8+J$9*_xlfn.XLOOKUP(OFFSET(Data!$A$1,J$7-$G18,0,1,1),Data!$A:$A,Data!$F:$F))</f>
        <v>4.8028337663036111E-3</v>
      </c>
      <c r="K18" s="5">
        <f ca="1">_xlfn.XLOOKUP(OFFSET(Data!$A$1,K$7-$G18,0,1,1),Data!$A:$A,Data!$G:$G)-(K$8+K$9*_xlfn.XLOOKUP(OFFSET(Data!$A$1,K$7-$G18,0,1,1),Data!$A:$A,Data!$F:$F))</f>
        <v>2.0576355701863065E-3</v>
      </c>
      <c r="L18" s="5">
        <f ca="1">_xlfn.XLOOKUP(OFFSET(Data!$A$1,L$7-$G18,0,1,1),Data!$A:$A,Data!$H:$H)-(L$8+L$9*_xlfn.XLOOKUP(OFFSET(Data!$A$1,L$7-$G18,0,1,1),Data!$A:$A,Data!$F:$F))</f>
        <v>3.9166807744151391E-2</v>
      </c>
      <c r="M18" s="5">
        <f ca="1">_xlfn.XLOOKUP(OFFSET(Data!$A$1,M$7-$G18,0,1,1),Data!$A:$A,Data!$I:$I)-(M$8+M$9*_xlfn.XLOOKUP(OFFSET(Data!$A$1,M$7-$G18,0,1,1),Data!$A:$A,Data!$F:$F))</f>
        <v>-1.2526187632650315E-3</v>
      </c>
      <c r="N18" s="5">
        <f ca="1">_xlfn.XLOOKUP(OFFSET(Data!$A$1,N$7-$G18,0,1,1),Data!$A:$A,Data!$G:$G)-(N$8+N$9*_xlfn.XLOOKUP(OFFSET(Data!$A$1,N$7-$G18,0,1,1),Data!$A:$A,Data!$F:$F))</f>
        <v>3.0443417457597509E-2</v>
      </c>
      <c r="O18" s="5">
        <f ca="1">_xlfn.XLOOKUP(OFFSET(Data!$A$1,O$7-$G18,0,1,1),Data!$A:$A,Data!$H:$H)-(O$8+O$9*_xlfn.XLOOKUP(OFFSET(Data!$A$1,O$7-$G18,0,1,1),Data!$A:$A,Data!$F:$F))</f>
        <v>-1.0406047831030869E-2</v>
      </c>
      <c r="P18" s="5">
        <f ca="1">_xlfn.XLOOKUP(OFFSET(Data!$A$1,P$7-$G18,0,1,1),Data!$A:$A,Data!$I:$I)-(P$8+P$9*_xlfn.XLOOKUP(OFFSET(Data!$A$1,P$7-$G18,0,1,1),Data!$A:$A,Data!$F:$F))</f>
        <v>-3.0290964226297175E-3</v>
      </c>
      <c r="Q18" s="5">
        <f ca="1">_xlfn.XLOOKUP(OFFSET(Data!$A$1,Q$7-$G18,0,1,1),Data!$A:$A,Data!$G:$G)-(Q$8+Q$9*_xlfn.XLOOKUP(OFFSET(Data!$A$1,Q$7-$G18,0,1,1),Data!$A:$A,Data!$F:$F))</f>
        <v>-6.2835228696632092E-3</v>
      </c>
      <c r="R18" s="5">
        <f ca="1">_xlfn.XLOOKUP(OFFSET(Data!$A$1,R$7-$G18,0,1,1),Data!$A:$A,Data!$H:$H)-(R$8+R$9*_xlfn.XLOOKUP(OFFSET(Data!$A$1,R$7-$G18,0,1,1),Data!$A:$A,Data!$F:$F))</f>
        <v>2.6595947242693853E-3</v>
      </c>
      <c r="S18" s="5">
        <f ca="1">_xlfn.XLOOKUP(OFFSET(Data!$A$1,S$7-$G18,0,1,1),Data!$A:$A,Data!$I:$I)-(S$8+S$9*_xlfn.XLOOKUP(OFFSET(Data!$A$1,S$7-$G18,0,1,1),Data!$A:$A,Data!$F:$F))</f>
        <v>-4.3627282364648561E-3</v>
      </c>
      <c r="T18" s="5">
        <f ca="1">_xlfn.XLOOKUP(OFFSET(Data!$A$1,T$7-$G18,0,1,1),Data!$A:$A,Data!$G:$G)-(T$8+T$9*_xlfn.XLOOKUP(OFFSET(Data!$A$1,T$7-$G18,0,1,1),Data!$A:$A,Data!$F:$F))</f>
        <v>-1.2813273647991182E-2</v>
      </c>
      <c r="U18" s="5">
        <f ca="1">_xlfn.XLOOKUP(OFFSET(Data!$A$1,U$7-$G18,0,1,1),Data!$A:$A,Data!$H:$H)-(U$8+U$9*_xlfn.XLOOKUP(OFFSET(Data!$A$1,U$7-$G18,0,1,1),Data!$A:$A,Data!$F:$F))</f>
        <v>1.148255219974428E-2</v>
      </c>
      <c r="V18" s="5">
        <f ca="1">_xlfn.XLOOKUP(OFFSET(Data!$A$1,V$7-$G18,0,1,1),Data!$A:$A,Data!$I:$I)-(V$8+V$9*_xlfn.XLOOKUP(OFFSET(Data!$A$1,V$7-$G18,0,1,1),Data!$A:$A,Data!$F:$F))</f>
        <v>-2.8809288880308499E-3</v>
      </c>
      <c r="W18" s="5">
        <f ca="1">_xlfn.XLOOKUP(OFFSET(Data!$A$1,W$7-$G18,0,1,1),Data!$A:$A,Data!$G:$G)-(W$8+W$9*_xlfn.XLOOKUP(OFFSET(Data!$A$1,W$7-$G18,0,1,1),Data!$A:$A,Data!$F:$F))</f>
        <v>-1.6588746982541702E-2</v>
      </c>
      <c r="X18" s="5">
        <f ca="1">_xlfn.XLOOKUP(OFFSET(Data!$A$1,X$7-$G18,0,1,1),Data!$A:$A,Data!$H:$H)-(X$8+X$9*_xlfn.XLOOKUP(OFFSET(Data!$A$1,X$7-$G18,0,1,1),Data!$A:$A,Data!$F:$F))</f>
        <v>-8.1472243460247798E-3</v>
      </c>
      <c r="Y18" s="5">
        <f ca="1">_xlfn.XLOOKUP(OFFSET(Data!$A$1,Y$7-$G18,0,1,1),Data!$A:$A,Data!$I:$I)-(Y$8+Y$9*_xlfn.XLOOKUP(OFFSET(Data!$A$1,Y$7-$G18,0,1,1),Data!$A:$A,Data!$F:$F))</f>
        <v>-4.3670766955233636E-4</v>
      </c>
      <c r="Z18" s="5">
        <f ca="1">_xlfn.XLOOKUP(OFFSET(Data!$A$1,Z$7-$G18,0,1,1),Data!$A:$A,Data!$G:$G)-(Z$8+Z$9*_xlfn.XLOOKUP(OFFSET(Data!$A$1,Z$7-$G18,0,1,1),Data!$A:$A,Data!$F:$F))</f>
        <v>-1.3020616923042991E-3</v>
      </c>
      <c r="AA18" s="5">
        <f ca="1">_xlfn.XLOOKUP(OFFSET(Data!$A$1,AA$7-$G18,0,1,1),Data!$A:$A,Data!$H:$H)-(AA$8+AA$9*_xlfn.XLOOKUP(OFFSET(Data!$A$1,AA$7-$G18,0,1,1),Data!$A:$A,Data!$F:$F))</f>
        <v>-6.0037091861776326E-3</v>
      </c>
      <c r="AB18" s="5">
        <f ca="1">_xlfn.XLOOKUP(OFFSET(Data!$A$1,AB$7-$G18,0,1,1),Data!$A:$A,Data!$I:$I)-(AB$8+AB$9*_xlfn.XLOOKUP(OFFSET(Data!$A$1,AB$7-$G18,0,1,1),Data!$A:$A,Data!$F:$F))</f>
        <v>-1.1493186002623269E-2</v>
      </c>
      <c r="AC18" s="5">
        <f ca="1">_xlfn.XLOOKUP(OFFSET(Data!$A$1,AC$7-$G18,0,1,1),Data!$A:$A,Data!$G:$G)-(AC$8+AC$9*_xlfn.XLOOKUP(OFFSET(Data!$A$1,AC$7-$G18,0,1,1),Data!$A:$A,Data!$F:$F))</f>
        <v>-8.7820374497499694E-3</v>
      </c>
      <c r="AD18" s="5">
        <f ca="1">_xlfn.XLOOKUP(OFFSET(Data!$A$1,AD$7-$G18,0,1,1),Data!$A:$A,Data!$H:$H)-(AD$8+AD$9*_xlfn.XLOOKUP(OFFSET(Data!$A$1,AD$7-$G18,0,1,1),Data!$A:$A,Data!$F:$F))</f>
        <v>3.1321375946423313E-2</v>
      </c>
      <c r="AE18" s="5">
        <f ca="1">_xlfn.XLOOKUP(OFFSET(Data!$A$1,AE$7-$G18,0,1,1),Data!$A:$A,Data!$I:$I)-(AE$8+AE$9*_xlfn.XLOOKUP(OFFSET(Data!$A$1,AE$7-$G18,0,1,1),Data!$A:$A,Data!$F:$F))</f>
        <v>3.9134556766182533E-3</v>
      </c>
      <c r="AF18" s="5">
        <f ca="1">_xlfn.XLOOKUP(OFFSET(Data!$A$1,AF$7-$G18,0,1,1),Data!$A:$A,Data!$G:$G)-(AF$8+AF$9*_xlfn.XLOOKUP(OFFSET(Data!$A$1,AF$7-$G18,0,1,1),Data!$A:$A,Data!$F:$F))</f>
        <v>-5.7608706818596984E-3</v>
      </c>
      <c r="AG18" s="5">
        <f ca="1">_xlfn.XLOOKUP(OFFSET(Data!$A$1,AG$7-$G18,0,1,1),Data!$A:$A,Data!$H:$H)-(AG$8+AG$9*_xlfn.XLOOKUP(OFFSET(Data!$A$1,AG$7-$G18,0,1,1),Data!$A:$A,Data!$F:$F))</f>
        <v>3.901317408836787E-3</v>
      </c>
      <c r="AH18" s="5">
        <f ca="1">_xlfn.XLOOKUP(OFFSET(Data!$A$1,AH$7-$G18,0,1,1),Data!$A:$A,Data!$I:$I)-(AH$8+AH$9*_xlfn.XLOOKUP(OFFSET(Data!$A$1,AH$7-$G18,0,1,1),Data!$A:$A,Data!$F:$F))</f>
        <v>1.285297380739029E-2</v>
      </c>
      <c r="AI18" s="5">
        <f ca="1">_xlfn.XLOOKUP(OFFSET(Data!$A$1,AI$7-$G18,0,1,1),Data!$A:$A,Data!$G:$G)-(AI$8+AI$9*_xlfn.XLOOKUP(OFFSET(Data!$A$1,AI$7-$G18,0,1,1),Data!$A:$A,Data!$F:$F))</f>
        <v>2.163614536203378E-3</v>
      </c>
      <c r="AJ18" s="5">
        <f ca="1">_xlfn.XLOOKUP(OFFSET(Data!$A$1,AJ$7-$G18,0,1,1),Data!$A:$A,Data!$H:$H)-(AJ$8+AJ$9*_xlfn.XLOOKUP(OFFSET(Data!$A$1,AJ$7-$G18,0,1,1),Data!$A:$A,Data!$F:$F))</f>
        <v>3.3877161748307322E-3</v>
      </c>
      <c r="AK18" s="5">
        <f ca="1">_xlfn.XLOOKUP(OFFSET(Data!$A$1,AK$7-$G18,0,1,1),Data!$A:$A,Data!$I:$I)-(AK$8+AK$9*_xlfn.XLOOKUP(OFFSET(Data!$A$1,AK$7-$G18,0,1,1),Data!$A:$A,Data!$F:$F))</f>
        <v>1.4605057089264692E-2</v>
      </c>
      <c r="AL18" s="5">
        <f ca="1">_xlfn.XLOOKUP(OFFSET(Data!$A$1,AL$7-$G18,0,1,1),Data!$A:$A,Data!$G:$G)-(AL$8+AL$9*_xlfn.XLOOKUP(OFFSET(Data!$A$1,AL$7-$G18,0,1,1),Data!$A:$A,Data!$F:$F))</f>
        <v>-1.1718248430954776E-2</v>
      </c>
      <c r="AM18" s="5">
        <f ca="1">_xlfn.XLOOKUP(OFFSET(Data!$A$1,AM$7-$G18,0,1,1),Data!$A:$A,Data!$H:$H)-(AM$8+AM$9*_xlfn.XLOOKUP(OFFSET(Data!$A$1,AM$7-$G18,0,1,1),Data!$A:$A,Data!$F:$F))</f>
        <v>-8.5287912244876793E-3</v>
      </c>
      <c r="AN18" s="5">
        <f ca="1">_xlfn.XLOOKUP(OFFSET(Data!$A$1,AN$7-$G18,0,1,1),Data!$A:$A,Data!$I:$I)-(AN$8+AN$9*_xlfn.XLOOKUP(OFFSET(Data!$A$1,AN$7-$G18,0,1,1),Data!$A:$A,Data!$F:$F))</f>
        <v>4.5126004779522206E-3</v>
      </c>
      <c r="AO18" s="5">
        <f ca="1">_xlfn.XLOOKUP(OFFSET(Data!$A$1,AO$7-$G18,0,1,1),Data!$A:$A,Data!$G:$G)-(AO$8+AO$9*_xlfn.XLOOKUP(OFFSET(Data!$A$1,AO$7-$G18,0,1,1),Data!$A:$A,Data!$F:$F))</f>
        <v>2.1141444490157587E-3</v>
      </c>
      <c r="AP18" s="5">
        <f ca="1">_xlfn.XLOOKUP(OFFSET(Data!$A$1,AP$7-$G18,0,1,1),Data!$A:$A,Data!$H:$H)-(AP$8+AP$9*_xlfn.XLOOKUP(OFFSET(Data!$A$1,AP$7-$G18,0,1,1),Data!$A:$A,Data!$F:$F))</f>
        <v>-1.7377338986780219E-2</v>
      </c>
      <c r="AQ18" s="5">
        <f ca="1">_xlfn.XLOOKUP(OFFSET(Data!$A$1,AQ$7-$G18,0,1,1),Data!$A:$A,Data!$I:$I)-(AQ$8+AQ$9*_xlfn.XLOOKUP(OFFSET(Data!$A$1,AQ$7-$G18,0,1,1),Data!$A:$A,Data!$F:$F))</f>
        <v>-3.9320933864038253E-2</v>
      </c>
      <c r="AS18">
        <v>-5</v>
      </c>
      <c r="AT18" s="5">
        <f t="shared" ca="1" si="0"/>
        <v>-8.3696909655827829E-3</v>
      </c>
      <c r="AU18" s="10" cm="1">
        <f t="array" aca="1" ref="AU18" ca="1">SQRT(SUMPRODUCT(($H$5:$AQ$5="+")*($H28:$AQ28-AT18)^2)/(AY18-1))/SQRT(AY18)</f>
        <v>4.8208612241675292E-3</v>
      </c>
      <c r="AV18" s="13">
        <f t="shared" ca="1" si="1"/>
        <v>-1.7361401991047916</v>
      </c>
      <c r="AW18" t="str">
        <f t="shared" ca="1" si="2"/>
        <v>No</v>
      </c>
      <c r="AX18" s="5">
        <f t="shared" ca="1" si="3"/>
        <v>-1.7841305114313921E-2</v>
      </c>
      <c r="AY18">
        <f t="shared" si="4"/>
        <v>18</v>
      </c>
      <c r="BA18">
        <v>-5</v>
      </c>
      <c r="BB18" s="5">
        <f t="shared" ca="1" si="5"/>
        <v>-4.6991363047927813E-4</v>
      </c>
      <c r="BC18" s="10" cm="1">
        <f t="array" aca="1" ref="BC18" ca="1">SQRT(SUMPRODUCT(($H$5:$AQ$5="-")*($H28:$AQ28-BB18)^2)/(BG18-1))/SQRT(BG18)</f>
        <v>3.4767605636647388E-3</v>
      </c>
      <c r="BD18" s="13">
        <f t="shared" ca="1" si="6"/>
        <v>-0.13515846773870377</v>
      </c>
      <c r="BE18" t="str">
        <f t="shared" ca="1" si="7"/>
        <v>No</v>
      </c>
      <c r="BF18" s="5">
        <f t="shared" ca="1" si="8"/>
        <v>-1.2298101424559005E-2</v>
      </c>
      <c r="BG18">
        <f t="shared" si="9"/>
        <v>18</v>
      </c>
    </row>
    <row r="19" spans="1:59" x14ac:dyDescent="0.2">
      <c r="A19" s="2">
        <f>Data!A19</f>
        <v>46111</v>
      </c>
      <c r="B19" s="5">
        <f>Data!F19</f>
        <v>-1.9784449959466266E-2</v>
      </c>
      <c r="C19" s="5">
        <f>Data!G19</f>
        <v>2.6211849192100622E-2</v>
      </c>
      <c r="D19" s="5">
        <f>Data!H19</f>
        <v>-5.3333333333333344E-2</v>
      </c>
      <c r="E19" s="5">
        <f>Data!I19</f>
        <v>-1.051939513477973E-2</v>
      </c>
      <c r="G19" s="3">
        <v>4</v>
      </c>
      <c r="H19" s="5">
        <f ca="1">_xlfn.XLOOKUP(OFFSET(Data!$A$1,H$7-$G19,0,1,1),Data!$A:$A,Data!$G:$G)-(H$8+H$9*_xlfn.XLOOKUP(OFFSET(Data!$A$1,H$7-$G19,0,1,1),Data!$A:$A,Data!$F:$F))</f>
        <v>-9.4502918117328853E-3</v>
      </c>
      <c r="I19" s="5">
        <f ca="1">_xlfn.XLOOKUP(OFFSET(Data!$A$1,I$7-$G19,0,1,1),Data!$A:$A,Data!$H:$H)-(I$8+I$9*_xlfn.XLOOKUP(OFFSET(Data!$A$1,I$7-$G19,0,1,1),Data!$A:$A,Data!$F:$F))</f>
        <v>-8.8854021631330094E-3</v>
      </c>
      <c r="J19" s="5">
        <f ca="1">_xlfn.XLOOKUP(OFFSET(Data!$A$1,J$7-$G19,0,1,1),Data!$A:$A,Data!$I:$I)-(J$8+J$9*_xlfn.XLOOKUP(OFFSET(Data!$A$1,J$7-$G19,0,1,1),Data!$A:$A,Data!$F:$F))</f>
        <v>1.4648090197070278E-2</v>
      </c>
      <c r="K19" s="5">
        <f ca="1">_xlfn.XLOOKUP(OFFSET(Data!$A$1,K$7-$G19,0,1,1),Data!$A:$A,Data!$G:$G)-(K$8+K$9*_xlfn.XLOOKUP(OFFSET(Data!$A$1,K$7-$G19,0,1,1),Data!$A:$A,Data!$F:$F))</f>
        <v>3.7935600791458718E-3</v>
      </c>
      <c r="L19" s="5">
        <f ca="1">_xlfn.XLOOKUP(OFFSET(Data!$A$1,L$7-$G19,0,1,1),Data!$A:$A,Data!$H:$H)-(L$8+L$9*_xlfn.XLOOKUP(OFFSET(Data!$A$1,L$7-$G19,0,1,1),Data!$A:$A,Data!$F:$F))</f>
        <v>-3.8059695283851398E-2</v>
      </c>
      <c r="M19" s="5">
        <f ca="1">_xlfn.XLOOKUP(OFFSET(Data!$A$1,M$7-$G19,0,1,1),Data!$A:$A,Data!$I:$I)-(M$8+M$9*_xlfn.XLOOKUP(OFFSET(Data!$A$1,M$7-$G19,0,1,1),Data!$A:$A,Data!$F:$F))</f>
        <v>5.7246110100051147E-4</v>
      </c>
      <c r="N19" s="5">
        <f ca="1">_xlfn.XLOOKUP(OFFSET(Data!$A$1,N$7-$G19,0,1,1),Data!$A:$A,Data!$G:$G)-(N$8+N$9*_xlfn.XLOOKUP(OFFSET(Data!$A$1,N$7-$G19,0,1,1),Data!$A:$A,Data!$F:$F))</f>
        <v>-2.1964749101104616E-2</v>
      </c>
      <c r="O19" s="5">
        <f ca="1">_xlfn.XLOOKUP(OFFSET(Data!$A$1,O$7-$G19,0,1,1),Data!$A:$A,Data!$H:$H)-(O$8+O$9*_xlfn.XLOOKUP(OFFSET(Data!$A$1,O$7-$G19,0,1,1),Data!$A:$A,Data!$F:$F))</f>
        <v>-1.3332834796035486E-2</v>
      </c>
      <c r="P19" s="5">
        <f ca="1">_xlfn.XLOOKUP(OFFSET(Data!$A$1,P$7-$G19,0,1,1),Data!$A:$A,Data!$I:$I)-(P$8+P$9*_xlfn.XLOOKUP(OFFSET(Data!$A$1,P$7-$G19,0,1,1),Data!$A:$A,Data!$F:$F))</f>
        <v>-2.8071011293846547E-3</v>
      </c>
      <c r="Q19" s="5">
        <f ca="1">_xlfn.XLOOKUP(OFFSET(Data!$A$1,Q$7-$G19,0,1,1),Data!$A:$A,Data!$G:$G)-(Q$8+Q$9*_xlfn.XLOOKUP(OFFSET(Data!$A$1,Q$7-$G19,0,1,1),Data!$A:$A,Data!$F:$F))</f>
        <v>-1.6607817313793176E-2</v>
      </c>
      <c r="R19" s="5">
        <f ca="1">_xlfn.XLOOKUP(OFFSET(Data!$A$1,R$7-$G19,0,1,1),Data!$A:$A,Data!$H:$H)-(R$8+R$9*_xlfn.XLOOKUP(OFFSET(Data!$A$1,R$7-$G19,0,1,1),Data!$A:$A,Data!$F:$F))</f>
        <v>-3.2961132828369884E-2</v>
      </c>
      <c r="S19" s="5">
        <f ca="1">_xlfn.XLOOKUP(OFFSET(Data!$A$1,S$7-$G19,0,1,1),Data!$A:$A,Data!$I:$I)-(S$8+S$9*_xlfn.XLOOKUP(OFFSET(Data!$A$1,S$7-$G19,0,1,1),Data!$A:$A,Data!$F:$F))</f>
        <v>-1.6982429616502919E-3</v>
      </c>
      <c r="T19" s="5">
        <f ca="1">_xlfn.XLOOKUP(OFFSET(Data!$A$1,T$7-$G19,0,1,1),Data!$A:$A,Data!$G:$G)-(T$8+T$9*_xlfn.XLOOKUP(OFFSET(Data!$A$1,T$7-$G19,0,1,1),Data!$A:$A,Data!$F:$F))</f>
        <v>2.4315652405826789E-3</v>
      </c>
      <c r="U19" s="5">
        <f ca="1">_xlfn.XLOOKUP(OFFSET(Data!$A$1,U$7-$G19,0,1,1),Data!$A:$A,Data!$H:$H)-(U$8+U$9*_xlfn.XLOOKUP(OFFSET(Data!$A$1,U$7-$G19,0,1,1),Data!$A:$A,Data!$F:$F))</f>
        <v>-9.1503114683996137E-4</v>
      </c>
      <c r="V19" s="5">
        <f ca="1">_xlfn.XLOOKUP(OFFSET(Data!$A$1,V$7-$G19,0,1,1),Data!$A:$A,Data!$I:$I)-(V$8+V$9*_xlfn.XLOOKUP(OFFSET(Data!$A$1,V$7-$G19,0,1,1),Data!$A:$A,Data!$F:$F))</f>
        <v>1.8359621318030728E-3</v>
      </c>
      <c r="W19" s="5">
        <f ca="1">_xlfn.XLOOKUP(OFFSET(Data!$A$1,W$7-$G19,0,1,1),Data!$A:$A,Data!$G:$G)-(W$8+W$9*_xlfn.XLOOKUP(OFFSET(Data!$A$1,W$7-$G19,0,1,1),Data!$A:$A,Data!$F:$F))</f>
        <v>2.2259854259695226E-2</v>
      </c>
      <c r="X19" s="5">
        <f ca="1">_xlfn.XLOOKUP(OFFSET(Data!$A$1,X$7-$G19,0,1,1),Data!$A:$A,Data!$H:$H)-(X$8+X$9*_xlfn.XLOOKUP(OFFSET(Data!$A$1,X$7-$G19,0,1,1),Data!$A:$A,Data!$F:$F))</f>
        <v>2.0281618093643171E-2</v>
      </c>
      <c r="Y19" s="5">
        <f ca="1">_xlfn.XLOOKUP(OFFSET(Data!$A$1,Y$7-$G19,0,1,1),Data!$A:$A,Data!$I:$I)-(Y$8+Y$9*_xlfn.XLOOKUP(OFFSET(Data!$A$1,Y$7-$G19,0,1,1),Data!$A:$A,Data!$F:$F))</f>
        <v>3.3710837519861279E-2</v>
      </c>
      <c r="Z19" s="5">
        <f ca="1">_xlfn.XLOOKUP(OFFSET(Data!$A$1,Z$7-$G19,0,1,1),Data!$A:$A,Data!$G:$G)-(Z$8+Z$9*_xlfn.XLOOKUP(OFFSET(Data!$A$1,Z$7-$G19,0,1,1),Data!$A:$A,Data!$F:$F))</f>
        <v>-1.8625188979469597E-2</v>
      </c>
      <c r="AA19" s="5">
        <f ca="1">_xlfn.XLOOKUP(OFFSET(Data!$A$1,AA$7-$G19,0,1,1),Data!$A:$A,Data!$H:$H)-(AA$8+AA$9*_xlfn.XLOOKUP(OFFSET(Data!$A$1,AA$7-$G19,0,1,1),Data!$A:$A,Data!$F:$F))</f>
        <v>-3.8049905966853381E-3</v>
      </c>
      <c r="AB19" s="5">
        <f ca="1">_xlfn.XLOOKUP(OFFSET(Data!$A$1,AB$7-$G19,0,1,1),Data!$A:$A,Data!$I:$I)-(AB$8+AB$9*_xlfn.XLOOKUP(OFFSET(Data!$A$1,AB$7-$G19,0,1,1),Data!$A:$A,Data!$F:$F))</f>
        <v>-2.3423430071103338E-4</v>
      </c>
      <c r="AC19" s="5">
        <f ca="1">_xlfn.XLOOKUP(OFFSET(Data!$A$1,AC$7-$G19,0,1,1),Data!$A:$A,Data!$G:$G)-(AC$8+AC$9*_xlfn.XLOOKUP(OFFSET(Data!$A$1,AC$7-$G19,0,1,1),Data!$A:$A,Data!$F:$F))</f>
        <v>2.3581392481802591E-2</v>
      </c>
      <c r="AD19" s="5">
        <f ca="1">_xlfn.XLOOKUP(OFFSET(Data!$A$1,AD$7-$G19,0,1,1),Data!$A:$A,Data!$H:$H)-(AD$8+AD$9*_xlfn.XLOOKUP(OFFSET(Data!$A$1,AD$7-$G19,0,1,1),Data!$A:$A,Data!$F:$F))</f>
        <v>7.7217490639954357E-3</v>
      </c>
      <c r="AE19" s="5">
        <f ca="1">_xlfn.XLOOKUP(OFFSET(Data!$A$1,AE$7-$G19,0,1,1),Data!$A:$A,Data!$I:$I)-(AE$8+AE$9*_xlfn.XLOOKUP(OFFSET(Data!$A$1,AE$7-$G19,0,1,1),Data!$A:$A,Data!$F:$F))</f>
        <v>1.1629587960722533E-2</v>
      </c>
      <c r="AF19" s="5">
        <f ca="1">_xlfn.XLOOKUP(OFFSET(Data!$A$1,AF$7-$G19,0,1,1),Data!$A:$A,Data!$G:$G)-(AF$8+AF$9*_xlfn.XLOOKUP(OFFSET(Data!$A$1,AF$7-$G19,0,1,1),Data!$A:$A,Data!$F:$F))</f>
        <v>-7.8004651079525214E-3</v>
      </c>
      <c r="AG19" s="5">
        <f ca="1">_xlfn.XLOOKUP(OFFSET(Data!$A$1,AG$7-$G19,0,1,1),Data!$A:$A,Data!$H:$H)-(AG$8+AG$9*_xlfn.XLOOKUP(OFFSET(Data!$A$1,AG$7-$G19,0,1,1),Data!$A:$A,Data!$F:$F))</f>
        <v>2.2605521313098908E-2</v>
      </c>
      <c r="AH19" s="5">
        <f ca="1">_xlfn.XLOOKUP(OFFSET(Data!$A$1,AH$7-$G19,0,1,1),Data!$A:$A,Data!$I:$I)-(AH$8+AH$9*_xlfn.XLOOKUP(OFFSET(Data!$A$1,AH$7-$G19,0,1,1),Data!$A:$A,Data!$F:$F))</f>
        <v>-6.169420452562276E-3</v>
      </c>
      <c r="AI19" s="5">
        <f ca="1">_xlfn.XLOOKUP(OFFSET(Data!$A$1,AI$7-$G19,0,1,1),Data!$A:$A,Data!$G:$G)-(AI$8+AI$9*_xlfn.XLOOKUP(OFFSET(Data!$A$1,AI$7-$G19,0,1,1),Data!$A:$A,Data!$F:$F))</f>
        <v>8.4949769788344055E-3</v>
      </c>
      <c r="AJ19" s="5">
        <f ca="1">_xlfn.XLOOKUP(OFFSET(Data!$A$1,AJ$7-$G19,0,1,1),Data!$A:$A,Data!$H:$H)-(AJ$8+AJ$9*_xlfn.XLOOKUP(OFFSET(Data!$A$1,AJ$7-$G19,0,1,1),Data!$A:$A,Data!$F:$F))</f>
        <v>1.1579627378253285E-2</v>
      </c>
      <c r="AK19" s="5">
        <f ca="1">_xlfn.XLOOKUP(OFFSET(Data!$A$1,AK$7-$G19,0,1,1),Data!$A:$A,Data!$I:$I)-(AK$8+AK$9*_xlfn.XLOOKUP(OFFSET(Data!$A$1,AK$7-$G19,0,1,1),Data!$A:$A,Data!$F:$F))</f>
        <v>6.2902227059146989E-3</v>
      </c>
      <c r="AL19" s="5">
        <f ca="1">_xlfn.XLOOKUP(OFFSET(Data!$A$1,AL$7-$G19,0,1,1),Data!$A:$A,Data!$G:$G)-(AL$8+AL$9*_xlfn.XLOOKUP(OFFSET(Data!$A$1,AL$7-$G19,0,1,1),Data!$A:$A,Data!$F:$F))</f>
        <v>2.4603902847217706E-2</v>
      </c>
      <c r="AM19" s="5">
        <f ca="1">_xlfn.XLOOKUP(OFFSET(Data!$A$1,AM$7-$G19,0,1,1),Data!$A:$A,Data!$H:$H)-(AM$8+AM$9*_xlfn.XLOOKUP(OFFSET(Data!$A$1,AM$7-$G19,0,1,1),Data!$A:$A,Data!$F:$F))</f>
        <v>-1.3661911869277815E-2</v>
      </c>
      <c r="AN19" s="5">
        <f ca="1">_xlfn.XLOOKUP(OFFSET(Data!$A$1,AN$7-$G19,0,1,1),Data!$A:$A,Data!$I:$I)-(AN$8+AN$9*_xlfn.XLOOKUP(OFFSET(Data!$A$1,AN$7-$G19,0,1,1),Data!$A:$A,Data!$F:$F))</f>
        <v>3.466306414865751E-2</v>
      </c>
      <c r="AO19" s="5">
        <f ca="1">_xlfn.XLOOKUP(OFFSET(Data!$A$1,AO$7-$G19,0,1,1),Data!$A:$A,Data!$G:$G)-(AO$8+AO$9*_xlfn.XLOOKUP(OFFSET(Data!$A$1,AO$7-$G19,0,1,1),Data!$A:$A,Data!$F:$F))</f>
        <v>3.6514232174857678E-2</v>
      </c>
      <c r="AP19" s="5">
        <f ca="1">_xlfn.XLOOKUP(OFFSET(Data!$A$1,AP$7-$G19,0,1,1),Data!$A:$A,Data!$H:$H)-(AP$8+AP$9*_xlfn.XLOOKUP(OFFSET(Data!$A$1,AP$7-$G19,0,1,1),Data!$A:$A,Data!$F:$F))</f>
        <v>-6.3273054012197814E-3</v>
      </c>
      <c r="AQ19" s="5">
        <f ca="1">_xlfn.XLOOKUP(OFFSET(Data!$A$1,AQ$7-$G19,0,1,1),Data!$A:$A,Data!$I:$I)-(AQ$8+AQ$9*_xlfn.XLOOKUP(OFFSET(Data!$A$1,AQ$7-$G19,0,1,1),Data!$A:$A,Data!$F:$F))</f>
        <v>1.271107579789833E-3</v>
      </c>
      <c r="AS19">
        <v>-6</v>
      </c>
      <c r="AT19" s="5">
        <f t="shared" ca="1" si="0"/>
        <v>-4.7024561053861276E-3</v>
      </c>
      <c r="AU19" s="10" cm="1">
        <f t="array" aca="1" ref="AU19" ca="1">SQRT(SUMPRODUCT(($H$5:$AQ$5="+")*($H29:$AQ29-AT19)^2)/(AY19-1))/SQRT(AY19)</f>
        <v>5.5694902145364605E-3</v>
      </c>
      <c r="AV19" s="13">
        <f t="shared" ca="1" si="1"/>
        <v>-0.84432433207488911</v>
      </c>
      <c r="AW19" t="str">
        <f t="shared" ca="1" si="2"/>
        <v>No</v>
      </c>
      <c r="AX19" s="5">
        <f t="shared" ca="1" si="3"/>
        <v>-9.5515577352147663E-3</v>
      </c>
      <c r="AY19">
        <f t="shared" si="4"/>
        <v>18</v>
      </c>
      <c r="BA19">
        <v>-6</v>
      </c>
      <c r="BB19" s="5">
        <f t="shared" ca="1" si="5"/>
        <v>-3.3769379169594255E-3</v>
      </c>
      <c r="BC19" s="10" cm="1">
        <f t="array" aca="1" ref="BC19" ca="1">SQRT(SUMPRODUCT(($H$5:$AQ$5="-")*($H29:$AQ29-BB19)^2)/(BG19-1))/SQRT(BG19)</f>
        <v>2.9628494681186086E-3</v>
      </c>
      <c r="BD19" s="13">
        <f t="shared" ca="1" si="6"/>
        <v>-1.1397602049299389</v>
      </c>
      <c r="BE19" t="str">
        <f t="shared" ca="1" si="7"/>
        <v>No</v>
      </c>
      <c r="BF19" s="5">
        <f t="shared" ca="1" si="8"/>
        <v>-1.183374863386244E-2</v>
      </c>
      <c r="BG19">
        <f t="shared" si="9"/>
        <v>18</v>
      </c>
    </row>
    <row r="20" spans="1:59" x14ac:dyDescent="0.2">
      <c r="A20" s="2">
        <f>Data!A20</f>
        <v>46108</v>
      </c>
      <c r="B20" s="5">
        <f>Data!F20</f>
        <v>-3.5335265218392586E-2</v>
      </c>
      <c r="C20" s="5">
        <f>Data!G20</f>
        <v>-5.2398775093569272E-2</v>
      </c>
      <c r="D20" s="5">
        <f>Data!H20</f>
        <v>-1.3157894736842146E-2</v>
      </c>
      <c r="E20" s="5">
        <f>Data!I20</f>
        <v>-2.9974489795918324E-2</v>
      </c>
      <c r="G20" s="3">
        <v>3</v>
      </c>
      <c r="H20" s="5">
        <f ca="1">_xlfn.XLOOKUP(OFFSET(Data!$A$1,H$7-$G20,0,1,1),Data!$A:$A,Data!$G:$G)-(H$8+H$9*_xlfn.XLOOKUP(OFFSET(Data!$A$1,H$7-$G20,0,1,1),Data!$A:$A,Data!$F:$F))</f>
        <v>-2.9425075488590084E-2</v>
      </c>
      <c r="I20" s="5">
        <f ca="1">_xlfn.XLOOKUP(OFFSET(Data!$A$1,I$7-$G20,0,1,1),Data!$A:$A,Data!$H:$H)-(I$8+I$9*_xlfn.XLOOKUP(OFFSET(Data!$A$1,I$7-$G20,0,1,1),Data!$A:$A,Data!$F:$F))</f>
        <v>-3.7064881174868114E-2</v>
      </c>
      <c r="J20" s="5">
        <f ca="1">_xlfn.XLOOKUP(OFFSET(Data!$A$1,J$7-$G20,0,1,1),Data!$A:$A,Data!$I:$I)-(J$8+J$9*_xlfn.XLOOKUP(OFFSET(Data!$A$1,J$7-$G20,0,1,1),Data!$A:$A,Data!$F:$F))</f>
        <v>-2.6970644195302866E-2</v>
      </c>
      <c r="K20" s="5">
        <f ca="1">_xlfn.XLOOKUP(OFFSET(Data!$A$1,K$7-$G20,0,1,1),Data!$A:$A,Data!$G:$G)-(K$8+K$9*_xlfn.XLOOKUP(OFFSET(Data!$A$1,K$7-$G20,0,1,1),Data!$A:$A,Data!$F:$F))</f>
        <v>-8.9857722539723531E-3</v>
      </c>
      <c r="L20" s="5">
        <f ca="1">_xlfn.XLOOKUP(OFFSET(Data!$A$1,L$7-$G20,0,1,1),Data!$A:$A,Data!$H:$H)-(L$8+L$9*_xlfn.XLOOKUP(OFFSET(Data!$A$1,L$7-$G20,0,1,1),Data!$A:$A,Data!$F:$F))</f>
        <v>-1.3161041909585888E-2</v>
      </c>
      <c r="M20" s="5">
        <f ca="1">_xlfn.XLOOKUP(OFFSET(Data!$A$1,M$7-$G20,0,1,1),Data!$A:$A,Data!$I:$I)-(M$8+M$9*_xlfn.XLOOKUP(OFFSET(Data!$A$1,M$7-$G20,0,1,1),Data!$A:$A,Data!$F:$F))</f>
        <v>2.8229090313002287E-3</v>
      </c>
      <c r="N20" s="5">
        <f ca="1">_xlfn.XLOOKUP(OFFSET(Data!$A$1,N$7-$G20,0,1,1),Data!$A:$A,Data!$G:$G)-(N$8+N$9*_xlfn.XLOOKUP(OFFSET(Data!$A$1,N$7-$G20,0,1,1),Data!$A:$A,Data!$F:$F))</f>
        <v>-5.6307295469064725E-3</v>
      </c>
      <c r="O20" s="5">
        <f ca="1">_xlfn.XLOOKUP(OFFSET(Data!$A$1,O$7-$G20,0,1,1),Data!$A:$A,Data!$H:$H)-(O$8+O$9*_xlfn.XLOOKUP(OFFSET(Data!$A$1,O$7-$G20,0,1,1),Data!$A:$A,Data!$F:$F))</f>
        <v>3.7494810224419414E-3</v>
      </c>
      <c r="P20" s="5">
        <f ca="1">_xlfn.XLOOKUP(OFFSET(Data!$A$1,P$7-$G20,0,1,1),Data!$A:$A,Data!$I:$I)-(P$8+P$9*_xlfn.XLOOKUP(OFFSET(Data!$A$1,P$7-$G20,0,1,1),Data!$A:$A,Data!$F:$F))</f>
        <v>2.2111846174624919E-3</v>
      </c>
      <c r="Q20" s="5">
        <f ca="1">_xlfn.XLOOKUP(OFFSET(Data!$A$1,Q$7-$G20,0,1,1),Data!$A:$A,Data!$G:$G)-(Q$8+Q$9*_xlfn.XLOOKUP(OFFSET(Data!$A$1,Q$7-$G20,0,1,1),Data!$A:$A,Data!$F:$F))</f>
        <v>1.0065005941061146E-2</v>
      </c>
      <c r="R20" s="5">
        <f ca="1">_xlfn.XLOOKUP(OFFSET(Data!$A$1,R$7-$G20,0,1,1),Data!$A:$A,Data!$H:$H)-(R$8+R$9*_xlfn.XLOOKUP(OFFSET(Data!$A$1,R$7-$G20,0,1,1),Data!$A:$A,Data!$F:$F))</f>
        <v>-1.2222728197109962E-2</v>
      </c>
      <c r="S20" s="5">
        <f ca="1">_xlfn.XLOOKUP(OFFSET(Data!$A$1,S$7-$G20,0,1,1),Data!$A:$A,Data!$I:$I)-(S$8+S$9*_xlfn.XLOOKUP(OFFSET(Data!$A$1,S$7-$G20,0,1,1),Data!$A:$A,Data!$F:$F))</f>
        <v>-1.4022263815800518E-3</v>
      </c>
      <c r="T20" s="5">
        <f ca="1">_xlfn.XLOOKUP(OFFSET(Data!$A$1,T$7-$G20,0,1,1),Data!$A:$A,Data!$G:$G)-(T$8+T$9*_xlfn.XLOOKUP(OFFSET(Data!$A$1,T$7-$G20,0,1,1),Data!$A:$A,Data!$F:$F))</f>
        <v>5.4568244083665288E-3</v>
      </c>
      <c r="U20" s="5">
        <f ca="1">_xlfn.XLOOKUP(OFFSET(Data!$A$1,U$7-$G20,0,1,1),Data!$A:$A,Data!$H:$H)-(U$8+U$9*_xlfn.XLOOKUP(OFFSET(Data!$A$1,U$7-$G20,0,1,1),Data!$A:$A,Data!$F:$F))</f>
        <v>-1.8453080533973057E-2</v>
      </c>
      <c r="V20" s="5">
        <f ca="1">_xlfn.XLOOKUP(OFFSET(Data!$A$1,V$7-$G20,0,1,1),Data!$A:$A,Data!$I:$I)-(V$8+V$9*_xlfn.XLOOKUP(OFFSET(Data!$A$1,V$7-$G20,0,1,1),Data!$A:$A,Data!$F:$F))</f>
        <v>4.6150296808677932E-3</v>
      </c>
      <c r="W20" s="5">
        <f ca="1">_xlfn.XLOOKUP(OFFSET(Data!$A$1,W$7-$G20,0,1,1),Data!$A:$A,Data!$G:$G)-(W$8+W$9*_xlfn.XLOOKUP(OFFSET(Data!$A$1,W$7-$G20,0,1,1),Data!$A:$A,Data!$F:$F))</f>
        <v>1.1199312261884944E-2</v>
      </c>
      <c r="X20" s="5">
        <f ca="1">_xlfn.XLOOKUP(OFFSET(Data!$A$1,X$7-$G20,0,1,1),Data!$A:$A,Data!$H:$H)-(X$8+X$9*_xlfn.XLOOKUP(OFFSET(Data!$A$1,X$7-$G20,0,1,1),Data!$A:$A,Data!$F:$F))</f>
        <v>-1.7277887537519708E-2</v>
      </c>
      <c r="Y20" s="5">
        <f ca="1">_xlfn.XLOOKUP(OFFSET(Data!$A$1,Y$7-$G20,0,1,1),Data!$A:$A,Data!$I:$I)-(Y$8+Y$9*_xlfn.XLOOKUP(OFFSET(Data!$A$1,Y$7-$G20,0,1,1),Data!$A:$A,Data!$F:$F))</f>
        <v>5.806913912713603E-2</v>
      </c>
      <c r="Z20" s="5">
        <f ca="1">_xlfn.XLOOKUP(OFFSET(Data!$A$1,Z$7-$G20,0,1,1),Data!$A:$A,Data!$G:$G)-(Z$8+Z$9*_xlfn.XLOOKUP(OFFSET(Data!$A$1,Z$7-$G20,0,1,1),Data!$A:$A,Data!$F:$F))</f>
        <v>1.0559688260108474E-2</v>
      </c>
      <c r="AA20" s="5">
        <f ca="1">_xlfn.XLOOKUP(OFFSET(Data!$A$1,AA$7-$G20,0,1,1),Data!$A:$A,Data!$H:$H)-(AA$8+AA$9*_xlfn.XLOOKUP(OFFSET(Data!$A$1,AA$7-$G20,0,1,1),Data!$A:$A,Data!$F:$F))</f>
        <v>-6.9461143075992557E-3</v>
      </c>
      <c r="AB20" s="5">
        <f ca="1">_xlfn.XLOOKUP(OFFSET(Data!$A$1,AB$7-$G20,0,1,1),Data!$A:$A,Data!$I:$I)-(AB$8+AB$9*_xlfn.XLOOKUP(OFFSET(Data!$A$1,AB$7-$G20,0,1,1),Data!$A:$A,Data!$F:$F))</f>
        <v>4.4360149222302924E-3</v>
      </c>
      <c r="AC20" s="5">
        <f ca="1">_xlfn.XLOOKUP(OFFSET(Data!$A$1,AC$7-$G20,0,1,1),Data!$A:$A,Data!$G:$G)-(AC$8+AC$9*_xlfn.XLOOKUP(OFFSET(Data!$A$1,AC$7-$G20,0,1,1),Data!$A:$A,Data!$F:$F))</f>
        <v>-5.4837302457036345E-3</v>
      </c>
      <c r="AD20" s="5">
        <f ca="1">_xlfn.XLOOKUP(OFFSET(Data!$A$1,AD$7-$G20,0,1,1),Data!$A:$A,Data!$H:$H)-(AD$8+AD$9*_xlfn.XLOOKUP(OFFSET(Data!$A$1,AD$7-$G20,0,1,1),Data!$A:$A,Data!$F:$F))</f>
        <v>1.6119273949836673E-3</v>
      </c>
      <c r="AE20" s="5">
        <f ca="1">_xlfn.XLOOKUP(OFFSET(Data!$A$1,AE$7-$G20,0,1,1),Data!$A:$A,Data!$I:$I)-(AE$8+AE$9*_xlfn.XLOOKUP(OFFSET(Data!$A$1,AE$7-$G20,0,1,1),Data!$A:$A,Data!$F:$F))</f>
        <v>8.9813089527771284E-3</v>
      </c>
      <c r="AF20" s="5">
        <f ca="1">_xlfn.XLOOKUP(OFFSET(Data!$A$1,AF$7-$G20,0,1,1),Data!$A:$A,Data!$G:$G)-(AF$8+AF$9*_xlfn.XLOOKUP(OFFSET(Data!$A$1,AF$7-$G20,0,1,1),Data!$A:$A,Data!$F:$F))</f>
        <v>3.5843306154275927E-3</v>
      </c>
      <c r="AG20" s="5">
        <f ca="1">_xlfn.XLOOKUP(OFFSET(Data!$A$1,AG$7-$G20,0,1,1),Data!$A:$A,Data!$H:$H)-(AG$8+AG$9*_xlfn.XLOOKUP(OFFSET(Data!$A$1,AG$7-$G20,0,1,1),Data!$A:$A,Data!$F:$F))</f>
        <v>-1.0597244973126165E-2</v>
      </c>
      <c r="AH20" s="5">
        <f ca="1">_xlfn.XLOOKUP(OFFSET(Data!$A$1,AH$7-$G20,0,1,1),Data!$A:$A,Data!$I:$I)-(AH$8+AH$9*_xlfn.XLOOKUP(OFFSET(Data!$A$1,AH$7-$G20,0,1,1),Data!$A:$A,Data!$F:$F))</f>
        <v>7.3070030417625755E-3</v>
      </c>
      <c r="AI20" s="5">
        <f ca="1">_xlfn.XLOOKUP(OFFSET(Data!$A$1,AI$7-$G20,0,1,1),Data!$A:$A,Data!$G:$G)-(AI$8+AI$9*_xlfn.XLOOKUP(OFFSET(Data!$A$1,AI$7-$G20,0,1,1),Data!$A:$A,Data!$F:$F))</f>
        <v>5.3154403802681757E-3</v>
      </c>
      <c r="AJ20" s="5">
        <f ca="1">_xlfn.XLOOKUP(OFFSET(Data!$A$1,AJ$7-$G20,0,1,1),Data!$A:$A,Data!$H:$H)-(AJ$8+AJ$9*_xlfn.XLOOKUP(OFFSET(Data!$A$1,AJ$7-$G20,0,1,1),Data!$A:$A,Data!$F:$F))</f>
        <v>5.0365297052788957E-3</v>
      </c>
      <c r="AK20" s="5">
        <f ca="1">_xlfn.XLOOKUP(OFFSET(Data!$A$1,AK$7-$G20,0,1,1),Data!$A:$A,Data!$I:$I)-(AK$8+AK$9*_xlfn.XLOOKUP(OFFSET(Data!$A$1,AK$7-$G20,0,1,1),Data!$A:$A,Data!$F:$F))</f>
        <v>-7.9740855841983413E-3</v>
      </c>
      <c r="AL20" s="5">
        <f ca="1">_xlfn.XLOOKUP(OFFSET(Data!$A$1,AL$7-$G20,0,1,1),Data!$A:$A,Data!$G:$G)-(AL$8+AL$9*_xlfn.XLOOKUP(OFFSET(Data!$A$1,AL$7-$G20,0,1,1),Data!$A:$A,Data!$F:$F))</f>
        <v>9.5055540008723502E-3</v>
      </c>
      <c r="AM20" s="5">
        <f ca="1">_xlfn.XLOOKUP(OFFSET(Data!$A$1,AM$7-$G20,0,1,1),Data!$A:$A,Data!$H:$H)-(AM$8+AM$9*_xlfn.XLOOKUP(OFFSET(Data!$A$1,AM$7-$G20,0,1,1),Data!$A:$A,Data!$F:$F))</f>
        <v>-7.5854390467864729E-4</v>
      </c>
      <c r="AN20" s="5">
        <f ca="1">_xlfn.XLOOKUP(OFFSET(Data!$A$1,AN$7-$G20,0,1,1),Data!$A:$A,Data!$I:$I)-(AN$8+AN$9*_xlfn.XLOOKUP(OFFSET(Data!$A$1,AN$7-$G20,0,1,1),Data!$A:$A,Data!$F:$F))</f>
        <v>-2.44533037922312E-2</v>
      </c>
      <c r="AO20" s="5">
        <f ca="1">_xlfn.XLOOKUP(OFFSET(Data!$A$1,AO$7-$G20,0,1,1),Data!$A:$A,Data!$G:$G)-(AO$8+AO$9*_xlfn.XLOOKUP(OFFSET(Data!$A$1,AO$7-$G20,0,1,1),Data!$A:$A,Data!$F:$F))</f>
        <v>4.4062388389619636E-2</v>
      </c>
      <c r="AP20" s="5">
        <f ca="1">_xlfn.XLOOKUP(OFFSET(Data!$A$1,AP$7-$G20,0,1,1),Data!$A:$A,Data!$H:$H)-(AP$8+AP$9*_xlfn.XLOOKUP(OFFSET(Data!$A$1,AP$7-$G20,0,1,1),Data!$A:$A,Data!$F:$F))</f>
        <v>6.095226911580872E-3</v>
      </c>
      <c r="AQ20" s="5">
        <f ca="1">_xlfn.XLOOKUP(OFFSET(Data!$A$1,AQ$7-$G20,0,1,1),Data!$A:$A,Data!$I:$I)-(AQ$8+AQ$9*_xlfn.XLOOKUP(OFFSET(Data!$A$1,AQ$7-$G20,0,1,1),Data!$A:$A,Data!$F:$F))</f>
        <v>-6.057269839337724E-3</v>
      </c>
      <c r="AS20">
        <v>-7</v>
      </c>
      <c r="AT20" s="5">
        <f t="shared" ca="1" si="0"/>
        <v>-4.3853707225676121E-3</v>
      </c>
      <c r="AU20" s="10" cm="1">
        <f t="array" aca="1" ref="AU20" ca="1">SQRT(SUMPRODUCT(($H$5:$AQ$5="+")*($H30:$AQ30-AT20)^2)/(AY20-1))/SQRT(AY20)</f>
        <v>3.3871977880543303E-3</v>
      </c>
      <c r="AV20" s="13">
        <f t="shared" ca="1" si="1"/>
        <v>-1.2946898873261992</v>
      </c>
      <c r="AW20" t="str">
        <f t="shared" ca="1" si="2"/>
        <v>No</v>
      </c>
      <c r="AX20" s="5">
        <f t="shared" ca="1" si="3"/>
        <v>-4.8720120526511979E-3</v>
      </c>
      <c r="AY20">
        <f t="shared" si="4"/>
        <v>18</v>
      </c>
      <c r="BA20">
        <v>-7</v>
      </c>
      <c r="BB20" s="5">
        <f t="shared" ca="1" si="5"/>
        <v>-2.8330974464789603E-3</v>
      </c>
      <c r="BC20" s="10" cm="1">
        <f t="array" aca="1" ref="BC20" ca="1">SQRT(SUMPRODUCT(($H$5:$AQ$5="-")*($H30:$AQ30-BB20)^2)/(BG20-1))/SQRT(BG20)</f>
        <v>3.0104754658677292E-3</v>
      </c>
      <c r="BD20" s="13">
        <f t="shared" ca="1" si="6"/>
        <v>-0.94107973262036126</v>
      </c>
      <c r="BE20" t="str">
        <f t="shared" ca="1" si="7"/>
        <v>No</v>
      </c>
      <c r="BF20" s="5">
        <f t="shared" ca="1" si="8"/>
        <v>-8.4854656074558887E-3</v>
      </c>
      <c r="BG20">
        <f t="shared" si="9"/>
        <v>18</v>
      </c>
    </row>
    <row r="21" spans="1:59" x14ac:dyDescent="0.2">
      <c r="A21" s="2">
        <f>Data!A21</f>
        <v>46107</v>
      </c>
      <c r="B21" s="5">
        <f>Data!F21</f>
        <v>-8.7929960386339268E-3</v>
      </c>
      <c r="C21" s="5">
        <f>Data!G21</f>
        <v>-2.2067560685792298E-3</v>
      </c>
      <c r="D21" s="5">
        <f>Data!H21</f>
        <v>8.6264100862640802E-3</v>
      </c>
      <c r="E21" s="5">
        <f>Data!I21</f>
        <v>-8.3576855639976633E-2</v>
      </c>
      <c r="G21" s="3">
        <v>2</v>
      </c>
      <c r="H21" s="5">
        <f ca="1">_xlfn.XLOOKUP(OFFSET(Data!$A$1,H$7-$G21,0,1,1),Data!$A:$A,Data!$G:$G)-(H$8+H$9*_xlfn.XLOOKUP(OFFSET(Data!$A$1,H$7-$G21,0,1,1),Data!$A:$A,Data!$F:$F))</f>
        <v>6.0562440525450852E-3</v>
      </c>
      <c r="I21" s="5">
        <f ca="1">_xlfn.XLOOKUP(OFFSET(Data!$A$1,I$7-$G21,0,1,1),Data!$A:$A,Data!$H:$H)-(I$8+I$9*_xlfn.XLOOKUP(OFFSET(Data!$A$1,I$7-$G21,0,1,1),Data!$A:$A,Data!$F:$F))</f>
        <v>5.1263695950908149E-2</v>
      </c>
      <c r="J21" s="5">
        <f ca="1">_xlfn.XLOOKUP(OFFSET(Data!$A$1,J$7-$G21,0,1,1),Data!$A:$A,Data!$I:$I)-(J$8+J$9*_xlfn.XLOOKUP(OFFSET(Data!$A$1,J$7-$G21,0,1,1),Data!$A:$A,Data!$F:$F))</f>
        <v>4.0613624375478632E-3</v>
      </c>
      <c r="K21" s="5">
        <f ca="1">_xlfn.XLOOKUP(OFFSET(Data!$A$1,K$7-$G21,0,1,1),Data!$A:$A,Data!$G:$G)-(K$8+K$9*_xlfn.XLOOKUP(OFFSET(Data!$A$1,K$7-$G21,0,1,1),Data!$A:$A,Data!$F:$F))</f>
        <v>1.9816102820272508E-2</v>
      </c>
      <c r="L21" s="5">
        <f ca="1">_xlfn.XLOOKUP(OFFSET(Data!$A$1,L$7-$G21,0,1,1),Data!$A:$A,Data!$H:$H)-(L$8+L$9*_xlfn.XLOOKUP(OFFSET(Data!$A$1,L$7-$G21,0,1,1),Data!$A:$A,Data!$F:$F))</f>
        <v>9.8805171641170447E-3</v>
      </c>
      <c r="M21" s="5">
        <f ca="1">_xlfn.XLOOKUP(OFFSET(Data!$A$1,M$7-$G21,0,1,1),Data!$A:$A,Data!$I:$I)-(M$8+M$9*_xlfn.XLOOKUP(OFFSET(Data!$A$1,M$7-$G21,0,1,1),Data!$A:$A,Data!$F:$F))</f>
        <v>3.9943162861519974E-3</v>
      </c>
      <c r="N21" s="5">
        <f ca="1">_xlfn.XLOOKUP(OFFSET(Data!$A$1,N$7-$G21,0,1,1),Data!$A:$A,Data!$G:$G)-(N$8+N$9*_xlfn.XLOOKUP(OFFSET(Data!$A$1,N$7-$G21,0,1,1),Data!$A:$A,Data!$F:$F))</f>
        <v>-1.0659399842580155E-2</v>
      </c>
      <c r="O21" s="5">
        <f ca="1">_xlfn.XLOOKUP(OFFSET(Data!$A$1,O$7-$G21,0,1,1),Data!$A:$A,Data!$H:$H)-(O$8+O$9*_xlfn.XLOOKUP(OFFSET(Data!$A$1,O$7-$G21,0,1,1),Data!$A:$A,Data!$F:$F))</f>
        <v>-1.2778435166008933E-2</v>
      </c>
      <c r="P21" s="5">
        <f ca="1">_xlfn.XLOOKUP(OFFSET(Data!$A$1,P$7-$G21,0,1,1),Data!$A:$A,Data!$I:$I)-(P$8+P$9*_xlfn.XLOOKUP(OFFSET(Data!$A$1,P$7-$G21,0,1,1),Data!$A:$A,Data!$F:$F))</f>
        <v>5.9554526489798718E-4</v>
      </c>
      <c r="Q21" s="5">
        <f ca="1">_xlfn.XLOOKUP(OFFSET(Data!$A$1,Q$7-$G21,0,1,1),Data!$A:$A,Data!$G:$G)-(Q$8+Q$9*_xlfn.XLOOKUP(OFFSET(Data!$A$1,Q$7-$G21,0,1,1),Data!$A:$A,Data!$F:$F))</f>
        <v>4.5601331579849948E-2</v>
      </c>
      <c r="R21" s="5">
        <f ca="1">_xlfn.XLOOKUP(OFFSET(Data!$A$1,R$7-$G21,0,1,1),Data!$A:$A,Data!$H:$H)-(R$8+R$9*_xlfn.XLOOKUP(OFFSET(Data!$A$1,R$7-$G21,0,1,1),Data!$A:$A,Data!$F:$F))</f>
        <v>1.2534108091345943E-2</v>
      </c>
      <c r="S21" s="5">
        <f ca="1">_xlfn.XLOOKUP(OFFSET(Data!$A$1,S$7-$G21,0,1,1),Data!$A:$A,Data!$I:$I)-(S$8+S$9*_xlfn.XLOOKUP(OFFSET(Data!$A$1,S$7-$G21,0,1,1),Data!$A:$A,Data!$F:$F))</f>
        <v>5.9300138674642979E-3</v>
      </c>
      <c r="T21" s="5">
        <f ca="1">_xlfn.XLOOKUP(OFFSET(Data!$A$1,T$7-$G21,0,1,1),Data!$A:$A,Data!$G:$G)-(T$8+T$9*_xlfn.XLOOKUP(OFFSET(Data!$A$1,T$7-$G21,0,1,1),Data!$A:$A,Data!$F:$F))</f>
        <v>-1.3651790077037963E-2</v>
      </c>
      <c r="U21" s="5">
        <f ca="1">_xlfn.XLOOKUP(OFFSET(Data!$A$1,U$7-$G21,0,1,1),Data!$A:$A,Data!$H:$H)-(U$8+U$9*_xlfn.XLOOKUP(OFFSET(Data!$A$1,U$7-$G21,0,1,1),Data!$A:$A,Data!$F:$F))</f>
        <v>-9.4533454900921181E-3</v>
      </c>
      <c r="V21" s="5">
        <f ca="1">_xlfn.XLOOKUP(OFFSET(Data!$A$1,V$7-$G21,0,1,1),Data!$A:$A,Data!$I:$I)-(V$8+V$9*_xlfn.XLOOKUP(OFFSET(Data!$A$1,V$7-$G21,0,1,1),Data!$A:$A,Data!$F:$F))</f>
        <v>-3.3218236200437276E-2</v>
      </c>
      <c r="W21" s="5">
        <f ca="1">_xlfn.XLOOKUP(OFFSET(Data!$A$1,W$7-$G21,0,1,1),Data!$A:$A,Data!$G:$G)-(W$8+W$9*_xlfn.XLOOKUP(OFFSET(Data!$A$1,W$7-$G21,0,1,1),Data!$A:$A,Data!$F:$F))</f>
        <v>-3.6728300490236086E-2</v>
      </c>
      <c r="X21" s="5">
        <f ca="1">_xlfn.XLOOKUP(OFFSET(Data!$A$1,X$7-$G21,0,1,1),Data!$A:$A,Data!$H:$H)-(X$8+X$9*_xlfn.XLOOKUP(OFFSET(Data!$A$1,X$7-$G21,0,1,1),Data!$A:$A,Data!$F:$F))</f>
        <v>-2.832697657696763E-2</v>
      </c>
      <c r="Y21" s="5">
        <f ca="1">_xlfn.XLOOKUP(OFFSET(Data!$A$1,Y$7-$G21,0,1,1),Data!$A:$A,Data!$I:$I)-(Y$8+Y$9*_xlfn.XLOOKUP(OFFSET(Data!$A$1,Y$7-$G21,0,1,1),Data!$A:$A,Data!$F:$F))</f>
        <v>-1.3788809226810135E-3</v>
      </c>
      <c r="Z21" s="5">
        <f ca="1">_xlfn.XLOOKUP(OFFSET(Data!$A$1,Z$7-$G21,0,1,1),Data!$A:$A,Data!$G:$G)-(Z$8+Z$9*_xlfn.XLOOKUP(OFFSET(Data!$A$1,Z$7-$G21,0,1,1),Data!$A:$A,Data!$F:$F))</f>
        <v>5.906943291679418E-3</v>
      </c>
      <c r="AA21" s="5">
        <f ca="1">_xlfn.XLOOKUP(OFFSET(Data!$A$1,AA$7-$G21,0,1,1),Data!$A:$A,Data!$H:$H)-(AA$8+AA$9*_xlfn.XLOOKUP(OFFSET(Data!$A$1,AA$7-$G21,0,1,1),Data!$A:$A,Data!$F:$F))</f>
        <v>1.7569089136853573E-2</v>
      </c>
      <c r="AB21" s="5">
        <f ca="1">_xlfn.XLOOKUP(OFFSET(Data!$A$1,AB$7-$G21,0,1,1),Data!$A:$A,Data!$I:$I)-(AB$8+AB$9*_xlfn.XLOOKUP(OFFSET(Data!$A$1,AB$7-$G21,0,1,1),Data!$A:$A,Data!$F:$F))</f>
        <v>5.0390033926529338E-3</v>
      </c>
      <c r="AC21" s="5">
        <f ca="1">_xlfn.XLOOKUP(OFFSET(Data!$A$1,AC$7-$G21,0,1,1),Data!$A:$A,Data!$G:$G)-(AC$8+AC$9*_xlfn.XLOOKUP(OFFSET(Data!$A$1,AC$7-$G21,0,1,1),Data!$A:$A,Data!$F:$F))</f>
        <v>1.0251364218678612E-2</v>
      </c>
      <c r="AD21" s="5">
        <f ca="1">_xlfn.XLOOKUP(OFFSET(Data!$A$1,AD$7-$G21,0,1,1),Data!$A:$A,Data!$H:$H)-(AD$8+AD$9*_xlfn.XLOOKUP(OFFSET(Data!$A$1,AD$7-$G21,0,1,1),Data!$A:$A,Data!$F:$F))</f>
        <v>2.7342241220681913E-2</v>
      </c>
      <c r="AE21" s="5">
        <f ca="1">_xlfn.XLOOKUP(OFFSET(Data!$A$1,AE$7-$G21,0,1,1),Data!$A:$A,Data!$I:$I)-(AE$8+AE$9*_xlfn.XLOOKUP(OFFSET(Data!$A$1,AE$7-$G21,0,1,1),Data!$A:$A,Data!$F:$F))</f>
        <v>-4.9012729261402779E-2</v>
      </c>
      <c r="AF21" s="5">
        <f ca="1">_xlfn.XLOOKUP(OFFSET(Data!$A$1,AF$7-$G21,0,1,1),Data!$A:$A,Data!$G:$G)-(AF$8+AF$9*_xlfn.XLOOKUP(OFFSET(Data!$A$1,AF$7-$G21,0,1,1),Data!$A:$A,Data!$F:$F))</f>
        <v>-1.7658785182110837E-2</v>
      </c>
      <c r="AG21" s="5">
        <f ca="1">_xlfn.XLOOKUP(OFFSET(Data!$A$1,AG$7-$G21,0,1,1),Data!$A:$A,Data!$H:$H)-(AG$8+AG$9*_xlfn.XLOOKUP(OFFSET(Data!$A$1,AG$7-$G21,0,1,1),Data!$A:$A,Data!$F:$F))</f>
        <v>-6.6911246775281895E-3</v>
      </c>
      <c r="AH21" s="5">
        <f ca="1">_xlfn.XLOOKUP(OFFSET(Data!$A$1,AH$7-$G21,0,1,1),Data!$A:$A,Data!$I:$I)-(AH$8+AH$9*_xlfn.XLOOKUP(OFFSET(Data!$A$1,AH$7-$G21,0,1,1),Data!$A:$A,Data!$F:$F))</f>
        <v>7.7045366641743948E-3</v>
      </c>
      <c r="AI21" s="5">
        <f ca="1">_xlfn.XLOOKUP(OFFSET(Data!$A$1,AI$7-$G21,0,1,1),Data!$A:$A,Data!$G:$G)-(AI$8+AI$9*_xlfn.XLOOKUP(OFFSET(Data!$A$1,AI$7-$G21,0,1,1),Data!$A:$A,Data!$F:$F))</f>
        <v>-4.7289537918557972E-2</v>
      </c>
      <c r="AJ21" s="5">
        <f ca="1">_xlfn.XLOOKUP(OFFSET(Data!$A$1,AJ$7-$G21,0,1,1),Data!$A:$A,Data!$H:$H)-(AJ$8+AJ$9*_xlfn.XLOOKUP(OFFSET(Data!$A$1,AJ$7-$G21,0,1,1),Data!$A:$A,Data!$F:$F))</f>
        <v>1.5823655600617711E-2</v>
      </c>
      <c r="AK21" s="5">
        <f ca="1">_xlfn.XLOOKUP(OFFSET(Data!$A$1,AK$7-$G21,0,1,1),Data!$A:$A,Data!$I:$I)-(AK$8+AK$9*_xlfn.XLOOKUP(OFFSET(Data!$A$1,AK$7-$G21,0,1,1),Data!$A:$A,Data!$F:$F))</f>
        <v>4.9097441206627252E-4</v>
      </c>
      <c r="AL21" s="5">
        <f ca="1">_xlfn.XLOOKUP(OFFSET(Data!$A$1,AL$7-$G21,0,1,1),Data!$A:$A,Data!$G:$G)-(AL$8+AL$9*_xlfn.XLOOKUP(OFFSET(Data!$A$1,AL$7-$G21,0,1,1),Data!$A:$A,Data!$F:$F))</f>
        <v>4.0900587579324445E-2</v>
      </c>
      <c r="AM21" s="5">
        <f ca="1">_xlfn.XLOOKUP(OFFSET(Data!$A$1,AM$7-$G21,0,1,1),Data!$A:$A,Data!$H:$H)-(AM$8+AM$9*_xlfn.XLOOKUP(OFFSET(Data!$A$1,AM$7-$G21,0,1,1),Data!$A:$A,Data!$F:$F))</f>
        <v>4.0254509028751426E-5</v>
      </c>
      <c r="AN21" s="5">
        <f ca="1">_xlfn.XLOOKUP(OFFSET(Data!$A$1,AN$7-$G21,0,1,1),Data!$A:$A,Data!$I:$I)-(AN$8+AN$9*_xlfn.XLOOKUP(OFFSET(Data!$A$1,AN$7-$G21,0,1,1),Data!$A:$A,Data!$F:$F))</f>
        <v>-8.1595571478704776E-3</v>
      </c>
      <c r="AO21" s="5">
        <f ca="1">_xlfn.XLOOKUP(OFFSET(Data!$A$1,AO$7-$G21,0,1,1),Data!$A:$A,Data!$G:$G)-(AO$8+AO$9*_xlfn.XLOOKUP(OFFSET(Data!$A$1,AO$7-$G21,0,1,1),Data!$A:$A,Data!$F:$F))</f>
        <v>-1.4520944816304015E-3</v>
      </c>
      <c r="AP21" s="5">
        <f ca="1">_xlfn.XLOOKUP(OFFSET(Data!$A$1,AP$7-$G21,0,1,1),Data!$A:$A,Data!$H:$H)-(AP$8+AP$9*_xlfn.XLOOKUP(OFFSET(Data!$A$1,AP$7-$G21,0,1,1),Data!$A:$A,Data!$F:$F))</f>
        <v>1.9089719363929274E-3</v>
      </c>
      <c r="AQ21" s="5">
        <f ca="1">_xlfn.XLOOKUP(OFFSET(Data!$A$1,AQ$7-$G21,0,1,1),Data!$A:$A,Data!$I:$I)-(AQ$8+AQ$9*_xlfn.XLOOKUP(OFFSET(Data!$A$1,AQ$7-$G21,0,1,1),Data!$A:$A,Data!$F:$F))</f>
        <v>4.5015799972968765E-3</v>
      </c>
      <c r="AS21">
        <v>-8</v>
      </c>
      <c r="AT21" s="5">
        <f t="shared" ca="1" si="0"/>
        <v>-4.2893546638990239E-3</v>
      </c>
      <c r="AU21" s="10" cm="1">
        <f t="array" aca="1" ref="AU21" ca="1">SQRT(SUMPRODUCT(($H$5:$AQ$5="+")*($H31:$AQ31-AT21)^2)/(AY21-1))/SQRT(AY21)</f>
        <v>3.1828579812467387E-3</v>
      </c>
      <c r="AV21" s="13">
        <f t="shared" ca="1" si="1"/>
        <v>-1.3476424927444817</v>
      </c>
      <c r="AW21" t="str">
        <f t="shared" ca="1" si="2"/>
        <v>No</v>
      </c>
      <c r="AX21" s="5">
        <f t="shared" ca="1" si="3"/>
        <v>-4.8878483277892126E-4</v>
      </c>
      <c r="AY21">
        <f t="shared" si="4"/>
        <v>18</v>
      </c>
      <c r="BA21">
        <v>-8</v>
      </c>
      <c r="BB21" s="5">
        <f t="shared" ca="1" si="5"/>
        <v>-7.3751516055643946E-3</v>
      </c>
      <c r="BC21" s="10" cm="1">
        <f t="array" aca="1" ref="BC21" ca="1">SQRT(SUMPRODUCT(($H$5:$AQ$5="-")*($H31:$AQ31-BB21)^2)/(BG21-1))/SQRT(BG21)</f>
        <v>3.8895131101292905E-3</v>
      </c>
      <c r="BD21" s="13">
        <f t="shared" ca="1" si="6"/>
        <v>-1.89616319491445</v>
      </c>
      <c r="BE21" t="str">
        <f t="shared" ca="1" si="7"/>
        <v>No</v>
      </c>
      <c r="BF21" s="5">
        <f t="shared" ca="1" si="8"/>
        <v>-5.6684273680789321E-3</v>
      </c>
      <c r="BG21">
        <f t="shared" si="9"/>
        <v>18</v>
      </c>
    </row>
    <row r="22" spans="1:59" x14ac:dyDescent="0.2">
      <c r="A22" s="2">
        <f>Data!A22</f>
        <v>46106</v>
      </c>
      <c r="B22" s="5">
        <f>Data!F22</f>
        <v>8.4379788175319437E-3</v>
      </c>
      <c r="C22" s="5">
        <f>Data!G22</f>
        <v>-9.583053127101504E-3</v>
      </c>
      <c r="D22" s="5">
        <f>Data!H22</f>
        <v>-1.888020833333337E-2</v>
      </c>
      <c r="E22" s="5">
        <f>Data!I22</f>
        <v>0</v>
      </c>
      <c r="G22" s="3">
        <v>1</v>
      </c>
      <c r="H22" s="5">
        <f ca="1">_xlfn.XLOOKUP(OFFSET(Data!$A$1,H$7-$G22,0,1,1),Data!$A:$A,Data!$G:$G)-(H$8+H$9*_xlfn.XLOOKUP(OFFSET(Data!$A$1,H$7-$G22,0,1,1),Data!$A:$A,Data!$F:$F))</f>
        <v>-1.8797276353174831E-2</v>
      </c>
      <c r="I22" s="5">
        <f ca="1">_xlfn.XLOOKUP(OFFSET(Data!$A$1,I$7-$G22,0,1,1),Data!$A:$A,Data!$H:$H)-(I$8+I$9*_xlfn.XLOOKUP(OFFSET(Data!$A$1,I$7-$G22,0,1,1),Data!$A:$A,Data!$F:$F))</f>
        <v>2.2442314088490364E-3</v>
      </c>
      <c r="J22" s="5">
        <f ca="1">_xlfn.XLOOKUP(OFFSET(Data!$A$1,J$7-$G22,0,1,1),Data!$A:$A,Data!$I:$I)-(J$8+J$9*_xlfn.XLOOKUP(OFFSET(Data!$A$1,J$7-$G22,0,1,1),Data!$A:$A,Data!$F:$F))</f>
        <v>1.8081597951479473E-2</v>
      </c>
      <c r="K22" s="5">
        <f ca="1">_xlfn.XLOOKUP(OFFSET(Data!$A$1,K$7-$G22,0,1,1),Data!$A:$A,Data!$G:$G)-(K$8+K$9*_xlfn.XLOOKUP(OFFSET(Data!$A$1,K$7-$G22,0,1,1),Data!$A:$A,Data!$F:$F))</f>
        <v>2.8880009905730801E-4</v>
      </c>
      <c r="L22" s="5">
        <f ca="1">_xlfn.XLOOKUP(OFFSET(Data!$A$1,L$7-$G22,0,1,1),Data!$A:$A,Data!$H:$H)-(L$8+L$9*_xlfn.XLOOKUP(OFFSET(Data!$A$1,L$7-$G22,0,1,1),Data!$A:$A,Data!$F:$F))</f>
        <v>1.4489229221710261E-2</v>
      </c>
      <c r="M22" s="5">
        <f ca="1">_xlfn.XLOOKUP(OFFSET(Data!$A$1,M$7-$G22,0,1,1),Data!$A:$A,Data!$I:$I)-(M$8+M$9*_xlfn.XLOOKUP(OFFSET(Data!$A$1,M$7-$G22,0,1,1),Data!$A:$A,Data!$F:$F))</f>
        <v>-3.8449709249557103E-2</v>
      </c>
      <c r="N22" s="5">
        <f ca="1">_xlfn.XLOOKUP(OFFSET(Data!$A$1,N$7-$G22,0,1,1),Data!$A:$A,Data!$G:$G)-(N$8+N$9*_xlfn.XLOOKUP(OFFSET(Data!$A$1,N$7-$G22,0,1,1),Data!$A:$A,Data!$F:$F))</f>
        <v>9.6969020827824062E-4</v>
      </c>
      <c r="O22" s="5">
        <f ca="1">_xlfn.XLOOKUP(OFFSET(Data!$A$1,O$7-$G22,0,1,1),Data!$A:$A,Data!$H:$H)-(O$8+O$9*_xlfn.XLOOKUP(OFFSET(Data!$A$1,O$7-$G22,0,1,1),Data!$A:$A,Data!$F:$F))</f>
        <v>-1.84723632964963E-3</v>
      </c>
      <c r="P22" s="5">
        <f ca="1">_xlfn.XLOOKUP(OFFSET(Data!$A$1,P$7-$G22,0,1,1),Data!$A:$A,Data!$I:$I)-(P$8+P$9*_xlfn.XLOOKUP(OFFSET(Data!$A$1,P$7-$G22,0,1,1),Data!$A:$A,Data!$F:$F))</f>
        <v>2.2687029699579608E-3</v>
      </c>
      <c r="Q22" s="5">
        <f ca="1">_xlfn.XLOOKUP(OFFSET(Data!$A$1,Q$7-$G22,0,1,1),Data!$A:$A,Data!$G:$G)-(Q$8+Q$9*_xlfn.XLOOKUP(OFFSET(Data!$A$1,Q$7-$G22,0,1,1),Data!$A:$A,Data!$F:$F))</f>
        <v>-7.2619026599757865E-3</v>
      </c>
      <c r="R22" s="5">
        <f ca="1">_xlfn.XLOOKUP(OFFSET(Data!$A$1,R$7-$G22,0,1,1),Data!$A:$A,Data!$H:$H)-(R$8+R$9*_xlfn.XLOOKUP(OFFSET(Data!$A$1,R$7-$G22,0,1,1),Data!$A:$A,Data!$F:$F))</f>
        <v>-6.8231603927047205E-2</v>
      </c>
      <c r="S22" s="5">
        <f ca="1">_xlfn.XLOOKUP(OFFSET(Data!$A$1,S$7-$G22,0,1,1),Data!$A:$A,Data!$I:$I)-(S$8+S$9*_xlfn.XLOOKUP(OFFSET(Data!$A$1,S$7-$G22,0,1,1),Data!$A:$A,Data!$F:$F))</f>
        <v>5.3163727529347699E-3</v>
      </c>
      <c r="T22" s="5">
        <f ca="1">_xlfn.XLOOKUP(OFFSET(Data!$A$1,T$7-$G22,0,1,1),Data!$A:$A,Data!$G:$G)-(T$8+T$9*_xlfn.XLOOKUP(OFFSET(Data!$A$1,T$7-$G22,0,1,1),Data!$A:$A,Data!$F:$F))</f>
        <v>-5.3935989809645105E-3</v>
      </c>
      <c r="U22" s="5">
        <f ca="1">_xlfn.XLOOKUP(OFFSET(Data!$A$1,U$7-$G22,0,1,1),Data!$A:$A,Data!$H:$H)-(U$8+U$9*_xlfn.XLOOKUP(OFFSET(Data!$A$1,U$7-$G22,0,1,1),Data!$A:$A,Data!$F:$F))</f>
        <v>7.7126521283364217E-3</v>
      </c>
      <c r="V22" s="5">
        <f ca="1">_xlfn.XLOOKUP(OFFSET(Data!$A$1,V$7-$G22,0,1,1),Data!$A:$A,Data!$I:$I)-(V$8+V$9*_xlfn.XLOOKUP(OFFSET(Data!$A$1,V$7-$G22,0,1,1),Data!$A:$A,Data!$F:$F))</f>
        <v>-4.5034681342422146E-3</v>
      </c>
      <c r="W22" s="5">
        <f ca="1">_xlfn.XLOOKUP(OFFSET(Data!$A$1,W$7-$G22,0,1,1),Data!$A:$A,Data!$G:$G)-(W$8+W$9*_xlfn.XLOOKUP(OFFSET(Data!$A$1,W$7-$G22,0,1,1),Data!$A:$A,Data!$F:$F))</f>
        <v>1.3813335990140773E-3</v>
      </c>
      <c r="X22" s="5">
        <f ca="1">_xlfn.XLOOKUP(OFFSET(Data!$A$1,X$7-$G22,0,1,1),Data!$A:$A,Data!$H:$H)-(X$8+X$9*_xlfn.XLOOKUP(OFFSET(Data!$A$1,X$7-$G22,0,1,1),Data!$A:$A,Data!$F:$F))</f>
        <v>-1.4120850778189774E-3</v>
      </c>
      <c r="Y22" s="5">
        <f ca="1">_xlfn.XLOOKUP(OFFSET(Data!$A$1,Y$7-$G22,0,1,1),Data!$A:$A,Data!$I:$I)-(Y$8+Y$9*_xlfn.XLOOKUP(OFFSET(Data!$A$1,Y$7-$G22,0,1,1),Data!$A:$A,Data!$F:$F))</f>
        <v>-4.7501446520080677E-3</v>
      </c>
      <c r="Z22" s="5">
        <f ca="1">_xlfn.XLOOKUP(OFFSET(Data!$A$1,Z$7-$G22,0,1,1),Data!$A:$A,Data!$G:$G)-(Z$8+Z$9*_xlfn.XLOOKUP(OFFSET(Data!$A$1,Z$7-$G22,0,1,1),Data!$A:$A,Data!$F:$F))</f>
        <v>-2.8275273111391185E-2</v>
      </c>
      <c r="AA22" s="5">
        <f ca="1">_xlfn.XLOOKUP(OFFSET(Data!$A$1,AA$7-$G22,0,1,1),Data!$A:$A,Data!$H:$H)-(AA$8+AA$9*_xlfn.XLOOKUP(OFFSET(Data!$A$1,AA$7-$G22,0,1,1),Data!$A:$A,Data!$F:$F))</f>
        <v>2.5499793364226098E-3</v>
      </c>
      <c r="AB22" s="5">
        <f ca="1">_xlfn.XLOOKUP(OFFSET(Data!$A$1,AB$7-$G22,0,1,1),Data!$A:$A,Data!$I:$I)-(AB$8+AB$9*_xlfn.XLOOKUP(OFFSET(Data!$A$1,AB$7-$G22,0,1,1),Data!$A:$A,Data!$F:$F))</f>
        <v>2.2348093829452617E-2</v>
      </c>
      <c r="AC22" s="5">
        <f ca="1">_xlfn.XLOOKUP(OFFSET(Data!$A$1,AC$7-$G22,0,1,1),Data!$A:$A,Data!$G:$G)-(AC$8+AC$9*_xlfn.XLOOKUP(OFFSET(Data!$A$1,AC$7-$G22,0,1,1),Data!$A:$A,Data!$F:$F))</f>
        <v>6.2095303223609387E-3</v>
      </c>
      <c r="AD22" s="5">
        <f ca="1">_xlfn.XLOOKUP(OFFSET(Data!$A$1,AD$7-$G22,0,1,1),Data!$A:$A,Data!$H:$H)-(AD$8+AD$9*_xlfn.XLOOKUP(OFFSET(Data!$A$1,AD$7-$G22,0,1,1),Data!$A:$A,Data!$F:$F))</f>
        <v>-6.0616093405816175E-3</v>
      </c>
      <c r="AE22" s="5">
        <f ca="1">_xlfn.XLOOKUP(OFFSET(Data!$A$1,AE$7-$G22,0,1,1),Data!$A:$A,Data!$I:$I)-(AE$8+AE$9*_xlfn.XLOOKUP(OFFSET(Data!$A$1,AE$7-$G22,0,1,1),Data!$A:$A,Data!$F:$F))</f>
        <v>1.2534932099633384E-4</v>
      </c>
      <c r="AF22" s="5">
        <f ca="1">_xlfn.XLOOKUP(OFFSET(Data!$A$1,AF$7-$G22,0,1,1),Data!$A:$A,Data!$G:$G)-(AF$8+AF$9*_xlfn.XLOOKUP(OFFSET(Data!$A$1,AF$7-$G22,0,1,1),Data!$A:$A,Data!$F:$F))</f>
        <v>1.4031641322115686E-2</v>
      </c>
      <c r="AG22" s="5">
        <f ca="1">_xlfn.XLOOKUP(OFFSET(Data!$A$1,AG$7-$G22,0,1,1),Data!$A:$A,Data!$H:$H)-(AG$8+AG$9*_xlfn.XLOOKUP(OFFSET(Data!$A$1,AG$7-$G22,0,1,1),Data!$A:$A,Data!$F:$F))</f>
        <v>2.7774108302997567E-2</v>
      </c>
      <c r="AH22" s="5">
        <f ca="1">_xlfn.XLOOKUP(OFFSET(Data!$A$1,AH$7-$G22,0,1,1),Data!$A:$A,Data!$I:$I)-(AH$8+AH$9*_xlfn.XLOOKUP(OFFSET(Data!$A$1,AH$7-$G22,0,1,1),Data!$A:$A,Data!$F:$F))</f>
        <v>-5.1814033473908221E-3</v>
      </c>
      <c r="AI22" s="5">
        <f ca="1">_xlfn.XLOOKUP(OFFSET(Data!$A$1,AI$7-$G22,0,1,1),Data!$A:$A,Data!$G:$G)-(AI$8+AI$9*_xlfn.XLOOKUP(OFFSET(Data!$A$1,AI$7-$G22,0,1,1),Data!$A:$A,Data!$F:$F))</f>
        <v>4.6749100448943468E-2</v>
      </c>
      <c r="AJ22" s="5">
        <f ca="1">_xlfn.XLOOKUP(OFFSET(Data!$A$1,AJ$7-$G22,0,1,1),Data!$A:$A,Data!$H:$H)-(AJ$8+AJ$9*_xlfn.XLOOKUP(OFFSET(Data!$A$1,AJ$7-$G22,0,1,1),Data!$A:$A,Data!$F:$F))</f>
        <v>-7.7843280064217053E-3</v>
      </c>
      <c r="AK22" s="5">
        <f ca="1">_xlfn.XLOOKUP(OFFSET(Data!$A$1,AK$7-$G22,0,1,1),Data!$A:$A,Data!$I:$I)-(AK$8+AK$9*_xlfn.XLOOKUP(OFFSET(Data!$A$1,AK$7-$G22,0,1,1),Data!$A:$A,Data!$F:$F))</f>
        <v>5.3613703946386003E-3</v>
      </c>
      <c r="AL22" s="5">
        <f ca="1">_xlfn.XLOOKUP(OFFSET(Data!$A$1,AL$7-$G22,0,1,1),Data!$A:$A,Data!$G:$G)-(AL$8+AL$9*_xlfn.XLOOKUP(OFFSET(Data!$A$1,AL$7-$G22,0,1,1),Data!$A:$A,Data!$F:$F))</f>
        <v>-1.3781242936152014E-2</v>
      </c>
      <c r="AM22" s="5">
        <f ca="1">_xlfn.XLOOKUP(OFFSET(Data!$A$1,AM$7-$G22,0,1,1),Data!$A:$A,Data!$H:$H)-(AM$8+AM$9*_xlfn.XLOOKUP(OFFSET(Data!$A$1,AM$7-$G22,0,1,1),Data!$A:$A,Data!$F:$F))</f>
        <v>4.2914052474341043E-3</v>
      </c>
      <c r="AN22" s="5">
        <f ca="1">_xlfn.XLOOKUP(OFFSET(Data!$A$1,AN$7-$G22,0,1,1),Data!$A:$A,Data!$I:$I)-(AN$8+AN$9*_xlfn.XLOOKUP(OFFSET(Data!$A$1,AN$7-$G22,0,1,1),Data!$A:$A,Data!$F:$F))</f>
        <v>-1.0377971688606503E-3</v>
      </c>
      <c r="AO22" s="5">
        <f ca="1">_xlfn.XLOOKUP(OFFSET(Data!$A$1,AO$7-$G22,0,1,1),Data!$A:$A,Data!$G:$G)-(AO$8+AO$9*_xlfn.XLOOKUP(OFFSET(Data!$A$1,AO$7-$G22,0,1,1),Data!$A:$A,Data!$F:$F))</f>
        <v>6.712627363734458E-3</v>
      </c>
      <c r="AP22" s="5">
        <f ca="1">_xlfn.XLOOKUP(OFFSET(Data!$A$1,AP$7-$G22,0,1,1),Data!$A:$A,Data!$H:$H)-(AP$8+AP$9*_xlfn.XLOOKUP(OFFSET(Data!$A$1,AP$7-$G22,0,1,1),Data!$A:$A,Data!$F:$F))</f>
        <v>-1.3954424524660787E-2</v>
      </c>
      <c r="AQ22" s="5">
        <f ca="1">_xlfn.XLOOKUP(OFFSET(Data!$A$1,AQ$7-$G22,0,1,1),Data!$A:$A,Data!$I:$I)-(AQ$8+AQ$9*_xlfn.XLOOKUP(OFFSET(Data!$A$1,AQ$7-$G22,0,1,1),Data!$A:$A,Data!$F:$F))</f>
        <v>-7.6070693697590855E-3</v>
      </c>
      <c r="AS22">
        <v>-9</v>
      </c>
      <c r="AT22" s="5">
        <f t="shared" ca="1" si="0"/>
        <v>-1.2533760939637849E-3</v>
      </c>
      <c r="AU22" s="10" cm="1">
        <f t="array" aca="1" ref="AU22" ca="1">SQRT(SUMPRODUCT(($H$5:$AQ$5="+")*($H32:$AQ32-AT22)^2)/(AY22-1))/SQRT(AY22)</f>
        <v>4.7450163259731342E-3</v>
      </c>
      <c r="AV22" s="13">
        <f t="shared" ca="1" si="1"/>
        <v>-0.26414579168107194</v>
      </c>
      <c r="AW22" t="str">
        <f t="shared" ca="1" si="2"/>
        <v>No</v>
      </c>
      <c r="AX22" s="5">
        <f t="shared" ca="1" si="3"/>
        <v>3.8169420493010531E-3</v>
      </c>
      <c r="AY22">
        <f t="shared" si="4"/>
        <v>18</v>
      </c>
      <c r="BA22">
        <v>-9</v>
      </c>
      <c r="BB22" s="5">
        <f t="shared" ca="1" si="5"/>
        <v>-5.2575256100618984E-3</v>
      </c>
      <c r="BC22" s="10" cm="1">
        <f t="array" aca="1" ref="BC22" ca="1">SQRT(SUMPRODUCT(($H$5:$AQ$5="-")*($H32:$AQ32-BB22)^2)/(BG22-1))/SQRT(BG22)</f>
        <v>3.2568086687416952E-3</v>
      </c>
      <c r="BD22" s="13">
        <f t="shared" ca="1" si="6"/>
        <v>-1.6143182313786959</v>
      </c>
      <c r="BE22" t="str">
        <f t="shared" ca="1" si="7"/>
        <v>No</v>
      </c>
      <c r="BF22" s="5">
        <f t="shared" ca="1" si="8"/>
        <v>1.7194051108493369E-3</v>
      </c>
      <c r="BG22">
        <f t="shared" si="9"/>
        <v>18</v>
      </c>
    </row>
    <row r="23" spans="1:59" x14ac:dyDescent="0.2">
      <c r="A23" s="2">
        <f>Data!A23</f>
        <v>46105</v>
      </c>
      <c r="B23" s="5">
        <f>Data!F23</f>
        <v>-1.2266059087399528E-2</v>
      </c>
      <c r="C23" s="5">
        <f>Data!G23</f>
        <v>-2.1388614675880269E-2</v>
      </c>
      <c r="D23" s="5">
        <f>Data!H23</f>
        <v>-2.2900763358778664E-2</v>
      </c>
      <c r="E23" s="5">
        <f>Data!I23</f>
        <v>-9.8379629629629095E-3</v>
      </c>
      <c r="G23" s="3">
        <v>0</v>
      </c>
      <c r="H23" s="5">
        <f ca="1">_xlfn.XLOOKUP(OFFSET(Data!$A$1,H$7-$G23,0,1,1),Data!$A:$A,Data!$G:$G)-(H$8+H$9*_xlfn.XLOOKUP(OFFSET(Data!$A$1,H$7-$G23,0,1,1),Data!$A:$A,Data!$F:$F))</f>
        <v>8.467100576080494E-3</v>
      </c>
      <c r="I23" s="5">
        <f ca="1">_xlfn.XLOOKUP(OFFSET(Data!$A$1,I$7-$G23,0,1,1),Data!$A:$A,Data!$H:$H)-(I$8+I$9*_xlfn.XLOOKUP(OFFSET(Data!$A$1,I$7-$G23,0,1,1),Data!$A:$A,Data!$F:$F))</f>
        <v>-5.1280446922520158E-2</v>
      </c>
      <c r="J23" s="5">
        <f ca="1">_xlfn.XLOOKUP(OFFSET(Data!$A$1,J$7-$G23,0,1,1),Data!$A:$A,Data!$I:$I)-(J$8+J$9*_xlfn.XLOOKUP(OFFSET(Data!$A$1,J$7-$G23,0,1,1),Data!$A:$A,Data!$F:$F))</f>
        <v>-4.5476580182739014E-2</v>
      </c>
      <c r="K23" s="5">
        <f ca="1">_xlfn.XLOOKUP(OFFSET(Data!$A$1,K$7-$G23,0,1,1),Data!$A:$A,Data!$G:$G)-(K$8+K$9*_xlfn.XLOOKUP(OFFSET(Data!$A$1,K$7-$G23,0,1,1),Data!$A:$A,Data!$F:$F))</f>
        <v>-2.6406027513595484E-2</v>
      </c>
      <c r="L23" s="5">
        <f ca="1">_xlfn.XLOOKUP(OFFSET(Data!$A$1,L$7-$G23,0,1,1),Data!$A:$A,Data!$H:$H)-(L$8+L$9*_xlfn.XLOOKUP(OFFSET(Data!$A$1,L$7-$G23,0,1,1),Data!$A:$A,Data!$F:$F))</f>
        <v>4.6401614237991436E-3</v>
      </c>
      <c r="M23" s="5">
        <f ca="1">_xlfn.XLOOKUP(OFFSET(Data!$A$1,M$7-$G23,0,1,1),Data!$A:$A,Data!$I:$I)-(M$8+M$9*_xlfn.XLOOKUP(OFFSET(Data!$A$1,M$7-$G23,0,1,1),Data!$A:$A,Data!$F:$F))</f>
        <v>3.0934448728002346E-2</v>
      </c>
      <c r="N23" s="5">
        <f ca="1">_xlfn.XLOOKUP(OFFSET(Data!$A$1,N$7-$G23,0,1,1),Data!$A:$A,Data!$G:$G)-(N$8+N$9*_xlfn.XLOOKUP(OFFSET(Data!$A$1,N$7-$G23,0,1,1),Data!$A:$A,Data!$F:$F))</f>
        <v>-4.4581387200657036E-3</v>
      </c>
      <c r="O23" s="5">
        <f ca="1">_xlfn.XLOOKUP(OFFSET(Data!$A$1,O$7-$G23,0,1,1),Data!$A:$A,Data!$H:$H)-(O$8+O$9*_xlfn.XLOOKUP(OFFSET(Data!$A$1,O$7-$G23,0,1,1),Data!$A:$A,Data!$F:$F))</f>
        <v>-5.7872215116636667E-3</v>
      </c>
      <c r="P23" s="5">
        <f ca="1">_xlfn.XLOOKUP(OFFSET(Data!$A$1,P$7-$G23,0,1,1),Data!$A:$A,Data!$I:$I)-(P$8+P$9*_xlfn.XLOOKUP(OFFSET(Data!$A$1,P$7-$G23,0,1,1),Data!$A:$A,Data!$F:$F))</f>
        <v>-9.1444519424701339E-4</v>
      </c>
      <c r="Q23" s="5">
        <f ca="1">_xlfn.XLOOKUP(OFFSET(Data!$A$1,Q$7-$G23,0,1,1),Data!$A:$A,Data!$G:$G)-(Q$8+Q$9*_xlfn.XLOOKUP(OFFSET(Data!$A$1,Q$7-$G23,0,1,1),Data!$A:$A,Data!$F:$F))</f>
        <v>-2.1991200973243601E-3</v>
      </c>
      <c r="R23" s="5">
        <f ca="1">_xlfn.XLOOKUP(OFFSET(Data!$A$1,R$7-$G23,0,1,1),Data!$A:$A,Data!$H:$H)-(R$8+R$9*_xlfn.XLOOKUP(OFFSET(Data!$A$1,R$7-$G23,0,1,1),Data!$A:$A,Data!$F:$F))</f>
        <v>2.5228470385084516E-2</v>
      </c>
      <c r="S23" s="5">
        <f ca="1">_xlfn.XLOOKUP(OFFSET(Data!$A$1,S$7-$G23,0,1,1),Data!$A:$A,Data!$I:$I)-(S$8+S$9*_xlfn.XLOOKUP(OFFSET(Data!$A$1,S$7-$G23,0,1,1),Data!$A:$A,Data!$F:$F))</f>
        <v>-3.0737519375649704E-4</v>
      </c>
      <c r="T23" s="5">
        <f ca="1">_xlfn.XLOOKUP(OFFSET(Data!$A$1,T$7-$G23,0,1,1),Data!$A:$A,Data!$G:$G)-(T$8+T$9*_xlfn.XLOOKUP(OFFSET(Data!$A$1,T$7-$G23,0,1,1),Data!$A:$A,Data!$F:$F))</f>
        <v>-1.3480066265591974E-2</v>
      </c>
      <c r="U23" s="5">
        <f ca="1">_xlfn.XLOOKUP(OFFSET(Data!$A$1,U$7-$G23,0,1,1),Data!$A:$A,Data!$H:$H)-(U$8+U$9*_xlfn.XLOOKUP(OFFSET(Data!$A$1,U$7-$G23,0,1,1),Data!$A:$A,Data!$F:$F))</f>
        <v>-2.3760339826598711E-2</v>
      </c>
      <c r="V23" s="5">
        <f ca="1">_xlfn.XLOOKUP(OFFSET(Data!$A$1,V$7-$G23,0,1,1),Data!$A:$A,Data!$I:$I)-(V$8+V$9*_xlfn.XLOOKUP(OFFSET(Data!$A$1,V$7-$G23,0,1,1),Data!$A:$A,Data!$F:$F))</f>
        <v>6.8934407142779005E-4</v>
      </c>
      <c r="W23" s="5">
        <f ca="1">_xlfn.XLOOKUP(OFFSET(Data!$A$1,W$7-$G23,0,1,1),Data!$A:$A,Data!$G:$G)-(W$8+W$9*_xlfn.XLOOKUP(OFFSET(Data!$A$1,W$7-$G23,0,1,1),Data!$A:$A,Data!$F:$F))</f>
        <v>2.4688259884261265E-2</v>
      </c>
      <c r="X23" s="5">
        <f ca="1">_xlfn.XLOOKUP(OFFSET(Data!$A$1,X$7-$G23,0,1,1),Data!$A:$A,Data!$H:$H)-(X$8+X$9*_xlfn.XLOOKUP(OFFSET(Data!$A$1,X$7-$G23,0,1,1),Data!$A:$A,Data!$F:$F))</f>
        <v>4.1184721869603855E-2</v>
      </c>
      <c r="Y23" s="5">
        <f ca="1">_xlfn.XLOOKUP(OFFSET(Data!$A$1,Y$7-$G23,0,1,1),Data!$A:$A,Data!$I:$I)-(Y$8+Y$9*_xlfn.XLOOKUP(OFFSET(Data!$A$1,Y$7-$G23,0,1,1),Data!$A:$A,Data!$F:$F))</f>
        <v>4.7969749453096603E-3</v>
      </c>
      <c r="Z23" s="5">
        <f ca="1">_xlfn.XLOOKUP(OFFSET(Data!$A$1,Z$7-$G23,0,1,1),Data!$A:$A,Data!$G:$G)-(Z$8+Z$9*_xlfn.XLOOKUP(OFFSET(Data!$A$1,Z$7-$G23,0,1,1),Data!$A:$A,Data!$F:$F))</f>
        <v>-2.3880130116621309E-3</v>
      </c>
      <c r="AA23" s="5">
        <f ca="1">_xlfn.XLOOKUP(OFFSET(Data!$A$1,AA$7-$G23,0,1,1),Data!$A:$A,Data!$H:$H)-(AA$8+AA$9*_xlfn.XLOOKUP(OFFSET(Data!$A$1,AA$7-$G23,0,1,1),Data!$A:$A,Data!$F:$F))</f>
        <v>2.1467477940369108E-2</v>
      </c>
      <c r="AB23" s="5">
        <f ca="1">_xlfn.XLOOKUP(OFFSET(Data!$A$1,AB$7-$G23,0,1,1),Data!$A:$A,Data!$I:$I)-(AB$8+AB$9*_xlfn.XLOOKUP(OFFSET(Data!$A$1,AB$7-$G23,0,1,1),Data!$A:$A,Data!$F:$F))</f>
        <v>-6.0687398199191084E-3</v>
      </c>
      <c r="AC23" s="5">
        <f ca="1">_xlfn.XLOOKUP(OFFSET(Data!$A$1,AC$7-$G23,0,1,1),Data!$A:$A,Data!$G:$G)-(AC$8+AC$9*_xlfn.XLOOKUP(OFFSET(Data!$A$1,AC$7-$G23,0,1,1),Data!$A:$A,Data!$F:$F))</f>
        <v>5.7353253105956598E-4</v>
      </c>
      <c r="AD23" s="5">
        <f ca="1">_xlfn.XLOOKUP(OFFSET(Data!$A$1,AD$7-$G23,0,1,1),Data!$A:$A,Data!$H:$H)-(AD$8+AD$9*_xlfn.XLOOKUP(OFFSET(Data!$A$1,AD$7-$G23,0,1,1),Data!$A:$A,Data!$F:$F))</f>
        <v>-1.6939218426755599E-2</v>
      </c>
      <c r="AE23" s="5">
        <f ca="1">_xlfn.XLOOKUP(OFFSET(Data!$A$1,AE$7-$G23,0,1,1),Data!$A:$A,Data!$I:$I)-(AE$8+AE$9*_xlfn.XLOOKUP(OFFSET(Data!$A$1,AE$7-$G23,0,1,1),Data!$A:$A,Data!$F:$F))</f>
        <v>4.8723675418444953E-4</v>
      </c>
      <c r="AF23" s="5">
        <f ca="1">_xlfn.XLOOKUP(OFFSET(Data!$A$1,AF$7-$G23,0,1,1),Data!$A:$A,Data!$G:$G)-(AF$8+AF$9*_xlfn.XLOOKUP(OFFSET(Data!$A$1,AF$7-$G23,0,1,1),Data!$A:$A,Data!$F:$F))</f>
        <v>2.1782637668582936E-3</v>
      </c>
      <c r="AG23" s="5">
        <f ca="1">_xlfn.XLOOKUP(OFFSET(Data!$A$1,AG$7-$G23,0,1,1),Data!$A:$A,Data!$H:$H)-(AG$8+AG$9*_xlfn.XLOOKUP(OFFSET(Data!$A$1,AG$7-$G23,0,1,1),Data!$A:$A,Data!$F:$F))</f>
        <v>-6.3916214685667966E-3</v>
      </c>
      <c r="AH23" s="5">
        <f ca="1">_xlfn.XLOOKUP(OFFSET(Data!$A$1,AH$7-$G23,0,1,1),Data!$A:$A,Data!$I:$I)-(AH$8+AH$9*_xlfn.XLOOKUP(OFFSET(Data!$A$1,AH$7-$G23,0,1,1),Data!$A:$A,Data!$F:$F))</f>
        <v>-6.0723432784418985E-4</v>
      </c>
      <c r="AI23" s="5">
        <f ca="1">_xlfn.XLOOKUP(OFFSET(Data!$A$1,AI$7-$G23,0,1,1),Data!$A:$A,Data!$G:$G)-(AI$8+AI$9*_xlfn.XLOOKUP(OFFSET(Data!$A$1,AI$7-$G23,0,1,1),Data!$A:$A,Data!$F:$F))</f>
        <v>1.7394428180110819E-2</v>
      </c>
      <c r="AJ23" s="5">
        <f ca="1">_xlfn.XLOOKUP(OFFSET(Data!$A$1,AJ$7-$G23,0,1,1),Data!$A:$A,Data!$H:$H)-(AJ$8+AJ$9*_xlfn.XLOOKUP(OFFSET(Data!$A$1,AJ$7-$G23,0,1,1),Data!$A:$A,Data!$F:$F))</f>
        <v>-0.10192707436397695</v>
      </c>
      <c r="AK23" s="5">
        <f ca="1">_xlfn.XLOOKUP(OFFSET(Data!$A$1,AK$7-$G23,0,1,1),Data!$A:$A,Data!$I:$I)-(AK$8+AK$9*_xlfn.XLOOKUP(OFFSET(Data!$A$1,AK$7-$G23,0,1,1),Data!$A:$A,Data!$F:$F))</f>
        <v>5.3117818478552049E-2</v>
      </c>
      <c r="AL23" s="5">
        <f ca="1">_xlfn.XLOOKUP(OFFSET(Data!$A$1,AL$7-$G23,0,1,1),Data!$A:$A,Data!$G:$G)-(AL$8+AL$9*_xlfn.XLOOKUP(OFFSET(Data!$A$1,AL$7-$G23,0,1,1),Data!$A:$A,Data!$F:$F))</f>
        <v>-2.5648114672231416E-2</v>
      </c>
      <c r="AM23" s="5">
        <f ca="1">_xlfn.XLOOKUP(OFFSET(Data!$A$1,AM$7-$G23,0,1,1),Data!$A:$A,Data!$H:$H)-(AM$8+AM$9*_xlfn.XLOOKUP(OFFSET(Data!$A$1,AM$7-$G23,0,1,1),Data!$A:$A,Data!$F:$F))</f>
        <v>-1.3474444282026508E-2</v>
      </c>
      <c r="AN23" s="5">
        <f ca="1">_xlfn.XLOOKUP(OFFSET(Data!$A$1,AN$7-$G23,0,1,1),Data!$A:$A,Data!$I:$I)-(AN$8+AN$9*_xlfn.XLOOKUP(OFFSET(Data!$A$1,AN$7-$G23,0,1,1),Data!$A:$A,Data!$F:$F))</f>
        <v>-2.0000890933778093E-2</v>
      </c>
      <c r="AO23" s="5">
        <f ca="1">_xlfn.XLOOKUP(OFFSET(Data!$A$1,AO$7-$G23,0,1,1),Data!$A:$A,Data!$G:$G)-(AO$8+AO$9*_xlfn.XLOOKUP(OFFSET(Data!$A$1,AO$7-$G23,0,1,1),Data!$A:$A,Data!$F:$F))</f>
        <v>1.041745033156646E-2</v>
      </c>
      <c r="AP23" s="5">
        <f ca="1">_xlfn.XLOOKUP(OFFSET(Data!$A$1,AP$7-$G23,0,1,1),Data!$A:$A,Data!$H:$H)-(AP$8+AP$9*_xlfn.XLOOKUP(OFFSET(Data!$A$1,AP$7-$G23,0,1,1),Data!$A:$A,Data!$F:$F))</f>
        <v>-6.4530376497370333E-3</v>
      </c>
      <c r="AQ23" s="5">
        <f ca="1">_xlfn.XLOOKUP(OFFSET(Data!$A$1,AQ$7-$G23,0,1,1),Data!$A:$A,Data!$I:$I)-(AQ$8+AQ$9*_xlfn.XLOOKUP(OFFSET(Data!$A$1,AQ$7-$G23,0,1,1),Data!$A:$A,Data!$F:$F))</f>
        <v>-9.461404068932134E-3</v>
      </c>
      <c r="AS23">
        <v>-10</v>
      </c>
      <c r="AT23" s="5">
        <f t="shared" ca="1" si="0"/>
        <v>5.0766811340350586E-3</v>
      </c>
      <c r="AU23" s="10" cm="1">
        <f t="array" aca="1" ref="AU23" ca="1">SQRT(SUMPRODUCT(($H$5:$AQ$5="+")*($H33:$AQ33-AT23)^2)/(AY23-1))/SQRT(AY23)</f>
        <v>6.5754900171153211E-3</v>
      </c>
      <c r="AV23" s="13">
        <f t="shared" ca="1" si="1"/>
        <v>0.77206126400024666</v>
      </c>
      <c r="AW23" t="str">
        <f t="shared" ca="1" si="2"/>
        <v>No</v>
      </c>
      <c r="AX23" s="5">
        <f ca="1">AT23</f>
        <v>5.0766811340350586E-3</v>
      </c>
      <c r="AY23">
        <f t="shared" si="4"/>
        <v>18</v>
      </c>
      <c r="BA23">
        <v>-10</v>
      </c>
      <c r="BB23" s="5">
        <f t="shared" ca="1" si="5"/>
        <v>7.0138059855039941E-3</v>
      </c>
      <c r="BC23" s="10" cm="1">
        <f t="array" aca="1" ref="BC23" ca="1">SQRT(SUMPRODUCT(($H$5:$AQ$5="-")*($H33:$AQ33-BB23)^2)/(BG23-1))/SQRT(BG23)</f>
        <v>1.8863769444920576E-3</v>
      </c>
      <c r="BD23" s="13">
        <f t="shared" ca="1" si="6"/>
        <v>3.7181359780627474</v>
      </c>
      <c r="BE23" t="str">
        <f t="shared" ca="1" si="7"/>
        <v>Yes</v>
      </c>
      <c r="BF23" s="5">
        <f ca="1">BB23</f>
        <v>7.0138059855039941E-3</v>
      </c>
      <c r="BG23">
        <f t="shared" si="9"/>
        <v>18</v>
      </c>
    </row>
    <row r="24" spans="1:59" x14ac:dyDescent="0.2">
      <c r="A24" s="2">
        <f>Data!A24</f>
        <v>46104</v>
      </c>
      <c r="B24" s="5">
        <f>Data!F24</f>
        <v>-4.9045139911807478E-3</v>
      </c>
      <c r="C24" s="5">
        <f>Data!G24</f>
        <v>1.3337779259753324E-2</v>
      </c>
      <c r="D24" s="5">
        <f>Data!H24</f>
        <v>1.9455252918287869E-2</v>
      </c>
      <c r="E24" s="5">
        <f>Data!I24</f>
        <v>0</v>
      </c>
      <c r="G24" s="3">
        <v>-1</v>
      </c>
      <c r="H24" s="5">
        <f ca="1">_xlfn.XLOOKUP(OFFSET(Data!$A$1,H$7-$G24,0,1,1),Data!$A:$A,Data!$G:$G)-(H$8+H$9*_xlfn.XLOOKUP(OFFSET(Data!$A$1,H$7-$G24,0,1,1),Data!$A:$A,Data!$F:$F))</f>
        <v>-4.4300954785996523E-3</v>
      </c>
      <c r="I24" s="5">
        <f ca="1">_xlfn.XLOOKUP(OFFSET(Data!$A$1,I$7-$G24,0,1,1),Data!$A:$A,Data!$H:$H)-(I$8+I$9*_xlfn.XLOOKUP(OFFSET(Data!$A$1,I$7-$G24,0,1,1),Data!$A:$A,Data!$F:$F))</f>
        <v>7.2183272845410193E-3</v>
      </c>
      <c r="J24" s="5">
        <f ca="1">_xlfn.XLOOKUP(OFFSET(Data!$A$1,J$7-$G24,0,1,1),Data!$A:$A,Data!$I:$I)-(J$8+J$9*_xlfn.XLOOKUP(OFFSET(Data!$A$1,J$7-$G24,0,1,1),Data!$A:$A,Data!$F:$F))</f>
        <v>2.0880942729814122E-3</v>
      </c>
      <c r="K24" s="5">
        <f ca="1">_xlfn.XLOOKUP(OFFSET(Data!$A$1,K$7-$G24,0,1,1),Data!$A:$A,Data!$G:$G)-(K$8+K$9*_xlfn.XLOOKUP(OFFSET(Data!$A$1,K$7-$G24,0,1,1),Data!$A:$A,Data!$F:$F))</f>
        <v>1.8640278172396742E-3</v>
      </c>
      <c r="L24" s="5">
        <f ca="1">_xlfn.XLOOKUP(OFFSET(Data!$A$1,L$7-$G24,0,1,1),Data!$A:$A,Data!$H:$H)-(L$8+L$9*_xlfn.XLOOKUP(OFFSET(Data!$A$1,L$7-$G24,0,1,1),Data!$A:$A,Data!$F:$F))</f>
        <v>7.5157992196896303E-3</v>
      </c>
      <c r="M24" s="5">
        <f ca="1">_xlfn.XLOOKUP(OFFSET(Data!$A$1,M$7-$G24,0,1,1),Data!$A:$A,Data!$I:$I)-(M$8+M$9*_xlfn.XLOOKUP(OFFSET(Data!$A$1,M$7-$G24,0,1,1),Data!$A:$A,Data!$F:$F))</f>
        <v>-6.7245887600385476E-4</v>
      </c>
      <c r="N24" s="5">
        <f ca="1">_xlfn.XLOOKUP(OFFSET(Data!$A$1,N$7-$G24,0,1,1),Data!$A:$A,Data!$G:$G)-(N$8+N$9*_xlfn.XLOOKUP(OFFSET(Data!$A$1,N$7-$G24,0,1,1),Data!$A:$A,Data!$F:$F))</f>
        <v>9.5552188705149213E-3</v>
      </c>
      <c r="O24" s="5">
        <f ca="1">_xlfn.XLOOKUP(OFFSET(Data!$A$1,O$7-$G24,0,1,1),Data!$A:$A,Data!$H:$H)-(O$8+O$9*_xlfn.XLOOKUP(OFFSET(Data!$A$1,O$7-$G24,0,1,1),Data!$A:$A,Data!$F:$F))</f>
        <v>-2.8786814319669771E-4</v>
      </c>
      <c r="P24" s="5">
        <f ca="1">_xlfn.XLOOKUP(OFFSET(Data!$A$1,P$7-$G24,0,1,1),Data!$A:$A,Data!$I:$I)-(P$8+P$9*_xlfn.XLOOKUP(OFFSET(Data!$A$1,P$7-$G24,0,1,1),Data!$A:$A,Data!$F:$F))</f>
        <v>3.6882839403514643E-3</v>
      </c>
      <c r="Q24" s="5">
        <f ca="1">_xlfn.XLOOKUP(OFFSET(Data!$A$1,Q$7-$G24,0,1,1),Data!$A:$A,Data!$G:$G)-(Q$8+Q$9*_xlfn.XLOOKUP(OFFSET(Data!$A$1,Q$7-$G24,0,1,1),Data!$A:$A,Data!$F:$F))</f>
        <v>7.0139145069087229E-3</v>
      </c>
      <c r="R24" s="5">
        <f ca="1">_xlfn.XLOOKUP(OFFSET(Data!$A$1,R$7-$G24,0,1,1),Data!$A:$A,Data!$H:$H)-(R$8+R$9*_xlfn.XLOOKUP(OFFSET(Data!$A$1,R$7-$G24,0,1,1),Data!$A:$A,Data!$F:$F))</f>
        <v>-8.9433139042273055E-3</v>
      </c>
      <c r="S24" s="5">
        <f ca="1">_xlfn.XLOOKUP(OFFSET(Data!$A$1,S$7-$G24,0,1,1),Data!$A:$A,Data!$I:$I)-(S$8+S$9*_xlfn.XLOOKUP(OFFSET(Data!$A$1,S$7-$G24,0,1,1),Data!$A:$A,Data!$F:$F))</f>
        <v>2.3097373838949263E-3</v>
      </c>
      <c r="T24" s="5">
        <f ca="1">_xlfn.XLOOKUP(OFFSET(Data!$A$1,T$7-$G24,0,1,1),Data!$A:$A,Data!$G:$G)-(T$8+T$9*_xlfn.XLOOKUP(OFFSET(Data!$A$1,T$7-$G24,0,1,1),Data!$A:$A,Data!$F:$F))</f>
        <v>-1.1063128854946364E-2</v>
      </c>
      <c r="U24" s="5">
        <f ca="1">_xlfn.XLOOKUP(OFFSET(Data!$A$1,U$7-$G24,0,1,1),Data!$A:$A,Data!$H:$H)-(U$8+U$9*_xlfn.XLOOKUP(OFFSET(Data!$A$1,U$7-$G24,0,1,1),Data!$A:$A,Data!$F:$F))</f>
        <v>1.1499380568621738E-2</v>
      </c>
      <c r="V24" s="5">
        <f ca="1">_xlfn.XLOOKUP(OFFSET(Data!$A$1,V$7-$G24,0,1,1),Data!$A:$A,Data!$I:$I)-(V$8+V$9*_xlfn.XLOOKUP(OFFSET(Data!$A$1,V$7-$G24,0,1,1),Data!$A:$A,Data!$F:$F))</f>
        <v>2.3368444435494513E-3</v>
      </c>
      <c r="W24" s="5">
        <f ca="1">_xlfn.XLOOKUP(OFFSET(Data!$A$1,W$7-$G24,0,1,1),Data!$A:$A,Data!$G:$G)-(W$8+W$9*_xlfn.XLOOKUP(OFFSET(Data!$A$1,W$7-$G24,0,1,1),Data!$A:$A,Data!$F:$F))</f>
        <v>1.9853566675462377E-2</v>
      </c>
      <c r="X24" s="5">
        <f ca="1">_xlfn.XLOOKUP(OFFSET(Data!$A$1,X$7-$G24,0,1,1),Data!$A:$A,Data!$H:$H)-(X$8+X$9*_xlfn.XLOOKUP(OFFSET(Data!$A$1,X$7-$G24,0,1,1),Data!$A:$A,Data!$F:$F))</f>
        <v>6.675715864160988E-3</v>
      </c>
      <c r="Y24" s="5">
        <f ca="1">_xlfn.XLOOKUP(OFFSET(Data!$A$1,Y$7-$G24,0,1,1),Data!$A:$A,Data!$I:$I)-(Y$8+Y$9*_xlfn.XLOOKUP(OFFSET(Data!$A$1,Y$7-$G24,0,1,1),Data!$A:$A,Data!$F:$F))</f>
        <v>-3.7010091685442446E-4</v>
      </c>
      <c r="Z24" s="5">
        <f ca="1">_xlfn.XLOOKUP(OFFSET(Data!$A$1,Z$7-$G24,0,1,1),Data!$A:$A,Data!$G:$G)-(Z$8+Z$9*_xlfn.XLOOKUP(OFFSET(Data!$A$1,Z$7-$G24,0,1,1),Data!$A:$A,Data!$F:$F))</f>
        <v>-4.8469277005767503E-3</v>
      </c>
      <c r="AA24" s="5">
        <f ca="1">_xlfn.XLOOKUP(OFFSET(Data!$A$1,AA$7-$G24,0,1,1),Data!$A:$A,Data!$H:$H)-(AA$8+AA$9*_xlfn.XLOOKUP(OFFSET(Data!$A$1,AA$7-$G24,0,1,1),Data!$A:$A,Data!$F:$F))</f>
        <v>-4.9951208814517263E-3</v>
      </c>
      <c r="AB24" s="5">
        <f ca="1">_xlfn.XLOOKUP(OFFSET(Data!$A$1,AB$7-$G24,0,1,1),Data!$A:$A,Data!$I:$I)-(AB$8+AB$9*_xlfn.XLOOKUP(OFFSET(Data!$A$1,AB$7-$G24,0,1,1),Data!$A:$A,Data!$F:$F))</f>
        <v>6.5174752950154846E-2</v>
      </c>
      <c r="AC24" s="5">
        <f ca="1">_xlfn.XLOOKUP(OFFSET(Data!$A$1,AC$7-$G24,0,1,1),Data!$A:$A,Data!$G:$G)-(AC$8+AC$9*_xlfn.XLOOKUP(OFFSET(Data!$A$1,AC$7-$G24,0,1,1),Data!$A:$A,Data!$F:$F))</f>
        <v>1.5751810228323671E-2</v>
      </c>
      <c r="AD24" s="5">
        <f ca="1">_xlfn.XLOOKUP(OFFSET(Data!$A$1,AD$7-$G24,0,1,1),Data!$A:$A,Data!$H:$H)-(AD$8+AD$9*_xlfn.XLOOKUP(OFFSET(Data!$A$1,AD$7-$G24,0,1,1),Data!$A:$A,Data!$F:$F))</f>
        <v>-5.6003341852022409E-3</v>
      </c>
      <c r="AE24" s="5">
        <f ca="1">_xlfn.XLOOKUP(OFFSET(Data!$A$1,AE$7-$G24,0,1,1),Data!$A:$A,Data!$I:$I)-(AE$8+AE$9*_xlfn.XLOOKUP(OFFSET(Data!$A$1,AE$7-$G24,0,1,1),Data!$A:$A,Data!$F:$F))</f>
        <v>8.7149323151215832E-3</v>
      </c>
      <c r="AF24" s="5">
        <f ca="1">_xlfn.XLOOKUP(OFFSET(Data!$A$1,AF$7-$G24,0,1,1),Data!$A:$A,Data!$G:$G)-(AF$8+AF$9*_xlfn.XLOOKUP(OFFSET(Data!$A$1,AF$7-$G24,0,1,1),Data!$A:$A,Data!$F:$F))</f>
        <v>-1.1417529451334969E-2</v>
      </c>
      <c r="AG24" s="5">
        <f ca="1">_xlfn.XLOOKUP(OFFSET(Data!$A$1,AG$7-$G24,0,1,1),Data!$A:$A,Data!$H:$H)-(AG$8+AG$9*_xlfn.XLOOKUP(OFFSET(Data!$A$1,AG$7-$G24,0,1,1),Data!$A:$A,Data!$F:$F))</f>
        <v>9.2077607348482055E-4</v>
      </c>
      <c r="AH24" s="5">
        <f ca="1">_xlfn.XLOOKUP(OFFSET(Data!$A$1,AH$7-$G24,0,1,1),Data!$A:$A,Data!$I:$I)-(AH$8+AH$9*_xlfn.XLOOKUP(OFFSET(Data!$A$1,AH$7-$G24,0,1,1),Data!$A:$A,Data!$F:$F))</f>
        <v>3.6231011053218538E-3</v>
      </c>
      <c r="AI24" s="5">
        <f ca="1">_xlfn.XLOOKUP(OFFSET(Data!$A$1,AI$7-$G24,0,1,1),Data!$A:$A,Data!$G:$G)-(AI$8+AI$9*_xlfn.XLOOKUP(OFFSET(Data!$A$1,AI$7-$G24,0,1,1),Data!$A:$A,Data!$F:$F))</f>
        <v>-1.2233043200374679E-2</v>
      </c>
      <c r="AJ24" s="5">
        <f ca="1">_xlfn.XLOOKUP(OFFSET(Data!$A$1,AJ$7-$G24,0,1,1),Data!$A:$A,Data!$H:$H)-(AJ$8+AJ$9*_xlfn.XLOOKUP(OFFSET(Data!$A$1,AJ$7-$G24,0,1,1),Data!$A:$A,Data!$F:$F))</f>
        <v>7.6256720362907704E-2</v>
      </c>
      <c r="AK24" s="5">
        <f ca="1">_xlfn.XLOOKUP(OFFSET(Data!$A$1,AK$7-$G24,0,1,1),Data!$A:$A,Data!$I:$I)-(AK$8+AK$9*_xlfn.XLOOKUP(OFFSET(Data!$A$1,AK$7-$G24,0,1,1),Data!$A:$A,Data!$F:$F))</f>
        <v>4.1064331231397425E-2</v>
      </c>
      <c r="AL24" s="5">
        <f ca="1">_xlfn.XLOOKUP(OFFSET(Data!$A$1,AL$7-$G24,0,1,1),Data!$A:$A,Data!$G:$G)-(AL$8+AL$9*_xlfn.XLOOKUP(OFFSET(Data!$A$1,AL$7-$G24,0,1,1),Data!$A:$A,Data!$F:$F))</f>
        <v>6.2311047009740959E-3</v>
      </c>
      <c r="AM24" s="5">
        <f ca="1">_xlfn.XLOOKUP(OFFSET(Data!$A$1,AM$7-$G24,0,1,1),Data!$A:$A,Data!$H:$H)-(AM$8+AM$9*_xlfn.XLOOKUP(OFFSET(Data!$A$1,AM$7-$G24,0,1,1),Data!$A:$A,Data!$F:$F))</f>
        <v>1.4573036113870577E-2</v>
      </c>
      <c r="AN24" s="5">
        <f ca="1">_xlfn.XLOOKUP(OFFSET(Data!$A$1,AN$7-$G24,0,1,1),Data!$A:$A,Data!$I:$I)-(AN$8+AN$9*_xlfn.XLOOKUP(OFFSET(Data!$A$1,AN$7-$G24,0,1,1),Data!$A:$A,Data!$F:$F))</f>
        <v>-3.0270144734102916E-3</v>
      </c>
      <c r="AO24" s="5">
        <f ca="1">_xlfn.XLOOKUP(OFFSET(Data!$A$1,AO$7-$G24,0,1,1),Data!$A:$A,Data!$G:$G)-(AO$8+AO$9*_xlfn.XLOOKUP(OFFSET(Data!$A$1,AO$7-$G24,0,1,1),Data!$A:$A,Data!$F:$F))</f>
        <v>2.247071282029716E-2</v>
      </c>
      <c r="AP24" s="5">
        <f ca="1">_xlfn.XLOOKUP(OFFSET(Data!$A$1,AP$7-$G24,0,1,1),Data!$A:$A,Data!$H:$H)-(AP$8+AP$9*_xlfn.XLOOKUP(OFFSET(Data!$A$1,AP$7-$G24,0,1,1),Data!$A:$A,Data!$F:$F))</f>
        <v>2.4993521443424045E-2</v>
      </c>
      <c r="AQ24" s="5">
        <f ca="1">_xlfn.XLOOKUP(OFFSET(Data!$A$1,AQ$7-$G24,0,1,1),Data!$A:$A,Data!$I:$I)-(AQ$8+AQ$9*_xlfn.XLOOKUP(OFFSET(Data!$A$1,AQ$7-$G24,0,1,1),Data!$A:$A,Data!$F:$F))</f>
        <v>-5.0892329793261219E-3</v>
      </c>
    </row>
    <row r="25" spans="1:59" x14ac:dyDescent="0.2">
      <c r="A25" s="2">
        <f>Data!A25</f>
        <v>46101</v>
      </c>
      <c r="B25" s="5">
        <f>Data!F25</f>
        <v>2.7864172204838944E-3</v>
      </c>
      <c r="C25" s="5">
        <f>Data!G25</f>
        <v>-8.2671957671958118E-3</v>
      </c>
      <c r="D25" s="5">
        <f>Data!H25</f>
        <v>4.5602605863193091E-3</v>
      </c>
      <c r="E25" s="5">
        <f>Data!I25</f>
        <v>-7.1818442976155916E-3</v>
      </c>
      <c r="G25" s="3">
        <v>-2</v>
      </c>
      <c r="H25" s="5">
        <f ca="1">_xlfn.XLOOKUP(OFFSET(Data!$A$1,H$7-$G25,0,1,1),Data!$A:$A,Data!$G:$G)-(H$8+H$9*_xlfn.XLOOKUP(OFFSET(Data!$A$1,H$7-$G25,0,1,1),Data!$A:$A,Data!$F:$F))</f>
        <v>-1.1212167973688736E-3</v>
      </c>
      <c r="I25" s="5">
        <f ca="1">_xlfn.XLOOKUP(OFFSET(Data!$A$1,I$7-$G25,0,1,1),Data!$A:$A,Data!$H:$H)-(I$8+I$9*_xlfn.XLOOKUP(OFFSET(Data!$A$1,I$7-$G25,0,1,1),Data!$A:$A,Data!$F:$F))</f>
        <v>4.8550683695704304E-3</v>
      </c>
      <c r="J25" s="5">
        <f ca="1">_xlfn.XLOOKUP(OFFSET(Data!$A$1,J$7-$G25,0,1,1),Data!$A:$A,Data!$I:$I)-(J$8+J$9*_xlfn.XLOOKUP(OFFSET(Data!$A$1,J$7-$G25,0,1,1),Data!$A:$A,Data!$F:$F))</f>
        <v>4.6940415675064302E-3</v>
      </c>
      <c r="K25" s="5">
        <f ca="1">_xlfn.XLOOKUP(OFFSET(Data!$A$1,K$7-$G25,0,1,1),Data!$A:$A,Data!$G:$G)-(K$8+K$9*_xlfn.XLOOKUP(OFFSET(Data!$A$1,K$7-$G25,0,1,1),Data!$A:$A,Data!$F:$F))</f>
        <v>-3.5925124136870559E-3</v>
      </c>
      <c r="L25" s="5">
        <f ca="1">_xlfn.XLOOKUP(OFFSET(Data!$A$1,L$7-$G25,0,1,1),Data!$A:$A,Data!$H:$H)-(L$8+L$9*_xlfn.XLOOKUP(OFFSET(Data!$A$1,L$7-$G25,0,1,1),Data!$A:$A,Data!$F:$F))</f>
        <v>-3.2403746886692794E-3</v>
      </c>
      <c r="M25" s="5">
        <f ca="1">_xlfn.XLOOKUP(OFFSET(Data!$A$1,M$7-$G25,0,1,1),Data!$A:$A,Data!$I:$I)-(M$8+M$9*_xlfn.XLOOKUP(OFFSET(Data!$A$1,M$7-$G25,0,1,1),Data!$A:$A,Data!$F:$F))</f>
        <v>-1.4619444139131361E-3</v>
      </c>
      <c r="N25" s="5">
        <f ca="1">_xlfn.XLOOKUP(OFFSET(Data!$A$1,N$7-$G25,0,1,1),Data!$A:$A,Data!$G:$G)-(N$8+N$9*_xlfn.XLOOKUP(OFFSET(Data!$A$1,N$7-$G25,0,1,1),Data!$A:$A,Data!$F:$F))</f>
        <v>-2.1884316685547162E-3</v>
      </c>
      <c r="O25" s="5">
        <f ca="1">_xlfn.XLOOKUP(OFFSET(Data!$A$1,O$7-$G25,0,1,1),Data!$A:$A,Data!$H:$H)-(O$8+O$9*_xlfn.XLOOKUP(OFFSET(Data!$A$1,O$7-$G25,0,1,1),Data!$A:$A,Data!$F:$F))</f>
        <v>5.5908257089958089E-4</v>
      </c>
      <c r="P25" s="5">
        <f ca="1">_xlfn.XLOOKUP(OFFSET(Data!$A$1,P$7-$G25,0,1,1),Data!$A:$A,Data!$I:$I)-(P$8+P$9*_xlfn.XLOOKUP(OFFSET(Data!$A$1,P$7-$G25,0,1,1),Data!$A:$A,Data!$F:$F))</f>
        <v>2.0683459214306931E-3</v>
      </c>
      <c r="Q25" s="5">
        <f ca="1">_xlfn.XLOOKUP(OFFSET(Data!$A$1,Q$7-$G25,0,1,1),Data!$A:$A,Data!$G:$G)-(Q$8+Q$9*_xlfn.XLOOKUP(OFFSET(Data!$A$1,Q$7-$G25,0,1,1),Data!$A:$A,Data!$F:$F))</f>
        <v>-1.5617815557468603E-2</v>
      </c>
      <c r="R25" s="5">
        <f ca="1">_xlfn.XLOOKUP(OFFSET(Data!$A$1,R$7-$G25,0,1,1),Data!$A:$A,Data!$H:$H)-(R$8+R$9*_xlfn.XLOOKUP(OFFSET(Data!$A$1,R$7-$G25,0,1,1),Data!$A:$A,Data!$F:$F))</f>
        <v>-1.51184310620372E-2</v>
      </c>
      <c r="S25" s="5">
        <f ca="1">_xlfn.XLOOKUP(OFFSET(Data!$A$1,S$7-$G25,0,1,1),Data!$A:$A,Data!$I:$I)-(S$8+S$9*_xlfn.XLOOKUP(OFFSET(Data!$A$1,S$7-$G25,0,1,1),Data!$A:$A,Data!$F:$F))</f>
        <v>-7.0311749462726467E-4</v>
      </c>
      <c r="T25" s="5">
        <f ca="1">_xlfn.XLOOKUP(OFFSET(Data!$A$1,T$7-$G25,0,1,1),Data!$A:$A,Data!$G:$G)-(T$8+T$9*_xlfn.XLOOKUP(OFFSET(Data!$A$1,T$7-$G25,0,1,1),Data!$A:$A,Data!$F:$F))</f>
        <v>7.1378078374572159E-3</v>
      </c>
      <c r="U25" s="5">
        <f ca="1">_xlfn.XLOOKUP(OFFSET(Data!$A$1,U$7-$G25,0,1,1),Data!$A:$A,Data!$H:$H)-(U$8+U$9*_xlfn.XLOOKUP(OFFSET(Data!$A$1,U$7-$G25,0,1,1),Data!$A:$A,Data!$F:$F))</f>
        <v>7.5219251910727432E-3</v>
      </c>
      <c r="V25" s="5">
        <f ca="1">_xlfn.XLOOKUP(OFFSET(Data!$A$1,V$7-$G25,0,1,1),Data!$A:$A,Data!$I:$I)-(V$8+V$9*_xlfn.XLOOKUP(OFFSET(Data!$A$1,V$7-$G25,0,1,1),Data!$A:$A,Data!$F:$F))</f>
        <v>-4.5444738436962236E-4</v>
      </c>
      <c r="W25" s="5">
        <f ca="1">_xlfn.XLOOKUP(OFFSET(Data!$A$1,W$7-$G25,0,1,1),Data!$A:$A,Data!$G:$G)-(W$8+W$9*_xlfn.XLOOKUP(OFFSET(Data!$A$1,W$7-$G25,0,1,1),Data!$A:$A,Data!$F:$F))</f>
        <v>9.2644426606920665E-3</v>
      </c>
      <c r="X25" s="5">
        <f ca="1">_xlfn.XLOOKUP(OFFSET(Data!$A$1,X$7-$G25,0,1,1),Data!$A:$A,Data!$H:$H)-(X$8+X$9*_xlfn.XLOOKUP(OFFSET(Data!$A$1,X$7-$G25,0,1,1),Data!$A:$A,Data!$F:$F))</f>
        <v>1.8634297032457319E-2</v>
      </c>
      <c r="Y25" s="5">
        <f ca="1">_xlfn.XLOOKUP(OFFSET(Data!$A$1,Y$7-$G25,0,1,1),Data!$A:$A,Data!$I:$I)-(Y$8+Y$9*_xlfn.XLOOKUP(OFFSET(Data!$A$1,Y$7-$G25,0,1,1),Data!$A:$A,Data!$F:$F))</f>
        <v>8.5498825260507429E-3</v>
      </c>
      <c r="Z25" s="5">
        <f ca="1">_xlfn.XLOOKUP(OFFSET(Data!$A$1,Z$7-$G25,0,1,1),Data!$A:$A,Data!$G:$G)-(Z$8+Z$9*_xlfn.XLOOKUP(OFFSET(Data!$A$1,Z$7-$G25,0,1,1),Data!$A:$A,Data!$F:$F))</f>
        <v>7.9689668411688369E-3</v>
      </c>
      <c r="AA25" s="5">
        <f ca="1">_xlfn.XLOOKUP(OFFSET(Data!$A$1,AA$7-$G25,0,1,1),Data!$A:$A,Data!$H:$H)-(AA$8+AA$9*_xlfn.XLOOKUP(OFFSET(Data!$A$1,AA$7-$G25,0,1,1),Data!$A:$A,Data!$F:$F))</f>
        <v>9.1197569062859852E-3</v>
      </c>
      <c r="AB25" s="5">
        <f ca="1">_xlfn.XLOOKUP(OFFSET(Data!$A$1,AB$7-$G25,0,1,1),Data!$A:$A,Data!$I:$I)-(AB$8+AB$9*_xlfn.XLOOKUP(OFFSET(Data!$A$1,AB$7-$G25,0,1,1),Data!$A:$A,Data!$F:$F))</f>
        <v>-2.8479364600849803E-4</v>
      </c>
      <c r="AC25" s="5">
        <f ca="1">_xlfn.XLOOKUP(OFFSET(Data!$A$1,AC$7-$G25,0,1,1),Data!$A:$A,Data!$G:$G)-(AC$8+AC$9*_xlfn.XLOOKUP(OFFSET(Data!$A$1,AC$7-$G25,0,1,1),Data!$A:$A,Data!$F:$F))</f>
        <v>3.4362426671137123E-3</v>
      </c>
      <c r="AD25" s="5">
        <f ca="1">_xlfn.XLOOKUP(OFFSET(Data!$A$1,AD$7-$G25,0,1,1),Data!$A:$A,Data!$H:$H)-(AD$8+AD$9*_xlfn.XLOOKUP(OFFSET(Data!$A$1,AD$7-$G25,0,1,1),Data!$A:$A,Data!$F:$F))</f>
        <v>1.2321051483113198E-2</v>
      </c>
      <c r="AE25" s="5">
        <f ca="1">_xlfn.XLOOKUP(OFFSET(Data!$A$1,AE$7-$G25,0,1,1),Data!$A:$A,Data!$I:$I)-(AE$8+AE$9*_xlfn.XLOOKUP(OFFSET(Data!$A$1,AE$7-$G25,0,1,1),Data!$A:$A,Data!$F:$F))</f>
        <v>1.3989141371557358E-2</v>
      </c>
      <c r="AF25" s="5">
        <f ca="1">_xlfn.XLOOKUP(OFFSET(Data!$A$1,AF$7-$G25,0,1,1),Data!$A:$A,Data!$G:$G)-(AF$8+AF$9*_xlfn.XLOOKUP(OFFSET(Data!$A$1,AF$7-$G25,0,1,1),Data!$A:$A,Data!$F:$F))</f>
        <v>6.7849269863511181E-3</v>
      </c>
      <c r="AG25" s="5">
        <f ca="1">_xlfn.XLOOKUP(OFFSET(Data!$A$1,AG$7-$G25,0,1,1),Data!$A:$A,Data!$H:$H)-(AG$8+AG$9*_xlfn.XLOOKUP(OFFSET(Data!$A$1,AG$7-$G25,0,1,1),Data!$A:$A,Data!$F:$F))</f>
        <v>4.5221742267174177E-4</v>
      </c>
      <c r="AH25" s="5">
        <f ca="1">_xlfn.XLOOKUP(OFFSET(Data!$A$1,AH$7-$G25,0,1,1),Data!$A:$A,Data!$I:$I)-(AH$8+AH$9*_xlfn.XLOOKUP(OFFSET(Data!$A$1,AH$7-$G25,0,1,1),Data!$A:$A,Data!$F:$F))</f>
        <v>-7.699005459928306E-4</v>
      </c>
      <c r="AI25" s="5">
        <f ca="1">_xlfn.XLOOKUP(OFFSET(Data!$A$1,AI$7-$G25,0,1,1),Data!$A:$A,Data!$G:$G)-(AI$8+AI$9*_xlfn.XLOOKUP(OFFSET(Data!$A$1,AI$7-$G25,0,1,1),Data!$A:$A,Data!$F:$F))</f>
        <v>2.4014814259639784E-2</v>
      </c>
      <c r="AJ25" s="5">
        <f ca="1">_xlfn.XLOOKUP(OFFSET(Data!$A$1,AJ$7-$G25,0,1,1),Data!$A:$A,Data!$H:$H)-(AJ$8+AJ$9*_xlfn.XLOOKUP(OFFSET(Data!$A$1,AJ$7-$G25,0,1,1),Data!$A:$A,Data!$F:$F))</f>
        <v>8.4899126782842574E-3</v>
      </c>
      <c r="AK25" s="5">
        <f ca="1">_xlfn.XLOOKUP(OFFSET(Data!$A$1,AK$7-$G25,0,1,1),Data!$A:$A,Data!$I:$I)-(AK$8+AK$9*_xlfn.XLOOKUP(OFFSET(Data!$A$1,AK$7-$G25,0,1,1),Data!$A:$A,Data!$F:$F))</f>
        <v>2.0614195206784182E-2</v>
      </c>
      <c r="AL25" s="5">
        <f ca="1">_xlfn.XLOOKUP(OFFSET(Data!$A$1,AL$7-$G25,0,1,1),Data!$A:$A,Data!$G:$G)-(AL$8+AL$9*_xlfn.XLOOKUP(OFFSET(Data!$A$1,AL$7-$G25,0,1,1),Data!$A:$A,Data!$F:$F))</f>
        <v>1.3377548175838104E-2</v>
      </c>
      <c r="AM25" s="5">
        <f ca="1">_xlfn.XLOOKUP(OFFSET(Data!$A$1,AM$7-$G25,0,1,1),Data!$A:$A,Data!$H:$H)-(AM$8+AM$9*_xlfn.XLOOKUP(OFFSET(Data!$A$1,AM$7-$G25,0,1,1),Data!$A:$A,Data!$F:$F))</f>
        <v>1.1746890846692634E-2</v>
      </c>
      <c r="AN25" s="5">
        <f ca="1">_xlfn.XLOOKUP(OFFSET(Data!$A$1,AN$7-$G25,0,1,1),Data!$A:$A,Data!$I:$I)-(AN$8+AN$9*_xlfn.XLOOKUP(OFFSET(Data!$A$1,AN$7-$G25,0,1,1),Data!$A:$A,Data!$F:$F))</f>
        <v>4.0448634315719736E-3</v>
      </c>
      <c r="AO25" s="5">
        <f ca="1">_xlfn.XLOOKUP(OFFSET(Data!$A$1,AO$7-$G25,0,1,1),Data!$A:$A,Data!$G:$G)-(AO$8+AO$9*_xlfn.XLOOKUP(OFFSET(Data!$A$1,AO$7-$G25,0,1,1),Data!$A:$A,Data!$F:$F))</f>
        <v>-1.0454871463000608E-2</v>
      </c>
      <c r="AP25" s="5">
        <f ca="1">_xlfn.XLOOKUP(OFFSET(Data!$A$1,AP$7-$G25,0,1,1),Data!$A:$A,Data!$H:$H)-(AP$8+AP$9*_xlfn.XLOOKUP(OFFSET(Data!$A$1,AP$7-$G25,0,1,1),Data!$A:$A,Data!$F:$F))</f>
        <v>-2.8054581036087961E-2</v>
      </c>
      <c r="AQ25" s="5">
        <f ca="1">_xlfn.XLOOKUP(OFFSET(Data!$A$1,AQ$7-$G25,0,1,1),Data!$A:$A,Data!$I:$I)-(AQ$8+AQ$9*_xlfn.XLOOKUP(OFFSET(Data!$A$1,AQ$7-$G25,0,1,1),Data!$A:$A,Data!$F:$F))</f>
        <v>-9.0338511141523845E-3</v>
      </c>
    </row>
    <row r="26" spans="1:59" x14ac:dyDescent="0.2">
      <c r="A26" s="2">
        <f>Data!A26</f>
        <v>46100</v>
      </c>
      <c r="B26" s="5">
        <f>Data!F26</f>
        <v>4.799950818237253E-4</v>
      </c>
      <c r="C26" s="5">
        <f>Data!G26</f>
        <v>-1.5945330296127547E-2</v>
      </c>
      <c r="D26" s="5">
        <f>Data!H26</f>
        <v>1.655629139072845E-2</v>
      </c>
      <c r="E26" s="5">
        <f>Data!I26</f>
        <v>-5.7126535275635604E-3</v>
      </c>
      <c r="G26" s="3">
        <v>-3</v>
      </c>
      <c r="H26" s="5">
        <f ca="1">_xlfn.XLOOKUP(OFFSET(Data!$A$1,H$7-$G26,0,1,1),Data!$A:$A,Data!$G:$G)-(H$8+H$9*_xlfn.XLOOKUP(OFFSET(Data!$A$1,H$7-$G26,0,1,1),Data!$A:$A,Data!$F:$F))</f>
        <v>9.9987575889714415E-3</v>
      </c>
      <c r="I26" s="5">
        <f ca="1">_xlfn.XLOOKUP(OFFSET(Data!$A$1,I$7-$G26,0,1,1),Data!$A:$A,Data!$H:$H)-(I$8+I$9*_xlfn.XLOOKUP(OFFSET(Data!$A$1,I$7-$G26,0,1,1),Data!$A:$A,Data!$F:$F))</f>
        <v>6.7442463732741639E-4</v>
      </c>
      <c r="J26" s="5">
        <f ca="1">_xlfn.XLOOKUP(OFFSET(Data!$A$1,J$7-$G26,0,1,1),Data!$A:$A,Data!$I:$I)-(J$8+J$9*_xlfn.XLOOKUP(OFFSET(Data!$A$1,J$7-$G26,0,1,1),Data!$A:$A,Data!$F:$F))</f>
        <v>1.4796218156419736E-3</v>
      </c>
      <c r="K26" s="5">
        <f ca="1">_xlfn.XLOOKUP(OFFSET(Data!$A$1,K$7-$G26,0,1,1),Data!$A:$A,Data!$G:$G)-(K$8+K$9*_xlfn.XLOOKUP(OFFSET(Data!$A$1,K$7-$G26,0,1,1),Data!$A:$A,Data!$F:$F))</f>
        <v>2.2971535627765039E-3</v>
      </c>
      <c r="L26" s="5">
        <f ca="1">_xlfn.XLOOKUP(OFFSET(Data!$A$1,L$7-$G26,0,1,1),Data!$A:$A,Data!$H:$H)-(L$8+L$9*_xlfn.XLOOKUP(OFFSET(Data!$A$1,L$7-$G26,0,1,1),Data!$A:$A,Data!$F:$F))</f>
        <v>-5.9102600425838068E-4</v>
      </c>
      <c r="M26" s="5">
        <f ca="1">_xlfn.XLOOKUP(OFFSET(Data!$A$1,M$7-$G26,0,1,1),Data!$A:$A,Data!$I:$I)-(M$8+M$9*_xlfn.XLOOKUP(OFFSET(Data!$A$1,M$7-$G26,0,1,1),Data!$A:$A,Data!$F:$F))</f>
        <v>1.7417780533955911E-3</v>
      </c>
      <c r="N26" s="5">
        <f ca="1">_xlfn.XLOOKUP(OFFSET(Data!$A$1,N$7-$G26,0,1,1),Data!$A:$A,Data!$G:$G)-(N$8+N$9*_xlfn.XLOOKUP(OFFSET(Data!$A$1,N$7-$G26,0,1,1),Data!$A:$A,Data!$F:$F))</f>
        <v>3.7744444524554031E-3</v>
      </c>
      <c r="O26" s="5">
        <f ca="1">_xlfn.XLOOKUP(OFFSET(Data!$A$1,O$7-$G26,0,1,1),Data!$A:$A,Data!$H:$H)-(O$8+O$9*_xlfn.XLOOKUP(OFFSET(Data!$A$1,O$7-$G26,0,1,1),Data!$A:$A,Data!$F:$F))</f>
        <v>3.9591649481621333E-3</v>
      </c>
      <c r="P26" s="5">
        <f ca="1">_xlfn.XLOOKUP(OFFSET(Data!$A$1,P$7-$G26,0,1,1),Data!$A:$A,Data!$I:$I)-(P$8+P$9*_xlfn.XLOOKUP(OFFSET(Data!$A$1,P$7-$G26,0,1,1),Data!$A:$A,Data!$F:$F))</f>
        <v>-2.1355075324265008E-2</v>
      </c>
      <c r="Q26" s="5">
        <f ca="1">_xlfn.XLOOKUP(OFFSET(Data!$A$1,Q$7-$G26,0,1,1),Data!$A:$A,Data!$G:$G)-(Q$8+Q$9*_xlfn.XLOOKUP(OFFSET(Data!$A$1,Q$7-$G26,0,1,1),Data!$A:$A,Data!$F:$F))</f>
        <v>-4.0049355145464829E-3</v>
      </c>
      <c r="R26" s="5">
        <f ca="1">_xlfn.XLOOKUP(OFFSET(Data!$A$1,R$7-$G26,0,1,1),Data!$A:$A,Data!$H:$H)-(R$8+R$9*_xlfn.XLOOKUP(OFFSET(Data!$A$1,R$7-$G26,0,1,1),Data!$A:$A,Data!$F:$F))</f>
        <v>5.9478593236176099E-3</v>
      </c>
      <c r="S26" s="5">
        <f ca="1">_xlfn.XLOOKUP(OFFSET(Data!$A$1,S$7-$G26,0,1,1),Data!$A:$A,Data!$I:$I)-(S$8+S$9*_xlfn.XLOOKUP(OFFSET(Data!$A$1,S$7-$G26,0,1,1),Data!$A:$A,Data!$F:$F))</f>
        <v>6.2551065284299906E-3</v>
      </c>
      <c r="T26" s="5">
        <f ca="1">_xlfn.XLOOKUP(OFFSET(Data!$A$1,T$7-$G26,0,1,1),Data!$A:$A,Data!$G:$G)-(T$8+T$9*_xlfn.XLOOKUP(OFFSET(Data!$A$1,T$7-$G26,0,1,1),Data!$A:$A,Data!$F:$F))</f>
        <v>2.1314449442001497E-2</v>
      </c>
      <c r="U26" s="5">
        <f ca="1">_xlfn.XLOOKUP(OFFSET(Data!$A$1,U$7-$G26,0,1,1),Data!$A:$A,Data!$H:$H)-(U$8+U$9*_xlfn.XLOOKUP(OFFSET(Data!$A$1,U$7-$G26,0,1,1),Data!$A:$A,Data!$F:$F))</f>
        <v>4.6578572103727215E-3</v>
      </c>
      <c r="V26" s="5">
        <f ca="1">_xlfn.XLOOKUP(OFFSET(Data!$A$1,V$7-$G26,0,1,1),Data!$A:$A,Data!$I:$I)-(V$8+V$9*_xlfn.XLOOKUP(OFFSET(Data!$A$1,V$7-$G26,0,1,1),Data!$A:$A,Data!$F:$F))</f>
        <v>-1.9193240182287428E-3</v>
      </c>
      <c r="W26" s="5">
        <f ca="1">_xlfn.XLOOKUP(OFFSET(Data!$A$1,W$7-$G26,0,1,1),Data!$A:$A,Data!$G:$G)-(W$8+W$9*_xlfn.XLOOKUP(OFFSET(Data!$A$1,W$7-$G26,0,1,1),Data!$A:$A,Data!$F:$F))</f>
        <v>-1.2076380038670372E-2</v>
      </c>
      <c r="X26" s="5">
        <f ca="1">_xlfn.XLOOKUP(OFFSET(Data!$A$1,X$7-$G26,0,1,1),Data!$A:$A,Data!$H:$H)-(X$8+X$9*_xlfn.XLOOKUP(OFFSET(Data!$A$1,X$7-$G26,0,1,1),Data!$A:$A,Data!$F:$F))</f>
        <v>-1.0524233536378151E-2</v>
      </c>
      <c r="Y26" s="5">
        <f ca="1">_xlfn.XLOOKUP(OFFSET(Data!$A$1,Y$7-$G26,0,1,1),Data!$A:$A,Data!$I:$I)-(Y$8+Y$9*_xlfn.XLOOKUP(OFFSET(Data!$A$1,Y$7-$G26,0,1,1),Data!$A:$A,Data!$F:$F))</f>
        <v>5.3731209896152694E-3</v>
      </c>
      <c r="Z26" s="5">
        <f ca="1">_xlfn.XLOOKUP(OFFSET(Data!$A$1,Z$7-$G26,0,1,1),Data!$A:$A,Data!$G:$G)-(Z$8+Z$9*_xlfn.XLOOKUP(OFFSET(Data!$A$1,Z$7-$G26,0,1,1),Data!$A:$A,Data!$F:$F))</f>
        <v>-8.8154851423187623E-3</v>
      </c>
      <c r="AA26" s="5">
        <f ca="1">_xlfn.XLOOKUP(OFFSET(Data!$A$1,AA$7-$G26,0,1,1),Data!$A:$A,Data!$H:$H)-(AA$8+AA$9*_xlfn.XLOOKUP(OFFSET(Data!$A$1,AA$7-$G26,0,1,1),Data!$A:$A,Data!$F:$F))</f>
        <v>-3.0017728187203066E-3</v>
      </c>
      <c r="AB26" s="5">
        <f ca="1">_xlfn.XLOOKUP(OFFSET(Data!$A$1,AB$7-$G26,0,1,1),Data!$A:$A,Data!$I:$I)-(AB$8+AB$9*_xlfn.XLOOKUP(OFFSET(Data!$A$1,AB$7-$G26,0,1,1),Data!$A:$A,Data!$F:$F))</f>
        <v>-3.3899178027127247E-4</v>
      </c>
      <c r="AC26" s="5">
        <f ca="1">_xlfn.XLOOKUP(OFFSET(Data!$A$1,AC$7-$G26,0,1,1),Data!$A:$A,Data!$G:$G)-(AC$8+AC$9*_xlfn.XLOOKUP(OFFSET(Data!$A$1,AC$7-$G26,0,1,1),Data!$A:$A,Data!$F:$F))</f>
        <v>4.0020037004455493E-3</v>
      </c>
      <c r="AD26" s="5">
        <f ca="1">_xlfn.XLOOKUP(OFFSET(Data!$A$1,AD$7-$G26,0,1,1),Data!$A:$A,Data!$H:$H)-(AD$8+AD$9*_xlfn.XLOOKUP(OFFSET(Data!$A$1,AD$7-$G26,0,1,1),Data!$A:$A,Data!$F:$F))</f>
        <v>1.4565784855893917E-2</v>
      </c>
      <c r="AE26" s="5">
        <f ca="1">_xlfn.XLOOKUP(OFFSET(Data!$A$1,AE$7-$G26,0,1,1),Data!$A:$A,Data!$I:$I)-(AE$8+AE$9*_xlfn.XLOOKUP(OFFSET(Data!$A$1,AE$7-$G26,0,1,1),Data!$A:$A,Data!$F:$F))</f>
        <v>1.6062703056755979E-2</v>
      </c>
      <c r="AF26" s="5">
        <f ca="1">_xlfn.XLOOKUP(OFFSET(Data!$A$1,AF$7-$G26,0,1,1),Data!$A:$A,Data!$G:$G)-(AF$8+AF$9*_xlfn.XLOOKUP(OFFSET(Data!$A$1,AF$7-$G26,0,1,1),Data!$A:$A,Data!$F:$F))</f>
        <v>2.9849412224778591E-3</v>
      </c>
      <c r="AG26" s="5">
        <f ca="1">_xlfn.XLOOKUP(OFFSET(Data!$A$1,AG$7-$G26,0,1,1),Data!$A:$A,Data!$H:$H)-(AG$8+AG$9*_xlfn.XLOOKUP(OFFSET(Data!$A$1,AG$7-$G26,0,1,1),Data!$A:$A,Data!$F:$F))</f>
        <v>2.2697549261684012E-3</v>
      </c>
      <c r="AH26" s="5">
        <f ca="1">_xlfn.XLOOKUP(OFFSET(Data!$A$1,AH$7-$G26,0,1,1),Data!$A:$A,Data!$I:$I)-(AH$8+AH$9*_xlfn.XLOOKUP(OFFSET(Data!$A$1,AH$7-$G26,0,1,1),Data!$A:$A,Data!$F:$F))</f>
        <v>3.9137271227827105E-4</v>
      </c>
      <c r="AI26" s="5">
        <f ca="1">_xlfn.XLOOKUP(OFFSET(Data!$A$1,AI$7-$G26,0,1,1),Data!$A:$A,Data!$G:$G)-(AI$8+AI$9*_xlfn.XLOOKUP(OFFSET(Data!$A$1,AI$7-$G26,0,1,1),Data!$A:$A,Data!$F:$F))</f>
        <v>1.3736134414489183E-2</v>
      </c>
      <c r="AJ26" s="5">
        <f ca="1">_xlfn.XLOOKUP(OFFSET(Data!$A$1,AJ$7-$G26,0,1,1),Data!$A:$A,Data!$H:$H)-(AJ$8+AJ$9*_xlfn.XLOOKUP(OFFSET(Data!$A$1,AJ$7-$G26,0,1,1),Data!$A:$A,Data!$F:$F))</f>
        <v>4.6024639464429848E-2</v>
      </c>
      <c r="AK26" s="5">
        <f ca="1">_xlfn.XLOOKUP(OFFSET(Data!$A$1,AK$7-$G26,0,1,1),Data!$A:$A,Data!$I:$I)-(AK$8+AK$9*_xlfn.XLOOKUP(OFFSET(Data!$A$1,AK$7-$G26,0,1,1),Data!$A:$A,Data!$F:$F))</f>
        <v>3.413393062129743E-3</v>
      </c>
      <c r="AL26" s="5">
        <f ca="1">_xlfn.XLOOKUP(OFFSET(Data!$A$1,AL$7-$G26,0,1,1),Data!$A:$A,Data!$G:$G)-(AL$8+AL$9*_xlfn.XLOOKUP(OFFSET(Data!$A$1,AL$7-$G26,0,1,1),Data!$A:$A,Data!$F:$F))</f>
        <v>-6.8551150367988783E-3</v>
      </c>
      <c r="AM26" s="5">
        <f ca="1">_xlfn.XLOOKUP(OFFSET(Data!$A$1,AM$7-$G26,0,1,1),Data!$A:$A,Data!$H:$H)-(AM$8+AM$9*_xlfn.XLOOKUP(OFFSET(Data!$A$1,AM$7-$G26,0,1,1),Data!$A:$A,Data!$F:$F))</f>
        <v>1.1576467443940244E-2</v>
      </c>
      <c r="AN26" s="5">
        <f ca="1">_xlfn.XLOOKUP(OFFSET(Data!$A$1,AN$7-$G26,0,1,1),Data!$A:$A,Data!$I:$I)-(AN$8+AN$9*_xlfn.XLOOKUP(OFFSET(Data!$A$1,AN$7-$G26,0,1,1),Data!$A:$A,Data!$F:$F))</f>
        <v>2.905259038756072E-4</v>
      </c>
      <c r="AO26" s="5">
        <f ca="1">_xlfn.XLOOKUP(OFFSET(Data!$A$1,AO$7-$G26,0,1,1),Data!$A:$A,Data!$G:$G)-(AO$8+AO$9*_xlfn.XLOOKUP(OFFSET(Data!$A$1,AO$7-$G26,0,1,1),Data!$A:$A,Data!$F:$F))</f>
        <v>-1.6885614861547459E-2</v>
      </c>
      <c r="AP26" s="5">
        <f ca="1">_xlfn.XLOOKUP(OFFSET(Data!$A$1,AP$7-$G26,0,1,1),Data!$A:$A,Data!$H:$H)-(AP$8+AP$9*_xlfn.XLOOKUP(OFFSET(Data!$A$1,AP$7-$G26,0,1,1),Data!$A:$A,Data!$F:$F))</f>
        <v>2.1307821386445238E-2</v>
      </c>
      <c r="AQ26" s="5">
        <f ca="1">_xlfn.XLOOKUP(OFFSET(Data!$A$1,AQ$7-$G26,0,1,1),Data!$A:$A,Data!$I:$I)-(AQ$8+AQ$9*_xlfn.XLOOKUP(OFFSET(Data!$A$1,AQ$7-$G26,0,1,1),Data!$A:$A,Data!$F:$F))</f>
        <v>-7.70093191880083E-3</v>
      </c>
    </row>
    <row r="27" spans="1:59" x14ac:dyDescent="0.2">
      <c r="A27" s="2">
        <f>Data!A27</f>
        <v>46099</v>
      </c>
      <c r="B27" s="5">
        <f>Data!F27</f>
        <v>1.1930084821802245E-2</v>
      </c>
      <c r="C27" s="5">
        <f>Data!G27</f>
        <v>2.1948786165613576E-2</v>
      </c>
      <c r="D27" s="5">
        <f>Data!H27</f>
        <v>-2.1386908619572265E-2</v>
      </c>
      <c r="E27" s="5">
        <f>Data!I27</f>
        <v>-1.9327731092437017E-2</v>
      </c>
      <c r="G27" s="3">
        <v>-4</v>
      </c>
      <c r="H27" s="5">
        <f ca="1">_xlfn.XLOOKUP(OFFSET(Data!$A$1,H$7-$G27,0,1,1),Data!$A:$A,Data!$G:$G)-(H$8+H$9*_xlfn.XLOOKUP(OFFSET(Data!$A$1,H$7-$G27,0,1,1),Data!$A:$A,Data!$F:$F))</f>
        <v>-1.5622503061343988E-2</v>
      </c>
      <c r="I27" s="5">
        <f ca="1">_xlfn.XLOOKUP(OFFSET(Data!$A$1,I$7-$G27,0,1,1),Data!$A:$A,Data!$H:$H)-(I$8+I$9*_xlfn.XLOOKUP(OFFSET(Data!$A$1,I$7-$G27,0,1,1),Data!$A:$A,Data!$F:$F))</f>
        <v>-5.0511479855237839E-5</v>
      </c>
      <c r="J27" s="5">
        <f ca="1">_xlfn.XLOOKUP(OFFSET(Data!$A$1,J$7-$G27,0,1,1),Data!$A:$A,Data!$I:$I)-(J$8+J$9*_xlfn.XLOOKUP(OFFSET(Data!$A$1,J$7-$G27,0,1,1),Data!$A:$A,Data!$F:$F))</f>
        <v>2.0012258970447661E-4</v>
      </c>
      <c r="K27" s="5">
        <f ca="1">_xlfn.XLOOKUP(OFFSET(Data!$A$1,K$7-$G27,0,1,1),Data!$A:$A,Data!$G:$G)-(K$8+K$9*_xlfn.XLOOKUP(OFFSET(Data!$A$1,K$7-$G27,0,1,1),Data!$A:$A,Data!$F:$F))</f>
        <v>-2.4250776647297481E-2</v>
      </c>
      <c r="L27" s="5">
        <f ca="1">_xlfn.XLOOKUP(OFFSET(Data!$A$1,L$7-$G27,0,1,1),Data!$A:$A,Data!$H:$H)-(L$8+L$9*_xlfn.XLOOKUP(OFFSET(Data!$A$1,L$7-$G27,0,1,1),Data!$A:$A,Data!$F:$F))</f>
        <v>4.8603733994245215E-3</v>
      </c>
      <c r="M27" s="5">
        <f ca="1">_xlfn.XLOOKUP(OFFSET(Data!$A$1,M$7-$G27,0,1,1),Data!$A:$A,Data!$I:$I)-(M$8+M$9*_xlfn.XLOOKUP(OFFSET(Data!$A$1,M$7-$G27,0,1,1),Data!$A:$A,Data!$F:$F))</f>
        <v>-1.7563911377272887E-3</v>
      </c>
      <c r="N27" s="5">
        <f ca="1">_xlfn.XLOOKUP(OFFSET(Data!$A$1,N$7-$G27,0,1,1),Data!$A:$A,Data!$G:$G)-(N$8+N$9*_xlfn.XLOOKUP(OFFSET(Data!$A$1,N$7-$G27,0,1,1),Data!$A:$A,Data!$F:$F))</f>
        <v>1.4790848365782358E-3</v>
      </c>
      <c r="O27" s="5">
        <f ca="1">_xlfn.XLOOKUP(OFFSET(Data!$A$1,O$7-$G27,0,1,1),Data!$A:$A,Data!$H:$H)-(O$8+O$9*_xlfn.XLOOKUP(OFFSET(Data!$A$1,O$7-$G27,0,1,1),Data!$A:$A,Data!$F:$F))</f>
        <v>1.500714330595368E-2</v>
      </c>
      <c r="P27" s="5">
        <f ca="1">_xlfn.XLOOKUP(OFFSET(Data!$A$1,P$7-$G27,0,1,1),Data!$A:$A,Data!$I:$I)-(P$8+P$9*_xlfn.XLOOKUP(OFFSET(Data!$A$1,P$7-$G27,0,1,1),Data!$A:$A,Data!$F:$F))</f>
        <v>-3.2572503881756619E-3</v>
      </c>
      <c r="Q27" s="5">
        <f ca="1">_xlfn.XLOOKUP(OFFSET(Data!$A$1,Q$7-$G27,0,1,1),Data!$A:$A,Data!$G:$G)-(Q$8+Q$9*_xlfn.XLOOKUP(OFFSET(Data!$A$1,Q$7-$G27,0,1,1),Data!$A:$A,Data!$F:$F))</f>
        <v>-2.9861684869249483E-3</v>
      </c>
      <c r="R27" s="5">
        <f ca="1">_xlfn.XLOOKUP(OFFSET(Data!$A$1,R$7-$G27,0,1,1),Data!$A:$A,Data!$H:$H)-(R$8+R$9*_xlfn.XLOOKUP(OFFSET(Data!$A$1,R$7-$G27,0,1,1),Data!$A:$A,Data!$F:$F))</f>
        <v>-1.1681259834840849E-3</v>
      </c>
      <c r="S27" s="5">
        <f ca="1">_xlfn.XLOOKUP(OFFSET(Data!$A$1,S$7-$G27,0,1,1),Data!$A:$A,Data!$I:$I)-(S$8+S$9*_xlfn.XLOOKUP(OFFSET(Data!$A$1,S$7-$G27,0,1,1),Data!$A:$A,Data!$F:$F))</f>
        <v>1.4482508747918456E-3</v>
      </c>
      <c r="T27" s="5">
        <f ca="1">_xlfn.XLOOKUP(OFFSET(Data!$A$1,T$7-$G27,0,1,1),Data!$A:$A,Data!$G:$G)-(T$8+T$9*_xlfn.XLOOKUP(OFFSET(Data!$A$1,T$7-$G27,0,1,1),Data!$A:$A,Data!$F:$F))</f>
        <v>-6.9619877142791178E-3</v>
      </c>
      <c r="U27" s="5">
        <f ca="1">_xlfn.XLOOKUP(OFFSET(Data!$A$1,U$7-$G27,0,1,1),Data!$A:$A,Data!$H:$H)-(U$8+U$9*_xlfn.XLOOKUP(OFFSET(Data!$A$1,U$7-$G27,0,1,1),Data!$A:$A,Data!$F:$F))</f>
        <v>2.7755937818574761E-3</v>
      </c>
      <c r="V27" s="5">
        <f ca="1">_xlfn.XLOOKUP(OFFSET(Data!$A$1,V$7-$G27,0,1,1),Data!$A:$A,Data!$I:$I)-(V$8+V$9*_xlfn.XLOOKUP(OFFSET(Data!$A$1,V$7-$G27,0,1,1),Data!$A:$A,Data!$F:$F))</f>
        <v>-2.7878936714943446E-3</v>
      </c>
      <c r="W27" s="5">
        <f ca="1">_xlfn.XLOOKUP(OFFSET(Data!$A$1,W$7-$G27,0,1,1),Data!$A:$A,Data!$G:$G)-(W$8+W$9*_xlfn.XLOOKUP(OFFSET(Data!$A$1,W$7-$G27,0,1,1),Data!$A:$A,Data!$F:$F))</f>
        <v>-4.4739449840346885E-3</v>
      </c>
      <c r="X27" s="5">
        <f ca="1">_xlfn.XLOOKUP(OFFSET(Data!$A$1,X$7-$G27,0,1,1),Data!$A:$A,Data!$H:$H)-(X$8+X$9*_xlfn.XLOOKUP(OFFSET(Data!$A$1,X$7-$G27,0,1,1),Data!$A:$A,Data!$F:$F))</f>
        <v>-4.3702436101192496E-3</v>
      </c>
      <c r="Y27" s="5">
        <f ca="1">_xlfn.XLOOKUP(OFFSET(Data!$A$1,Y$7-$G27,0,1,1),Data!$A:$A,Data!$I:$I)-(Y$8+Y$9*_xlfn.XLOOKUP(OFFSET(Data!$A$1,Y$7-$G27,0,1,1),Data!$A:$A,Data!$F:$F))</f>
        <v>-2.921314084412094E-4</v>
      </c>
      <c r="Z27" s="5">
        <f ca="1">_xlfn.XLOOKUP(OFFSET(Data!$A$1,Z$7-$G27,0,1,1),Data!$A:$A,Data!$G:$G)-(Z$8+Z$9*_xlfn.XLOOKUP(OFFSET(Data!$A$1,Z$7-$G27,0,1,1),Data!$A:$A,Data!$F:$F))</f>
        <v>6.5639459570431035E-4</v>
      </c>
      <c r="AA27" s="5">
        <f ca="1">_xlfn.XLOOKUP(OFFSET(Data!$A$1,AA$7-$G27,0,1,1),Data!$A:$A,Data!$H:$H)-(AA$8+AA$9*_xlfn.XLOOKUP(OFFSET(Data!$A$1,AA$7-$G27,0,1,1),Data!$A:$A,Data!$F:$F))</f>
        <v>-1.7642686495903288E-2</v>
      </c>
      <c r="AB27" s="5">
        <f ca="1">_xlfn.XLOOKUP(OFFSET(Data!$A$1,AB$7-$G27,0,1,1),Data!$A:$A,Data!$I:$I)-(AB$8+AB$9*_xlfn.XLOOKUP(OFFSET(Data!$A$1,AB$7-$G27,0,1,1),Data!$A:$A,Data!$F:$F))</f>
        <v>-4.1443196505365975E-4</v>
      </c>
      <c r="AC27" s="5">
        <f ca="1">_xlfn.XLOOKUP(OFFSET(Data!$A$1,AC$7-$G27,0,1,1),Data!$A:$A,Data!$G:$G)-(AC$8+AC$9*_xlfn.XLOOKUP(OFFSET(Data!$A$1,AC$7-$G27,0,1,1),Data!$A:$A,Data!$F:$F))</f>
        <v>9.9420412591438925E-3</v>
      </c>
      <c r="AD27" s="5">
        <f ca="1">_xlfn.XLOOKUP(OFFSET(Data!$A$1,AD$7-$G27,0,1,1),Data!$A:$A,Data!$H:$H)-(AD$8+AD$9*_xlfn.XLOOKUP(OFFSET(Data!$A$1,AD$7-$G27,0,1,1),Data!$A:$A,Data!$F:$F))</f>
        <v>-1.4550662866193925E-2</v>
      </c>
      <c r="AE27" s="5">
        <f ca="1">_xlfn.XLOOKUP(OFFSET(Data!$A$1,AE$7-$G27,0,1,1),Data!$A:$A,Data!$I:$I)-(AE$8+AE$9*_xlfn.XLOOKUP(OFFSET(Data!$A$1,AE$7-$G27,0,1,1),Data!$A:$A,Data!$F:$F))</f>
        <v>2.8394202458923164E-2</v>
      </c>
      <c r="AF27" s="5">
        <f ca="1">_xlfn.XLOOKUP(OFFSET(Data!$A$1,AF$7-$G27,0,1,1),Data!$A:$A,Data!$G:$G)-(AF$8+AF$9*_xlfn.XLOOKUP(OFFSET(Data!$A$1,AF$7-$G27,0,1,1),Data!$A:$A,Data!$F:$F))</f>
        <v>-1.5952165992041495E-2</v>
      </c>
      <c r="AG27" s="5">
        <f ca="1">_xlfn.XLOOKUP(OFFSET(Data!$A$1,AG$7-$G27,0,1,1),Data!$A:$A,Data!$H:$H)-(AG$8+AG$9*_xlfn.XLOOKUP(OFFSET(Data!$A$1,AG$7-$G27,0,1,1),Data!$A:$A,Data!$F:$F))</f>
        <v>8.2372005343262916E-3</v>
      </c>
      <c r="AH27" s="5">
        <f ca="1">_xlfn.XLOOKUP(OFFSET(Data!$A$1,AH$7-$G27,0,1,1),Data!$A:$A,Data!$I:$I)-(AH$8+AH$9*_xlfn.XLOOKUP(OFFSET(Data!$A$1,AH$7-$G27,0,1,1),Data!$A:$A,Data!$F:$F))</f>
        <v>4.9037162049529737E-4</v>
      </c>
      <c r="AI27" s="5">
        <f ca="1">_xlfn.XLOOKUP(OFFSET(Data!$A$1,AI$7-$G27,0,1,1),Data!$A:$A,Data!$G:$G)-(AI$8+AI$9*_xlfn.XLOOKUP(OFFSET(Data!$A$1,AI$7-$G27,0,1,1),Data!$A:$A,Data!$F:$F))</f>
        <v>7.9680078892260114E-4</v>
      </c>
      <c r="AJ27" s="5">
        <f ca="1">_xlfn.XLOOKUP(OFFSET(Data!$A$1,AJ$7-$G27,0,1,1),Data!$A:$A,Data!$H:$H)-(AJ$8+AJ$9*_xlfn.XLOOKUP(OFFSET(Data!$A$1,AJ$7-$G27,0,1,1),Data!$A:$A,Data!$F:$F))</f>
        <v>-3.3740813288134011E-3</v>
      </c>
      <c r="AK27" s="5">
        <f ca="1">_xlfn.XLOOKUP(OFFSET(Data!$A$1,AK$7-$G27,0,1,1),Data!$A:$A,Data!$I:$I)-(AK$8+AK$9*_xlfn.XLOOKUP(OFFSET(Data!$A$1,AK$7-$G27,0,1,1),Data!$A:$A,Data!$F:$F))</f>
        <v>-1.7414006700261966E-2</v>
      </c>
      <c r="AL27" s="5">
        <f ca="1">_xlfn.XLOOKUP(OFFSET(Data!$A$1,AL$7-$G27,0,1,1),Data!$A:$A,Data!$G:$G)-(AL$8+AL$9*_xlfn.XLOOKUP(OFFSET(Data!$A$1,AL$7-$G27,0,1,1),Data!$A:$A,Data!$F:$F))</f>
        <v>1.6380208133403681E-2</v>
      </c>
      <c r="AM27" s="5">
        <f ca="1">_xlfn.XLOOKUP(OFFSET(Data!$A$1,AM$7-$G27,0,1,1),Data!$A:$A,Data!$H:$H)-(AM$8+AM$9*_xlfn.XLOOKUP(OFFSET(Data!$A$1,AM$7-$G27,0,1,1),Data!$A:$A,Data!$F:$F))</f>
        <v>-1.9245839495170912E-2</v>
      </c>
      <c r="AN27" s="5">
        <f ca="1">_xlfn.XLOOKUP(OFFSET(Data!$A$1,AN$7-$G27,0,1,1),Data!$A:$A,Data!$I:$I)-(AN$8+AN$9*_xlfn.XLOOKUP(OFFSET(Data!$A$1,AN$7-$G27,0,1,1),Data!$A:$A,Data!$F:$F))</f>
        <v>7.9811344255007171E-3</v>
      </c>
      <c r="AO27" s="5">
        <f ca="1">_xlfn.XLOOKUP(OFFSET(Data!$A$1,AO$7-$G27,0,1,1),Data!$A:$A,Data!$G:$G)-(AO$8+AO$9*_xlfn.XLOOKUP(OFFSET(Data!$A$1,AO$7-$G27,0,1,1),Data!$A:$A,Data!$F:$F))</f>
        <v>4.718920859737101E-2</v>
      </c>
      <c r="AP27" s="5">
        <f ca="1">_xlfn.XLOOKUP(OFFSET(Data!$A$1,AP$7-$G27,0,1,1),Data!$A:$A,Data!$H:$H)-(AP$8+AP$9*_xlfn.XLOOKUP(OFFSET(Data!$A$1,AP$7-$G27,0,1,1),Data!$A:$A,Data!$F:$F))</f>
        <v>-3.7094862750679705E-2</v>
      </c>
      <c r="AQ27" s="5">
        <f ca="1">_xlfn.XLOOKUP(OFFSET(Data!$A$1,AQ$7-$G27,0,1,1),Data!$A:$A,Data!$I:$I)-(AQ$8+AQ$9*_xlfn.XLOOKUP(OFFSET(Data!$A$1,AQ$7-$G27,0,1,1),Data!$A:$A,Data!$F:$F))</f>
        <v>-4.0763393611908142E-3</v>
      </c>
    </row>
    <row r="28" spans="1:59" x14ac:dyDescent="0.2">
      <c r="A28" s="2">
        <f>Data!A28</f>
        <v>46098</v>
      </c>
      <c r="B28" s="5">
        <f>Data!F28</f>
        <v>1.5573742606785457E-2</v>
      </c>
      <c r="C28" s="5">
        <f>Data!G28</f>
        <v>1.966768396066465E-2</v>
      </c>
      <c r="D28" s="5">
        <f>Data!H28</f>
        <v>3.6265950302216243E-2</v>
      </c>
      <c r="E28" s="5">
        <f>Data!I28</f>
        <v>-9.7087378640776656E-3</v>
      </c>
      <c r="G28" s="3">
        <v>-5</v>
      </c>
      <c r="H28" s="5">
        <f ca="1">_xlfn.XLOOKUP(OFFSET(Data!$A$1,H$7-$G28,0,1,1),Data!$A:$A,Data!$G:$G)-(H$8+H$9*_xlfn.XLOOKUP(OFFSET(Data!$A$1,H$7-$G28,0,1,1),Data!$A:$A,Data!$F:$F))</f>
        <v>-9.5648571515922765E-3</v>
      </c>
      <c r="I28" s="5">
        <f ca="1">_xlfn.XLOOKUP(OFFSET(Data!$A$1,I$7-$G28,0,1,1),Data!$A:$A,Data!$H:$H)-(I$8+I$9*_xlfn.XLOOKUP(OFFSET(Data!$A$1,I$7-$G28,0,1,1),Data!$A:$A,Data!$F:$F))</f>
        <v>-1.3678019686470229E-3</v>
      </c>
      <c r="J28" s="5">
        <f ca="1">_xlfn.XLOOKUP(OFFSET(Data!$A$1,J$7-$G28,0,1,1),Data!$A:$A,Data!$I:$I)-(J$8+J$9*_xlfn.XLOOKUP(OFFSET(Data!$A$1,J$7-$G28,0,1,1),Data!$A:$A,Data!$F:$F))</f>
        <v>1.5767376166654391E-3</v>
      </c>
      <c r="K28" s="5">
        <f ca="1">_xlfn.XLOOKUP(OFFSET(Data!$A$1,K$7-$G28,0,1,1),Data!$A:$A,Data!$G:$G)-(K$8+K$9*_xlfn.XLOOKUP(OFFSET(Data!$A$1,K$7-$G28,0,1,1),Data!$A:$A,Data!$F:$F))</f>
        <v>-1.8725984762312714E-2</v>
      </c>
      <c r="L28" s="5">
        <f ca="1">_xlfn.XLOOKUP(OFFSET(Data!$A$1,L$7-$G28,0,1,1),Data!$A:$A,Data!$H:$H)-(L$8+L$9*_xlfn.XLOOKUP(OFFSET(Data!$A$1,L$7-$G28,0,1,1),Data!$A:$A,Data!$F:$F))</f>
        <v>-2.3757686654268261E-2</v>
      </c>
      <c r="M28" s="5">
        <f ca="1">_xlfn.XLOOKUP(OFFSET(Data!$A$1,M$7-$G28,0,1,1),Data!$A:$A,Data!$I:$I)-(M$8+M$9*_xlfn.XLOOKUP(OFFSET(Data!$A$1,M$7-$G28,0,1,1),Data!$A:$A,Data!$F:$F))</f>
        <v>-3.556729752578372E-2</v>
      </c>
      <c r="N28" s="5">
        <f ca="1">_xlfn.XLOOKUP(OFFSET(Data!$A$1,N$7-$G28,0,1,1),Data!$A:$A,Data!$G:$G)-(N$8+N$9*_xlfn.XLOOKUP(OFFSET(Data!$A$1,N$7-$G28,0,1,1),Data!$A:$A,Data!$F:$F))</f>
        <v>-1.1956843839243092E-2</v>
      </c>
      <c r="O28" s="5">
        <f ca="1">_xlfn.XLOOKUP(OFFSET(Data!$A$1,O$7-$G28,0,1,1),Data!$A:$A,Data!$H:$H)-(O$8+O$9*_xlfn.XLOOKUP(OFFSET(Data!$A$1,O$7-$G28,0,1,1),Data!$A:$A,Data!$F:$F))</f>
        <v>1.2004463529334082E-3</v>
      </c>
      <c r="P28" s="5">
        <f ca="1">_xlfn.XLOOKUP(OFFSET(Data!$A$1,P$7-$G28,0,1,1),Data!$A:$A,Data!$I:$I)-(P$8+P$9*_xlfn.XLOOKUP(OFFSET(Data!$A$1,P$7-$G28,0,1,1),Data!$A:$A,Data!$F:$F))</f>
        <v>-3.0430024135630579E-3</v>
      </c>
      <c r="Q28" s="5">
        <f ca="1">_xlfn.XLOOKUP(OFFSET(Data!$A$1,Q$7-$G28,0,1,1),Data!$A:$A,Data!$G:$G)-(Q$8+Q$9*_xlfn.XLOOKUP(OFFSET(Data!$A$1,Q$7-$G28,0,1,1),Data!$A:$A,Data!$F:$F))</f>
        <v>2.9938028245815275E-3</v>
      </c>
      <c r="R28" s="5">
        <f ca="1">_xlfn.XLOOKUP(OFFSET(Data!$A$1,R$7-$G28,0,1,1),Data!$A:$A,Data!$H:$H)-(R$8+R$9*_xlfn.XLOOKUP(OFFSET(Data!$A$1,R$7-$G28,0,1,1),Data!$A:$A,Data!$F:$F))</f>
        <v>1.2751365987529102E-3</v>
      </c>
      <c r="S28" s="5">
        <f ca="1">_xlfn.XLOOKUP(OFFSET(Data!$A$1,S$7-$G28,0,1,1),Data!$A:$A,Data!$I:$I)-(S$8+S$9*_xlfn.XLOOKUP(OFFSET(Data!$A$1,S$7-$G28,0,1,1),Data!$A:$A,Data!$F:$F))</f>
        <v>3.9211232225278816E-4</v>
      </c>
      <c r="T28" s="5">
        <f ca="1">_xlfn.XLOOKUP(OFFSET(Data!$A$1,T$7-$G28,0,1,1),Data!$A:$A,Data!$G:$G)-(T$8+T$9*_xlfn.XLOOKUP(OFFSET(Data!$A$1,T$7-$G28,0,1,1),Data!$A:$A,Data!$F:$F))</f>
        <v>-7.1444581191120096E-3</v>
      </c>
      <c r="U28" s="5">
        <f ca="1">_xlfn.XLOOKUP(OFFSET(Data!$A$1,U$7-$G28,0,1,1),Data!$A:$A,Data!$H:$H)-(U$8+U$9*_xlfn.XLOOKUP(OFFSET(Data!$A$1,U$7-$G28,0,1,1),Data!$A:$A,Data!$F:$F))</f>
        <v>2.3046374425122289E-2</v>
      </c>
      <c r="V28" s="5">
        <f ca="1">_xlfn.XLOOKUP(OFFSET(Data!$A$1,V$7-$G28,0,1,1),Data!$A:$A,Data!$I:$I)-(V$8+V$9*_xlfn.XLOOKUP(OFFSET(Data!$A$1,V$7-$G28,0,1,1),Data!$A:$A,Data!$F:$F))</f>
        <v>-1.6286934085113502E-3</v>
      </c>
      <c r="W28" s="5">
        <f ca="1">_xlfn.XLOOKUP(OFFSET(Data!$A$1,W$7-$G28,0,1,1),Data!$A:$A,Data!$G:$G)-(W$8+W$9*_xlfn.XLOOKUP(OFFSET(Data!$A$1,W$7-$G28,0,1,1),Data!$A:$A,Data!$F:$F))</f>
        <v>3.694371058842856E-3</v>
      </c>
      <c r="X28" s="5">
        <f ca="1">_xlfn.XLOOKUP(OFFSET(Data!$A$1,X$7-$G28,0,1,1),Data!$A:$A,Data!$H:$H)-(X$8+X$9*_xlfn.XLOOKUP(OFFSET(Data!$A$1,X$7-$G28,0,1,1),Data!$A:$A,Data!$F:$F))</f>
        <v>4.5973203871691563E-3</v>
      </c>
      <c r="Y28" s="5">
        <f ca="1">_xlfn.XLOOKUP(OFFSET(Data!$A$1,Y$7-$G28,0,1,1),Data!$A:$A,Data!$I:$I)-(Y$8+Y$9*_xlfn.XLOOKUP(OFFSET(Data!$A$1,Y$7-$G28,0,1,1),Data!$A:$A,Data!$F:$F))</f>
        <v>1.0741197163639958E-2</v>
      </c>
      <c r="Z28" s="5">
        <f ca="1">_xlfn.XLOOKUP(OFFSET(Data!$A$1,Z$7-$G28,0,1,1),Data!$A:$A,Data!$G:$G)-(Z$8+Z$9*_xlfn.XLOOKUP(OFFSET(Data!$A$1,Z$7-$G28,0,1,1),Data!$A:$A,Data!$F:$F))</f>
        <v>-3.2054428697095207E-3</v>
      </c>
      <c r="AA28" s="5">
        <f ca="1">_xlfn.XLOOKUP(OFFSET(Data!$A$1,AA$7-$G28,0,1,1),Data!$A:$A,Data!$H:$H)-(AA$8+AA$9*_xlfn.XLOOKUP(OFFSET(Data!$A$1,AA$7-$G28,0,1,1),Data!$A:$A,Data!$F:$F))</f>
        <v>-1.420360563879856E-2</v>
      </c>
      <c r="AB28" s="5">
        <f ca="1">_xlfn.XLOOKUP(OFFSET(Data!$A$1,AB$7-$G28,0,1,1),Data!$A:$A,Data!$I:$I)-(AB$8+AB$9*_xlfn.XLOOKUP(OFFSET(Data!$A$1,AB$7-$G28,0,1,1),Data!$A:$A,Data!$F:$F))</f>
        <v>1.574132026399715E-4</v>
      </c>
      <c r="AC28" s="5">
        <f ca="1">_xlfn.XLOOKUP(OFFSET(Data!$A$1,AC$7-$G28,0,1,1),Data!$A:$A,Data!$G:$G)-(AC$8+AC$9*_xlfn.XLOOKUP(OFFSET(Data!$A$1,AC$7-$G28,0,1,1),Data!$A:$A,Data!$F:$F))</f>
        <v>-6.4296016538348145E-3</v>
      </c>
      <c r="AD28" s="5">
        <f ca="1">_xlfn.XLOOKUP(OFFSET(Data!$A$1,AD$7-$G28,0,1,1),Data!$A:$A,Data!$H:$H)-(AD$8+AD$9*_xlfn.XLOOKUP(OFFSET(Data!$A$1,AD$7-$G28,0,1,1),Data!$A:$A,Data!$F:$F))</f>
        <v>3.5170691889938398E-2</v>
      </c>
      <c r="AE28" s="5">
        <f ca="1">_xlfn.XLOOKUP(OFFSET(Data!$A$1,AE$7-$G28,0,1,1),Data!$A:$A,Data!$I:$I)-(AE$8+AE$9*_xlfn.XLOOKUP(OFFSET(Data!$A$1,AE$7-$G28,0,1,1),Data!$A:$A,Data!$F:$F))</f>
        <v>-4.562047469274589E-2</v>
      </c>
      <c r="AF28" s="5">
        <f ca="1">_xlfn.XLOOKUP(OFFSET(Data!$A$1,AF$7-$G28,0,1,1),Data!$A:$A,Data!$G:$G)-(AF$8+AF$9*_xlfn.XLOOKUP(OFFSET(Data!$A$1,AF$7-$G28,0,1,1),Data!$A:$A,Data!$F:$F))</f>
        <v>1.1035374906350554E-2</v>
      </c>
      <c r="AG28" s="5">
        <f ca="1">_xlfn.XLOOKUP(OFFSET(Data!$A$1,AG$7-$G28,0,1,1),Data!$A:$A,Data!$H:$H)-(AG$8+AG$9*_xlfn.XLOOKUP(OFFSET(Data!$A$1,AG$7-$G28,0,1,1),Data!$A:$A,Data!$F:$F))</f>
        <v>-1.4362163633607664E-2</v>
      </c>
      <c r="AH28" s="5">
        <f ca="1">_xlfn.XLOOKUP(OFFSET(Data!$A$1,AH$7-$G28,0,1,1),Data!$A:$A,Data!$I:$I)-(AH$8+AH$9*_xlfn.XLOOKUP(OFFSET(Data!$A$1,AH$7-$G28,0,1,1),Data!$A:$A,Data!$F:$F))</f>
        <v>3.8135207177740701E-2</v>
      </c>
      <c r="AI28" s="5">
        <f ca="1">_xlfn.XLOOKUP(OFFSET(Data!$A$1,AI$7-$G28,0,1,1),Data!$A:$A,Data!$G:$G)-(AI$8+AI$9*_xlfn.XLOOKUP(OFFSET(Data!$A$1,AI$7-$G28,0,1,1),Data!$A:$A,Data!$F:$F))</f>
        <v>-5.0913781477831058E-3</v>
      </c>
      <c r="AJ28" s="5">
        <f ca="1">_xlfn.XLOOKUP(OFFSET(Data!$A$1,AJ$7-$G28,0,1,1),Data!$A:$A,Data!$H:$H)-(AJ$8+AJ$9*_xlfn.XLOOKUP(OFFSET(Data!$A$1,AJ$7-$G28,0,1,1),Data!$A:$A,Data!$F:$F))</f>
        <v>-3.9820250331821148E-2</v>
      </c>
      <c r="AK28" s="5">
        <f ca="1">_xlfn.XLOOKUP(OFFSET(Data!$A$1,AK$7-$G28,0,1,1),Data!$A:$A,Data!$I:$I)-(AK$8+AK$9*_xlfn.XLOOKUP(OFFSET(Data!$A$1,AK$7-$G28,0,1,1),Data!$A:$A,Data!$F:$F))</f>
        <v>4.3940982708790093E-3</v>
      </c>
      <c r="AL28" s="5">
        <f ca="1">_xlfn.XLOOKUP(OFFSET(Data!$A$1,AL$7-$G28,0,1,1),Data!$A:$A,Data!$G:$G)-(AL$8+AL$9*_xlfn.XLOOKUP(OFFSET(Data!$A$1,AL$7-$G28,0,1,1),Data!$A:$A,Data!$F:$F))</f>
        <v>-5.4222982182483047E-3</v>
      </c>
      <c r="AM28" s="5">
        <f ca="1">_xlfn.XLOOKUP(OFFSET(Data!$A$1,AM$7-$G28,0,1,1),Data!$A:$A,Data!$H:$H)-(AM$8+AM$9*_xlfn.XLOOKUP(OFFSET(Data!$A$1,AM$7-$G28,0,1,1),Data!$A:$A,Data!$F:$F))</f>
        <v>-3.2315946365353419E-2</v>
      </c>
      <c r="AN28" s="5">
        <f ca="1">_xlfn.XLOOKUP(OFFSET(Data!$A$1,AN$7-$G28,0,1,1),Data!$A:$A,Data!$I:$I)-(AN$8+AN$9*_xlfn.XLOOKUP(OFFSET(Data!$A$1,AN$7-$G28,0,1,1),Data!$A:$A,Data!$F:$F))</f>
        <v>-1.307572455148431E-3</v>
      </c>
      <c r="AO28" s="5">
        <f ca="1">_xlfn.XLOOKUP(OFFSET(Data!$A$1,AO$7-$G28,0,1,1),Data!$A:$A,Data!$G:$G)-(AO$8+AO$9*_xlfn.XLOOKUP(OFFSET(Data!$A$1,AO$7-$G28,0,1,1),Data!$A:$A,Data!$F:$F))</f>
        <v>-1.569085645167155E-2</v>
      </c>
      <c r="AP28" s="5">
        <f ca="1">_xlfn.XLOOKUP(OFFSET(Data!$A$1,AP$7-$G28,0,1,1),Data!$A:$A,Data!$H:$H)-(AP$8+AP$9*_xlfn.XLOOKUP(OFFSET(Data!$A$1,AP$7-$G28,0,1,1),Data!$A:$A,Data!$F:$F))</f>
        <v>1.6567688669549805E-2</v>
      </c>
      <c r="AQ28" s="5">
        <f ca="1">_xlfn.XLOOKUP(OFFSET(Data!$A$1,AQ$7-$G28,0,1,1),Data!$A:$A,Data!$I:$I)-(AQ$8+AQ$9*_xlfn.XLOOKUP(OFFSET(Data!$A$1,AQ$7-$G28,0,1,1),Data!$A:$A,Data!$F:$F))</f>
        <v>-1.7864639294419955E-2</v>
      </c>
    </row>
    <row r="29" spans="1:59" x14ac:dyDescent="0.2">
      <c r="A29" s="2">
        <f>Data!A29</f>
        <v>46097</v>
      </c>
      <c r="B29" s="5">
        <f>Data!F29</f>
        <v>-6.8721178993169652E-4</v>
      </c>
      <c r="C29" s="5">
        <f>Data!G29</f>
        <v>-1.6016016016015988E-2</v>
      </c>
      <c r="D29" s="5">
        <f>Data!H29</f>
        <v>-3.9974210186976111E-2</v>
      </c>
      <c r="E29" s="5">
        <f>Data!I29</f>
        <v>0</v>
      </c>
      <c r="G29" s="3">
        <v>-6</v>
      </c>
      <c r="H29" s="5">
        <f ca="1">_xlfn.XLOOKUP(OFFSET(Data!$A$1,H$7-$G29,0,1,1),Data!$A:$A,Data!$G:$G)-(H$8+H$9*_xlfn.XLOOKUP(OFFSET(Data!$A$1,H$7-$G29,0,1,1),Data!$A:$A,Data!$F:$F))</f>
        <v>1.4111383698248065E-2</v>
      </c>
      <c r="I29" s="5">
        <f ca="1">_xlfn.XLOOKUP(OFFSET(Data!$A$1,I$7-$G29,0,1,1),Data!$A:$A,Data!$H:$H)-(I$8+I$9*_xlfn.XLOOKUP(OFFSET(Data!$A$1,I$7-$G29,0,1,1),Data!$A:$A,Data!$F:$F))</f>
        <v>-7.4339695779097655E-3</v>
      </c>
      <c r="J29" s="5">
        <f ca="1">_xlfn.XLOOKUP(OFFSET(Data!$A$1,J$7-$G29,0,1,1),Data!$A:$A,Data!$I:$I)-(J$8+J$9*_xlfn.XLOOKUP(OFFSET(Data!$A$1,J$7-$G29,0,1,1),Data!$A:$A,Data!$F:$F))</f>
        <v>2.4996848405382251E-4</v>
      </c>
      <c r="K29" s="5">
        <f ca="1">_xlfn.XLOOKUP(OFFSET(Data!$A$1,K$7-$G29,0,1,1),Data!$A:$A,Data!$G:$G)-(K$8+K$9*_xlfn.XLOOKUP(OFFSET(Data!$A$1,K$7-$G29,0,1,1),Data!$A:$A,Data!$F:$F))</f>
        <v>3.4320099934514604E-2</v>
      </c>
      <c r="L29" s="5">
        <f ca="1">_xlfn.XLOOKUP(OFFSET(Data!$A$1,L$7-$G29,0,1,1),Data!$A:$A,Data!$H:$H)-(L$8+L$9*_xlfn.XLOOKUP(OFFSET(Data!$A$1,L$7-$G29,0,1,1),Data!$A:$A,Data!$F:$F))</f>
        <v>-5.7843683064385115E-3</v>
      </c>
      <c r="M29" s="5">
        <f ca="1">_xlfn.XLOOKUP(OFFSET(Data!$A$1,M$7-$G29,0,1,1),Data!$A:$A,Data!$I:$I)-(M$8+M$9*_xlfn.XLOOKUP(OFFSET(Data!$A$1,M$7-$G29,0,1,1),Data!$A:$A,Data!$F:$F))</f>
        <v>3.022729726624155E-3</v>
      </c>
      <c r="N29" s="5">
        <f ca="1">_xlfn.XLOOKUP(OFFSET(Data!$A$1,N$7-$G29,0,1,1),Data!$A:$A,Data!$G:$G)-(N$8+N$9*_xlfn.XLOOKUP(OFFSET(Data!$A$1,N$7-$G29,0,1,1),Data!$A:$A,Data!$F:$F))</f>
        <v>3.7734515428642854E-4</v>
      </c>
      <c r="O29" s="5">
        <f ca="1">_xlfn.XLOOKUP(OFFSET(Data!$A$1,O$7-$G29,0,1,1),Data!$A:$A,Data!$H:$H)-(O$8+O$9*_xlfn.XLOOKUP(OFFSET(Data!$A$1,O$7-$G29,0,1,1),Data!$A:$A,Data!$F:$F))</f>
        <v>1.5701490150714672E-2</v>
      </c>
      <c r="P29" s="5">
        <f ca="1">_xlfn.XLOOKUP(OFFSET(Data!$A$1,P$7-$G29,0,1,1),Data!$A:$A,Data!$I:$I)-(P$8+P$9*_xlfn.XLOOKUP(OFFSET(Data!$A$1,P$7-$G29,0,1,1),Data!$A:$A,Data!$F:$F))</f>
        <v>3.5534156097277044E-3</v>
      </c>
      <c r="Q29" s="5">
        <f ca="1">_xlfn.XLOOKUP(OFFSET(Data!$A$1,Q$7-$G29,0,1,1),Data!$A:$A,Data!$G:$G)-(Q$8+Q$9*_xlfn.XLOOKUP(OFFSET(Data!$A$1,Q$7-$G29,0,1,1),Data!$A:$A,Data!$F:$F))</f>
        <v>-1.1287603580514609E-2</v>
      </c>
      <c r="R29" s="5">
        <f ca="1">_xlfn.XLOOKUP(OFFSET(Data!$A$1,R$7-$G29,0,1,1),Data!$A:$A,Data!$H:$H)-(R$8+R$9*_xlfn.XLOOKUP(OFFSET(Data!$A$1,R$7-$G29,0,1,1),Data!$A:$A,Data!$F:$F))</f>
        <v>-5.0077966290843993E-3</v>
      </c>
      <c r="S29" s="5">
        <f ca="1">_xlfn.XLOOKUP(OFFSET(Data!$A$1,S$7-$G29,0,1,1),Data!$A:$A,Data!$I:$I)-(S$8+S$9*_xlfn.XLOOKUP(OFFSET(Data!$A$1,S$7-$G29,0,1,1),Data!$A:$A,Data!$F:$F))</f>
        <v>-3.5301904732554226E-3</v>
      </c>
      <c r="T29" s="5">
        <f ca="1">_xlfn.XLOOKUP(OFFSET(Data!$A$1,T$7-$G29,0,1,1),Data!$A:$A,Data!$G:$G)-(T$8+T$9*_xlfn.XLOOKUP(OFFSET(Data!$A$1,T$7-$G29,0,1,1),Data!$A:$A,Data!$F:$F))</f>
        <v>-1.1974387533071635E-2</v>
      </c>
      <c r="U29" s="5">
        <f ca="1">_xlfn.XLOOKUP(OFFSET(Data!$A$1,U$7-$G29,0,1,1),Data!$A:$A,Data!$H:$H)-(U$8+U$9*_xlfn.XLOOKUP(OFFSET(Data!$A$1,U$7-$G29,0,1,1),Data!$A:$A,Data!$F:$F))</f>
        <v>-4.3555646004365366E-3</v>
      </c>
      <c r="V29" s="5">
        <f ca="1">_xlfn.XLOOKUP(OFFSET(Data!$A$1,V$7-$G29,0,1,1),Data!$A:$A,Data!$I:$I)-(V$8+V$9*_xlfn.XLOOKUP(OFFSET(Data!$A$1,V$7-$G29,0,1,1),Data!$A:$A,Data!$F:$F))</f>
        <v>-2.2622030969597544E-3</v>
      </c>
      <c r="W29" s="5">
        <f ca="1">_xlfn.XLOOKUP(OFFSET(Data!$A$1,W$7-$G29,0,1,1),Data!$A:$A,Data!$G:$G)-(W$8+W$9*_xlfn.XLOOKUP(OFFSET(Data!$A$1,W$7-$G29,0,1,1),Data!$A:$A,Data!$F:$F))</f>
        <v>-2.7007155923815019E-2</v>
      </c>
      <c r="X29" s="5">
        <f ca="1">_xlfn.XLOOKUP(OFFSET(Data!$A$1,X$7-$G29,0,1,1),Data!$A:$A,Data!$H:$H)-(X$8+X$9*_xlfn.XLOOKUP(OFFSET(Data!$A$1,X$7-$G29,0,1,1),Data!$A:$A,Data!$F:$F))</f>
        <v>6.4184160997767326E-3</v>
      </c>
      <c r="Y29" s="5">
        <f ca="1">_xlfn.XLOOKUP(OFFSET(Data!$A$1,Y$7-$G29,0,1,1),Data!$A:$A,Data!$I:$I)-(Y$8+Y$9*_xlfn.XLOOKUP(OFFSET(Data!$A$1,Y$7-$G29,0,1,1),Data!$A:$A,Data!$F:$F))</f>
        <v>-3.9783334171721843E-4</v>
      </c>
      <c r="Z29" s="5">
        <f ca="1">_xlfn.XLOOKUP(OFFSET(Data!$A$1,Z$7-$G29,0,1,1),Data!$A:$A,Data!$G:$G)-(Z$8+Z$9*_xlfn.XLOOKUP(OFFSET(Data!$A$1,Z$7-$G29,0,1,1),Data!$A:$A,Data!$F:$F))</f>
        <v>-1.630490397194866E-2</v>
      </c>
      <c r="AA29" s="5">
        <f ca="1">_xlfn.XLOOKUP(OFFSET(Data!$A$1,AA$7-$G29,0,1,1),Data!$A:$A,Data!$H:$H)-(AA$8+AA$9*_xlfn.XLOOKUP(OFFSET(Data!$A$1,AA$7-$G29,0,1,1),Data!$A:$A,Data!$F:$F))</f>
        <v>-1.3823406547403291E-2</v>
      </c>
      <c r="AB29" s="5">
        <f ca="1">_xlfn.XLOOKUP(OFFSET(Data!$A$1,AB$7-$G29,0,1,1),Data!$A:$A,Data!$I:$I)-(AB$8+AB$9*_xlfn.XLOOKUP(OFFSET(Data!$A$1,AB$7-$G29,0,1,1),Data!$A:$A,Data!$F:$F))</f>
        <v>-2.4966162459350049E-4</v>
      </c>
      <c r="AC29" s="5">
        <f ca="1">_xlfn.XLOOKUP(OFFSET(Data!$A$1,AC$7-$G29,0,1,1),Data!$A:$A,Data!$G:$G)-(AC$8+AC$9*_xlfn.XLOOKUP(OFFSET(Data!$A$1,AC$7-$G29,0,1,1),Data!$A:$A,Data!$F:$F))</f>
        <v>1.0799380410032335E-2</v>
      </c>
      <c r="AD29" s="5">
        <f ca="1">_xlfn.XLOOKUP(OFFSET(Data!$A$1,AD$7-$G29,0,1,1),Data!$A:$A,Data!$H:$H)-(AD$8+AD$9*_xlfn.XLOOKUP(OFFSET(Data!$A$1,AD$7-$G29,0,1,1),Data!$A:$A,Data!$F:$F))</f>
        <v>-9.8743566451494074E-4</v>
      </c>
      <c r="AE29" s="5">
        <f ca="1">_xlfn.XLOOKUP(OFFSET(Data!$A$1,AE$7-$G29,0,1,1),Data!$A:$A,Data!$I:$I)-(AE$8+AE$9*_xlfn.XLOOKUP(OFFSET(Data!$A$1,AE$7-$G29,0,1,1),Data!$A:$A,Data!$F:$F))</f>
        <v>-8.2173698029219225E-5</v>
      </c>
      <c r="AF29" s="5">
        <f ca="1">_xlfn.XLOOKUP(OFFSET(Data!$A$1,AF$7-$G29,0,1,1),Data!$A:$A,Data!$G:$G)-(AF$8+AF$9*_xlfn.XLOOKUP(OFFSET(Data!$A$1,AF$7-$G29,0,1,1),Data!$A:$A,Data!$F:$F))</f>
        <v>4.8837301075144463E-3</v>
      </c>
      <c r="AG29" s="5">
        <f ca="1">_xlfn.XLOOKUP(OFFSET(Data!$A$1,AG$7-$G29,0,1,1),Data!$A:$A,Data!$H:$H)-(AG$8+AG$9*_xlfn.XLOOKUP(OFFSET(Data!$A$1,AG$7-$G29,0,1,1),Data!$A:$A,Data!$F:$F))</f>
        <v>-7.2816591915852418E-3</v>
      </c>
      <c r="AH29" s="5">
        <f ca="1">_xlfn.XLOOKUP(OFFSET(Data!$A$1,AH$7-$G29,0,1,1),Data!$A:$A,Data!$I:$I)-(AH$8+AH$9*_xlfn.XLOOKUP(OFFSET(Data!$A$1,AH$7-$G29,0,1,1),Data!$A:$A,Data!$F:$F))</f>
        <v>-4.4063951071575146E-2</v>
      </c>
      <c r="AI29" s="5">
        <f ca="1">_xlfn.XLOOKUP(OFFSET(Data!$A$1,AI$7-$G29,0,1,1),Data!$A:$A,Data!$G:$G)-(AI$8+AI$9*_xlfn.XLOOKUP(OFFSET(Data!$A$1,AI$7-$G29,0,1,1),Data!$A:$A,Data!$F:$F))</f>
        <v>-1.0186438957734932E-3</v>
      </c>
      <c r="AJ29" s="5">
        <f ca="1">_xlfn.XLOOKUP(OFFSET(Data!$A$1,AJ$7-$G29,0,1,1),Data!$A:$A,Data!$H:$H)-(AJ$8+AJ$9*_xlfn.XLOOKUP(OFFSET(Data!$A$1,AJ$7-$G29,0,1,1),Data!$A:$A,Data!$F:$F))</f>
        <v>5.0971409119354265E-3</v>
      </c>
      <c r="AK29" s="5">
        <f ca="1">_xlfn.XLOOKUP(OFFSET(Data!$A$1,AK$7-$G29,0,1,1),Data!$A:$A,Data!$I:$I)-(AK$8+AK$9*_xlfn.XLOOKUP(OFFSET(Data!$A$1,AK$7-$G29,0,1,1),Data!$A:$A,Data!$F:$F))</f>
        <v>-2.0491428131823076E-2</v>
      </c>
      <c r="AL29" s="5">
        <f ca="1">_xlfn.XLOOKUP(OFFSET(Data!$A$1,AL$7-$G29,0,1,1),Data!$A:$A,Data!$G:$G)-(AL$8+AL$9*_xlfn.XLOOKUP(OFFSET(Data!$A$1,AL$7-$G29,0,1,1),Data!$A:$A,Data!$F:$F))</f>
        <v>2.8357490557926485E-3</v>
      </c>
      <c r="AM29" s="5">
        <f ca="1">_xlfn.XLOOKUP(OFFSET(Data!$A$1,AM$7-$G29,0,1,1),Data!$A:$A,Data!$H:$H)-(AM$8+AM$9*_xlfn.XLOOKUP(OFFSET(Data!$A$1,AM$7-$G29,0,1,1),Data!$A:$A,Data!$F:$F))</f>
        <v>-1.1177576311151892E-3</v>
      </c>
      <c r="AN29" s="5">
        <f ca="1">_xlfn.XLOOKUP(OFFSET(Data!$A$1,AN$7-$G29,0,1,1),Data!$A:$A,Data!$I:$I)-(AN$8+AN$9*_xlfn.XLOOKUP(OFFSET(Data!$A$1,AN$7-$G29,0,1,1),Data!$A:$A,Data!$F:$F))</f>
        <v>-4.182881380099741E-3</v>
      </c>
      <c r="AO29" s="5">
        <f ca="1">_xlfn.XLOOKUP(OFFSET(Data!$A$1,AO$7-$G29,0,1,1),Data!$A:$A,Data!$G:$G)-(AO$8+AO$9*_xlfn.XLOOKUP(OFFSET(Data!$A$1,AO$7-$G29,0,1,1),Data!$A:$A,Data!$F:$F))</f>
        <v>7.6521047808636444E-3</v>
      </c>
      <c r="AP29" s="5">
        <f ca="1">_xlfn.XLOOKUP(OFFSET(Data!$A$1,AP$7-$G29,0,1,1),Data!$A:$A,Data!$H:$H)-(AP$8+AP$9*_xlfn.XLOOKUP(OFFSET(Data!$A$1,AP$7-$G29,0,1,1),Data!$A:$A,Data!$F:$F))</f>
        <v>1.5332069902479373E-2</v>
      </c>
      <c r="AQ29" s="5">
        <f ca="1">_xlfn.XLOOKUP(OFFSET(Data!$A$1,AQ$7-$G29,0,1,1),Data!$A:$A,Data!$I:$I)-(AQ$8+AQ$9*_xlfn.XLOOKUP(OFFSET(Data!$A$1,AQ$7-$G29,0,1,1),Data!$A:$A,Data!$F:$F))</f>
        <v>-8.1139140557119641E-2</v>
      </c>
    </row>
    <row r="30" spans="1:59" x14ac:dyDescent="0.2">
      <c r="A30" s="2">
        <f>Data!A30</f>
        <v>46094</v>
      </c>
      <c r="B30" s="5">
        <f>Data!F30</f>
        <v>5.5354517973735806E-3</v>
      </c>
      <c r="C30" s="5">
        <f>Data!G30</f>
        <v>0</v>
      </c>
      <c r="D30" s="5">
        <f>Data!H30</f>
        <v>-5.1314945477870522E-3</v>
      </c>
      <c r="E30" s="5">
        <f>Data!I30</f>
        <v>2.7746947835738389E-4</v>
      </c>
      <c r="G30" s="3">
        <v>-7</v>
      </c>
      <c r="H30" s="5">
        <f ca="1">_xlfn.XLOOKUP(OFFSET(Data!$A$1,H$7-$G30,0,1,1),Data!$A:$A,Data!$G:$G)-(H$8+H$9*_xlfn.XLOOKUP(OFFSET(Data!$A$1,H$7-$G30,0,1,1),Data!$A:$A,Data!$F:$F))</f>
        <v>2.6899908158586262E-2</v>
      </c>
      <c r="I30" s="5">
        <f ca="1">_xlfn.XLOOKUP(OFFSET(Data!$A$1,I$7-$G30,0,1,1),Data!$A:$A,Data!$H:$H)-(I$8+I$9*_xlfn.XLOOKUP(OFFSET(Data!$A$1,I$7-$G30,0,1,1),Data!$A:$A,Data!$F:$F))</f>
        <v>7.0793320638603196E-3</v>
      </c>
      <c r="J30" s="5">
        <f ca="1">_xlfn.XLOOKUP(OFFSET(Data!$A$1,J$7-$G30,0,1,1),Data!$A:$A,Data!$I:$I)-(J$8+J$9*_xlfn.XLOOKUP(OFFSET(Data!$A$1,J$7-$G30,0,1,1),Data!$A:$A,Data!$F:$F))</f>
        <v>-2.1384560889121441E-5</v>
      </c>
      <c r="K30" s="5">
        <f ca="1">_xlfn.XLOOKUP(OFFSET(Data!$A$1,K$7-$G30,0,1,1),Data!$A:$A,Data!$G:$G)-(K$8+K$9*_xlfn.XLOOKUP(OFFSET(Data!$A$1,K$7-$G30,0,1,1),Data!$A:$A,Data!$F:$F))</f>
        <v>-7.5408319690998833E-4</v>
      </c>
      <c r="L30" s="5">
        <f ca="1">_xlfn.XLOOKUP(OFFSET(Data!$A$1,L$7-$G30,0,1,1),Data!$A:$A,Data!$H:$H)-(L$8+L$9*_xlfn.XLOOKUP(OFFSET(Data!$A$1,L$7-$G30,0,1,1),Data!$A:$A,Data!$F:$F))</f>
        <v>-1.9715666098813825E-2</v>
      </c>
      <c r="M30" s="5">
        <f ca="1">_xlfn.XLOOKUP(OFFSET(Data!$A$1,M$7-$G30,0,1,1),Data!$A:$A,Data!$I:$I)-(M$8+M$9*_xlfn.XLOOKUP(OFFSET(Data!$A$1,M$7-$G30,0,1,1),Data!$A:$A,Data!$F:$F))</f>
        <v>1.9951614053017332E-3</v>
      </c>
      <c r="N30" s="5">
        <f ca="1">_xlfn.XLOOKUP(OFFSET(Data!$A$1,N$7-$G30,0,1,1),Data!$A:$A,Data!$G:$G)-(N$8+N$9*_xlfn.XLOOKUP(OFFSET(Data!$A$1,N$7-$G30,0,1,1),Data!$A:$A,Data!$F:$F))</f>
        <v>-2.147626408040534E-2</v>
      </c>
      <c r="O30" s="5">
        <f ca="1">_xlfn.XLOOKUP(OFFSET(Data!$A$1,O$7-$G30,0,1,1),Data!$A:$A,Data!$H:$H)-(O$8+O$9*_xlfn.XLOOKUP(OFFSET(Data!$A$1,O$7-$G30,0,1,1),Data!$A:$A,Data!$F:$F))</f>
        <v>-3.30704194152246E-3</v>
      </c>
      <c r="P30" s="5">
        <f ca="1">_xlfn.XLOOKUP(OFFSET(Data!$A$1,P$7-$G30,0,1,1),Data!$A:$A,Data!$I:$I)-(P$8+P$9*_xlfn.XLOOKUP(OFFSET(Data!$A$1,P$7-$G30,0,1,1),Data!$A:$A,Data!$F:$F))</f>
        <v>-1.3120940401120681E-2</v>
      </c>
      <c r="Q30" s="5">
        <f ca="1">_xlfn.XLOOKUP(OFFSET(Data!$A$1,Q$7-$G30,0,1,1),Data!$A:$A,Data!$G:$G)-(Q$8+Q$9*_xlfn.XLOOKUP(OFFSET(Data!$A$1,Q$7-$G30,0,1,1),Data!$A:$A,Data!$F:$F))</f>
        <v>-1.7290867015131741E-2</v>
      </c>
      <c r="R30" s="5">
        <f ca="1">_xlfn.XLOOKUP(OFFSET(Data!$A$1,R$7-$G30,0,1,1),Data!$A:$A,Data!$H:$H)-(R$8+R$9*_xlfn.XLOOKUP(OFFSET(Data!$A$1,R$7-$G30,0,1,1),Data!$A:$A,Data!$F:$F))</f>
        <v>2.0958461815868837E-4</v>
      </c>
      <c r="S30" s="5">
        <f ca="1">_xlfn.XLOOKUP(OFFSET(Data!$A$1,S$7-$G30,0,1,1),Data!$A:$A,Data!$I:$I)-(S$8+S$9*_xlfn.XLOOKUP(OFFSET(Data!$A$1,S$7-$G30,0,1,1),Data!$A:$A,Data!$F:$F))</f>
        <v>9.46212975568359E-3</v>
      </c>
      <c r="T30" s="5">
        <f ca="1">_xlfn.XLOOKUP(OFFSET(Data!$A$1,T$7-$G30,0,1,1),Data!$A:$A,Data!$G:$G)-(T$8+T$9*_xlfn.XLOOKUP(OFFSET(Data!$A$1,T$7-$G30,0,1,1),Data!$A:$A,Data!$F:$F))</f>
        <v>1.5811921095656625E-2</v>
      </c>
      <c r="U30" s="5">
        <f ca="1">_xlfn.XLOOKUP(OFFSET(Data!$A$1,U$7-$G30,0,1,1),Data!$A:$A,Data!$H:$H)-(U$8+U$9*_xlfn.XLOOKUP(OFFSET(Data!$A$1,U$7-$G30,0,1,1),Data!$A:$A,Data!$F:$F))</f>
        <v>-2.297973500272868E-2</v>
      </c>
      <c r="V30" s="5">
        <f ca="1">_xlfn.XLOOKUP(OFFSET(Data!$A$1,V$7-$G30,0,1,1),Data!$A:$A,Data!$I:$I)-(V$8+V$9*_xlfn.XLOOKUP(OFFSET(Data!$A$1,V$7-$G30,0,1,1),Data!$A:$A,Data!$F:$F))</f>
        <v>-1.0945293308232389E-3</v>
      </c>
      <c r="W30" s="5">
        <f ca="1">_xlfn.XLOOKUP(OFFSET(Data!$A$1,W$7-$G30,0,1,1),Data!$A:$A,Data!$G:$G)-(W$8+W$9*_xlfn.XLOOKUP(OFFSET(Data!$A$1,W$7-$G30,0,1,1),Data!$A:$A,Data!$F:$F))</f>
        <v>3.3186337503048655E-2</v>
      </c>
      <c r="X30" s="5">
        <f ca="1">_xlfn.XLOOKUP(OFFSET(Data!$A$1,X$7-$G30,0,1,1),Data!$A:$A,Data!$H:$H)-(X$8+X$9*_xlfn.XLOOKUP(OFFSET(Data!$A$1,X$7-$G30,0,1,1),Data!$A:$A,Data!$F:$F))</f>
        <v>4.0179227292683958E-3</v>
      </c>
      <c r="Y30" s="5">
        <f ca="1">_xlfn.XLOOKUP(OFFSET(Data!$A$1,Y$7-$G30,0,1,1),Data!$A:$A,Data!$I:$I)-(Y$8+Y$9*_xlfn.XLOOKUP(OFFSET(Data!$A$1,Y$7-$G30,0,1,1),Data!$A:$A,Data!$F:$F))</f>
        <v>-1.9604341240698406E-2</v>
      </c>
      <c r="Z30" s="5">
        <f ca="1">_xlfn.XLOOKUP(OFFSET(Data!$A$1,Z$7-$G30,0,1,1),Data!$A:$A,Data!$G:$G)-(Z$8+Z$9*_xlfn.XLOOKUP(OFFSET(Data!$A$1,Z$7-$G30,0,1,1),Data!$A:$A,Data!$F:$F))</f>
        <v>1.6942492640942223E-3</v>
      </c>
      <c r="AA30" s="5">
        <f ca="1">_xlfn.XLOOKUP(OFFSET(Data!$A$1,AA$7-$G30,0,1,1),Data!$A:$A,Data!$H:$H)-(AA$8+AA$9*_xlfn.XLOOKUP(OFFSET(Data!$A$1,AA$7-$G30,0,1,1),Data!$A:$A,Data!$F:$F))</f>
        <v>-1.4572897759092006E-2</v>
      </c>
      <c r="AB30" s="5">
        <f ca="1">_xlfn.XLOOKUP(OFFSET(Data!$A$1,AB$7-$G30,0,1,1),Data!$A:$A,Data!$I:$I)-(AB$8+AB$9*_xlfn.XLOOKUP(OFFSET(Data!$A$1,AB$7-$G30,0,1,1),Data!$A:$A,Data!$F:$F))</f>
        <v>3.0999319590640875E-3</v>
      </c>
      <c r="AC30" s="5">
        <f ca="1">_xlfn.XLOOKUP(OFFSET(Data!$A$1,AC$7-$G30,0,1,1),Data!$A:$A,Data!$G:$G)-(AC$8+AC$9*_xlfn.XLOOKUP(OFFSET(Data!$A$1,AC$7-$G30,0,1,1),Data!$A:$A,Data!$F:$F))</f>
        <v>-2.6899409783948743E-3</v>
      </c>
      <c r="AD30" s="5">
        <f ca="1">_xlfn.XLOOKUP(OFFSET(Data!$A$1,AD$7-$G30,0,1,1),Data!$A:$A,Data!$H:$H)-(AD$8+AD$9*_xlfn.XLOOKUP(OFFSET(Data!$A$1,AD$7-$G30,0,1,1),Data!$A:$A,Data!$F:$F))</f>
        <v>-3.7310594259904414E-3</v>
      </c>
      <c r="AE30" s="5">
        <f ca="1">_xlfn.XLOOKUP(OFFSET(Data!$A$1,AE$7-$G30,0,1,1),Data!$A:$A,Data!$I:$I)-(AE$8+AE$9*_xlfn.XLOOKUP(OFFSET(Data!$A$1,AE$7-$G30,0,1,1),Data!$A:$A,Data!$F:$F))</f>
        <v>2.2101029205679151E-3</v>
      </c>
      <c r="AF30" s="5">
        <f ca="1">_xlfn.XLOOKUP(OFFSET(Data!$A$1,AF$7-$G30,0,1,1),Data!$A:$A,Data!$G:$G)-(AF$8+AF$9*_xlfn.XLOOKUP(OFFSET(Data!$A$1,AF$7-$G30,0,1,1),Data!$A:$A,Data!$F:$F))</f>
        <v>-1.24930262248908E-2</v>
      </c>
      <c r="AG30" s="5">
        <f ca="1">_xlfn.XLOOKUP(OFFSET(Data!$A$1,AG$7-$G30,0,1,1),Data!$A:$A,Data!$H:$H)-(AG$8+AG$9*_xlfn.XLOOKUP(OFFSET(Data!$A$1,AG$7-$G30,0,1,1),Data!$A:$A,Data!$F:$F))</f>
        <v>-7.7008768263312748E-3</v>
      </c>
      <c r="AH30" s="5">
        <f ca="1">_xlfn.XLOOKUP(OFFSET(Data!$A$1,AH$7-$G30,0,1,1),Data!$A:$A,Data!$I:$I)-(AH$8+AH$9*_xlfn.XLOOKUP(OFFSET(Data!$A$1,AH$7-$G30,0,1,1),Data!$A:$A,Data!$F:$F))</f>
        <v>5.2513500326381644E-4</v>
      </c>
      <c r="AI30" s="5">
        <f ca="1">_xlfn.XLOOKUP(OFFSET(Data!$A$1,AI$7-$G30,0,1,1),Data!$A:$A,Data!$G:$G)-(AI$8+AI$9*_xlfn.XLOOKUP(OFFSET(Data!$A$1,AI$7-$G30,0,1,1),Data!$A:$A,Data!$F:$F))</f>
        <v>-1.1144075787232408E-2</v>
      </c>
      <c r="AJ30" s="5">
        <f ca="1">_xlfn.XLOOKUP(OFFSET(Data!$A$1,AJ$7-$G30,0,1,1),Data!$A:$A,Data!$H:$H)-(AJ$8+AJ$9*_xlfn.XLOOKUP(OFFSET(Data!$A$1,AJ$7-$G30,0,1,1),Data!$A:$A,Data!$F:$F))</f>
        <v>-1.8697197608008184E-2</v>
      </c>
      <c r="AK30" s="5">
        <f ca="1">_xlfn.XLOOKUP(OFFSET(Data!$A$1,AK$7-$G30,0,1,1),Data!$A:$A,Data!$I:$I)-(AK$8+AK$9*_xlfn.XLOOKUP(OFFSET(Data!$A$1,AK$7-$G30,0,1,1),Data!$A:$A,Data!$F:$F))</f>
        <v>1.388340467815714E-2</v>
      </c>
      <c r="AL30" s="5">
        <f ca="1">_xlfn.XLOOKUP(OFFSET(Data!$A$1,AL$7-$G30,0,1,1),Data!$A:$A,Data!$G:$G)-(AL$8+AL$9*_xlfn.XLOOKUP(OFFSET(Data!$A$1,AL$7-$G30,0,1,1),Data!$A:$A,Data!$F:$F))</f>
        <v>-3.3805285070145179E-3</v>
      </c>
      <c r="AM30" s="5">
        <f ca="1">_xlfn.XLOOKUP(OFFSET(Data!$A$1,AM$7-$G30,0,1,1),Data!$A:$A,Data!$H:$H)-(AM$8+AM$9*_xlfn.XLOOKUP(OFFSET(Data!$A$1,AM$7-$G30,0,1,1),Data!$A:$A,Data!$F:$F))</f>
        <v>-1.0051904982214158E-2</v>
      </c>
      <c r="AN30" s="5">
        <f ca="1">_xlfn.XLOOKUP(OFFSET(Data!$A$1,AN$7-$G30,0,1,1),Data!$A:$A,Data!$I:$I)-(AN$8+AN$9*_xlfn.XLOOKUP(OFFSET(Data!$A$1,AN$7-$G30,0,1,1),Data!$A:$A,Data!$F:$F))</f>
        <v>1.9333341412414258E-3</v>
      </c>
      <c r="AO30" s="5">
        <f ca="1">_xlfn.XLOOKUP(OFFSET(Data!$A$1,AO$7-$G30,0,1,1),Data!$A:$A,Data!$G:$G)-(AO$8+AO$9*_xlfn.XLOOKUP(OFFSET(Data!$A$1,AO$7-$G30,0,1,1),Data!$A:$A,Data!$F:$F))</f>
        <v>-1.7154331223214317E-2</v>
      </c>
      <c r="AP30" s="5">
        <f ca="1">_xlfn.XLOOKUP(OFFSET(Data!$A$1,AP$7-$G30,0,1,1),Data!$A:$A,Data!$H:$H)-(AP$8+AP$9*_xlfn.XLOOKUP(OFFSET(Data!$A$1,AP$7-$G30,0,1,1),Data!$A:$A,Data!$F:$F))</f>
        <v>-2.7118851955788892E-2</v>
      </c>
      <c r="AQ30" s="5">
        <f ca="1">_xlfn.XLOOKUP(OFFSET(Data!$A$1,AQ$7-$G30,0,1,1),Data!$A:$A,Data!$I:$I)-(AQ$8+AQ$9*_xlfn.XLOOKUP(OFFSET(Data!$A$1,AQ$7-$G30,0,1,1),Data!$A:$A,Data!$F:$F))</f>
        <v>-3.84133819157582E-3</v>
      </c>
    </row>
    <row r="31" spans="1:59" x14ac:dyDescent="0.2">
      <c r="A31" s="2">
        <f>Data!A31</f>
        <v>46093</v>
      </c>
      <c r="B31" s="5">
        <f>Data!F31</f>
        <v>-1.6500445471202885E-2</v>
      </c>
      <c r="C31" s="5">
        <f>Data!G31</f>
        <v>-2.9940119760479056E-2</v>
      </c>
      <c r="D31" s="5">
        <f>Data!H31</f>
        <v>-3.6464771322620493E-2</v>
      </c>
      <c r="E31" s="5">
        <f>Data!I31</f>
        <v>0</v>
      </c>
      <c r="G31" s="3">
        <v>-8</v>
      </c>
      <c r="H31" s="5">
        <f ca="1">_xlfn.XLOOKUP(OFFSET(Data!$A$1,H$7-$G31,0,1,1),Data!$A:$A,Data!$G:$G)-(H$8+H$9*_xlfn.XLOOKUP(OFFSET(Data!$A$1,H$7-$G31,0,1,1),Data!$A:$A,Data!$F:$F))</f>
        <v>1.0118017899438107E-2</v>
      </c>
      <c r="I31" s="5">
        <f ca="1">_xlfn.XLOOKUP(OFFSET(Data!$A$1,I$7-$G31,0,1,1),Data!$A:$A,Data!$H:$H)-(I$8+I$9*_xlfn.XLOOKUP(OFFSET(Data!$A$1,I$7-$G31,0,1,1),Data!$A:$A,Data!$F:$F))</f>
        <v>-2.1258210005615216E-2</v>
      </c>
      <c r="J31" s="5">
        <f ca="1">_xlfn.XLOOKUP(OFFSET(Data!$A$1,J$7-$G31,0,1,1),Data!$A:$A,Data!$I:$I)-(J$8+J$9*_xlfn.XLOOKUP(OFFSET(Data!$A$1,J$7-$G31,0,1,1),Data!$A:$A,Data!$F:$F))</f>
        <v>-2.5051141746738184E-2</v>
      </c>
      <c r="K31" s="5">
        <f ca="1">_xlfn.XLOOKUP(OFFSET(Data!$A$1,K$7-$G31,0,1,1),Data!$A:$A,Data!$G:$G)-(K$8+K$9*_xlfn.XLOOKUP(OFFSET(Data!$A$1,K$7-$G31,0,1,1),Data!$A:$A,Data!$F:$F))</f>
        <v>6.2422876964456156E-3</v>
      </c>
      <c r="L31" s="5">
        <f ca="1">_xlfn.XLOOKUP(OFFSET(Data!$A$1,L$7-$G31,0,1,1),Data!$A:$A,Data!$H:$H)-(L$8+L$9*_xlfn.XLOOKUP(OFFSET(Data!$A$1,L$7-$G31,0,1,1),Data!$A:$A,Data!$F:$F))</f>
        <v>-1.2814793611227162E-3</v>
      </c>
      <c r="M31" s="5">
        <f ca="1">_xlfn.XLOOKUP(OFFSET(Data!$A$1,M$7-$G31,0,1,1),Data!$A:$A,Data!$I:$I)-(M$8+M$9*_xlfn.XLOOKUP(OFFSET(Data!$A$1,M$7-$G31,0,1,1),Data!$A:$A,Data!$F:$F))</f>
        <v>5.2915321856443999E-3</v>
      </c>
      <c r="N31" s="5">
        <f ca="1">_xlfn.XLOOKUP(OFFSET(Data!$A$1,N$7-$G31,0,1,1),Data!$A:$A,Data!$G:$G)-(N$8+N$9*_xlfn.XLOOKUP(OFFSET(Data!$A$1,N$7-$G31,0,1,1),Data!$A:$A,Data!$F:$F))</f>
        <v>-4.7587322266912022E-3</v>
      </c>
      <c r="O31" s="5">
        <f ca="1">_xlfn.XLOOKUP(OFFSET(Data!$A$1,O$7-$G31,0,1,1),Data!$A:$A,Data!$H:$H)-(O$8+O$9*_xlfn.XLOOKUP(OFFSET(Data!$A$1,O$7-$G31,0,1,1),Data!$A:$A,Data!$F:$F))</f>
        <v>-5.5243472106645333E-3</v>
      </c>
      <c r="P31" s="5">
        <f ca="1">_xlfn.XLOOKUP(OFFSET(Data!$A$1,P$7-$G31,0,1,1),Data!$A:$A,Data!$I:$I)-(P$8+P$9*_xlfn.XLOOKUP(OFFSET(Data!$A$1,P$7-$G31,0,1,1),Data!$A:$A,Data!$F:$F))</f>
        <v>4.2595977053013715E-3</v>
      </c>
      <c r="Q31" s="5">
        <f ca="1">_xlfn.XLOOKUP(OFFSET(Data!$A$1,Q$7-$G31,0,1,1),Data!$A:$A,Data!$G:$G)-(Q$8+Q$9*_xlfn.XLOOKUP(OFFSET(Data!$A$1,Q$7-$G31,0,1,1),Data!$A:$A,Data!$F:$F))</f>
        <v>4.4314790988734618E-3</v>
      </c>
      <c r="R31" s="5">
        <f ca="1">_xlfn.XLOOKUP(OFFSET(Data!$A$1,R$7-$G31,0,1,1),Data!$A:$A,Data!$H:$H)-(R$8+R$9*_xlfn.XLOOKUP(OFFSET(Data!$A$1,R$7-$G31,0,1,1),Data!$A:$A,Data!$F:$F))</f>
        <v>-7.8410474740187482E-3</v>
      </c>
      <c r="S31" s="5">
        <f ca="1">_xlfn.XLOOKUP(OFFSET(Data!$A$1,S$7-$G31,0,1,1),Data!$A:$A,Data!$I:$I)-(S$8+S$9*_xlfn.XLOOKUP(OFFSET(Data!$A$1,S$7-$G31,0,1,1),Data!$A:$A,Data!$F:$F))</f>
        <v>-7.1214282179616964E-3</v>
      </c>
      <c r="T31" s="5">
        <f ca="1">_xlfn.XLOOKUP(OFFSET(Data!$A$1,T$7-$G31,0,1,1),Data!$A:$A,Data!$G:$G)-(T$8+T$9*_xlfn.XLOOKUP(OFFSET(Data!$A$1,T$7-$G31,0,1,1),Data!$A:$A,Data!$F:$F))</f>
        <v>-6.5941049718281422E-3</v>
      </c>
      <c r="U31" s="5">
        <f ca="1">_xlfn.XLOOKUP(OFFSET(Data!$A$1,U$7-$G31,0,1,1),Data!$A:$A,Data!$H:$H)-(U$8+U$9*_xlfn.XLOOKUP(OFFSET(Data!$A$1,U$7-$G31,0,1,1),Data!$A:$A,Data!$F:$F))</f>
        <v>-4.824557270144773E-3</v>
      </c>
      <c r="V31" s="5">
        <f ca="1">_xlfn.XLOOKUP(OFFSET(Data!$A$1,V$7-$G31,0,1,1),Data!$A:$A,Data!$I:$I)-(V$8+V$9*_xlfn.XLOOKUP(OFFSET(Data!$A$1,V$7-$G31,0,1,1),Data!$A:$A,Data!$F:$F))</f>
        <v>-1.3223320956004749E-3</v>
      </c>
      <c r="W31" s="5">
        <f ca="1">_xlfn.XLOOKUP(OFFSET(Data!$A$1,W$7-$G31,0,1,1),Data!$A:$A,Data!$G:$G)-(W$8+W$9*_xlfn.XLOOKUP(OFFSET(Data!$A$1,W$7-$G31,0,1,1),Data!$A:$A,Data!$F:$F))</f>
        <v>-1.2664458016729774E-2</v>
      </c>
      <c r="X31" s="5">
        <f ca="1">_xlfn.XLOOKUP(OFFSET(Data!$A$1,X$7-$G31,0,1,1),Data!$A:$A,Data!$H:$H)-(X$8+X$9*_xlfn.XLOOKUP(OFFSET(Data!$A$1,X$7-$G31,0,1,1),Data!$A:$A,Data!$F:$F))</f>
        <v>-1.8084341603497901E-5</v>
      </c>
      <c r="Y31" s="5">
        <f ca="1">_xlfn.XLOOKUP(OFFSET(Data!$A$1,Y$7-$G31,0,1,1),Data!$A:$A,Data!$I:$I)-(Y$8+Y$9*_xlfn.XLOOKUP(OFFSET(Data!$A$1,Y$7-$G31,0,1,1),Data!$A:$A,Data!$F:$F))</f>
        <v>-1.3999236844866404E-2</v>
      </c>
      <c r="Z31" s="5">
        <f ca="1">_xlfn.XLOOKUP(OFFSET(Data!$A$1,Z$7-$G31,0,1,1),Data!$A:$A,Data!$G:$G)-(Z$8+Z$9*_xlfn.XLOOKUP(OFFSET(Data!$A$1,Z$7-$G31,0,1,1),Data!$A:$A,Data!$F:$F))</f>
        <v>-2.1678512003568996E-2</v>
      </c>
      <c r="AA31" s="5">
        <f ca="1">_xlfn.XLOOKUP(OFFSET(Data!$A$1,AA$7-$G31,0,1,1),Data!$A:$A,Data!$H:$H)-(AA$8+AA$9*_xlfn.XLOOKUP(OFFSET(Data!$A$1,AA$7-$G31,0,1,1),Data!$A:$A,Data!$F:$F))</f>
        <v>1.9166361104174866E-2</v>
      </c>
      <c r="AB31" s="5">
        <f ca="1">_xlfn.XLOOKUP(OFFSET(Data!$A$1,AB$7-$G31,0,1,1),Data!$A:$A,Data!$I:$I)-(AB$8+AB$9*_xlfn.XLOOKUP(OFFSET(Data!$A$1,AB$7-$G31,0,1,1),Data!$A:$A,Data!$F:$F))</f>
        <v>2.0996194179701423E-2</v>
      </c>
      <c r="AC31" s="5">
        <f ca="1">_xlfn.XLOOKUP(OFFSET(Data!$A$1,AC$7-$G31,0,1,1),Data!$A:$A,Data!$G:$G)-(AC$8+AC$9*_xlfn.XLOOKUP(OFFSET(Data!$A$1,AC$7-$G31,0,1,1),Data!$A:$A,Data!$F:$F))</f>
        <v>6.376179185463916E-3</v>
      </c>
      <c r="AD31" s="5">
        <f ca="1">_xlfn.XLOOKUP(OFFSET(Data!$A$1,AD$7-$G31,0,1,1),Data!$A:$A,Data!$H:$H)-(AD$8+AD$9*_xlfn.XLOOKUP(OFFSET(Data!$A$1,AD$7-$G31,0,1,1),Data!$A:$A,Data!$F:$F))</f>
        <v>-1.9280495802627085E-2</v>
      </c>
      <c r="AE31" s="5">
        <f ca="1">_xlfn.XLOOKUP(OFFSET(Data!$A$1,AE$7-$G31,0,1,1),Data!$A:$A,Data!$I:$I)-(AE$8+AE$9*_xlfn.XLOOKUP(OFFSET(Data!$A$1,AE$7-$G31,0,1,1),Data!$A:$A,Data!$F:$F))</f>
        <v>-1.896143692214363E-2</v>
      </c>
      <c r="AF31" s="5">
        <f ca="1">_xlfn.XLOOKUP(OFFSET(Data!$A$1,AF$7-$G31,0,1,1),Data!$A:$A,Data!$G:$G)-(AF$8+AF$9*_xlfn.XLOOKUP(OFFSET(Data!$A$1,AF$7-$G31,0,1,1),Data!$A:$A,Data!$F:$F))</f>
        <v>-2.8834446182327104E-2</v>
      </c>
      <c r="AG31" s="5">
        <f ca="1">_xlfn.XLOOKUP(OFFSET(Data!$A$1,AG$7-$G31,0,1,1),Data!$A:$A,Data!$H:$H)-(AG$8+AG$9*_xlfn.XLOOKUP(OFFSET(Data!$A$1,AG$7-$G31,0,1,1),Data!$A:$A,Data!$F:$F))</f>
        <v>-4.170663050292743E-2</v>
      </c>
      <c r="AH31" s="5">
        <f ca="1">_xlfn.XLOOKUP(OFFSET(Data!$A$1,AH$7-$G31,0,1,1),Data!$A:$A,Data!$I:$I)-(AH$8+AH$9*_xlfn.XLOOKUP(OFFSET(Data!$A$1,AH$7-$G31,0,1,1),Data!$A:$A,Data!$F:$F))</f>
        <v>3.4693554524397936E-2</v>
      </c>
      <c r="AI31" s="5">
        <f ca="1">_xlfn.XLOOKUP(OFFSET(Data!$A$1,AI$7-$G31,0,1,1),Data!$A:$A,Data!$G:$G)-(AI$8+AI$9*_xlfn.XLOOKUP(OFFSET(Data!$A$1,AI$7-$G31,0,1,1),Data!$A:$A,Data!$F:$F))</f>
        <v>9.2926789538781696E-3</v>
      </c>
      <c r="AJ31" s="5">
        <f ca="1">_xlfn.XLOOKUP(OFFSET(Data!$A$1,AJ$7-$G31,0,1,1),Data!$A:$A,Data!$H:$H)-(AJ$8+AJ$9*_xlfn.XLOOKUP(OFFSET(Data!$A$1,AJ$7-$G31,0,1,1),Data!$A:$A,Data!$F:$F))</f>
        <v>-2.3709962599565561E-2</v>
      </c>
      <c r="AK31" s="5">
        <f ca="1">_xlfn.XLOOKUP(OFFSET(Data!$A$1,AK$7-$G31,0,1,1),Data!$A:$A,Data!$I:$I)-(AK$8+AK$9*_xlfn.XLOOKUP(OFFSET(Data!$A$1,AK$7-$G31,0,1,1),Data!$A:$A,Data!$F:$F))</f>
        <v>-5.6458172343814587E-3</v>
      </c>
      <c r="AL31" s="5">
        <f ca="1">_xlfn.XLOOKUP(OFFSET(Data!$A$1,AL$7-$G31,0,1,1),Data!$A:$A,Data!$G:$G)-(AL$8+AL$9*_xlfn.XLOOKUP(OFFSET(Data!$A$1,AL$7-$G31,0,1,1),Data!$A:$A,Data!$F:$F))</f>
        <v>-6.6202261392449375E-3</v>
      </c>
      <c r="AM31" s="5">
        <f ca="1">_xlfn.XLOOKUP(OFFSET(Data!$A$1,AM$7-$G31,0,1,1),Data!$A:$A,Data!$H:$H)-(AM$8+AM$9*_xlfn.XLOOKUP(OFFSET(Data!$A$1,AM$7-$G31,0,1,1),Data!$A:$A,Data!$F:$F))</f>
        <v>-8.5894685888266396E-3</v>
      </c>
      <c r="AN31" s="5">
        <f ca="1">_xlfn.XLOOKUP(OFFSET(Data!$A$1,AN$7-$G31,0,1,1),Data!$A:$A,Data!$I:$I)-(AN$8+AN$9*_xlfn.XLOOKUP(OFFSET(Data!$A$1,AN$7-$G31,0,1,1),Data!$A:$A,Data!$F:$F))</f>
        <v>-1.6208705495580872E-2</v>
      </c>
      <c r="AO31" s="5">
        <f ca="1">_xlfn.XLOOKUP(OFFSET(Data!$A$1,AO$7-$G31,0,1,1),Data!$A:$A,Data!$G:$G)-(AO$8+AO$9*_xlfn.XLOOKUP(OFFSET(Data!$A$1,AO$7-$G31,0,1,1),Data!$A:$A,Data!$F:$F))</f>
        <v>-8.0165474053278136E-3</v>
      </c>
      <c r="AP31" s="5">
        <f ca="1">_xlfn.XLOOKUP(OFFSET(Data!$A$1,AP$7-$G31,0,1,1),Data!$A:$A,Data!$H:$H)-(AP$8+AP$9*_xlfn.XLOOKUP(OFFSET(Data!$A$1,AP$7-$G31,0,1,1),Data!$A:$A,Data!$F:$F))</f>
        <v>-1.318294035994369E-2</v>
      </c>
      <c r="AQ31" s="5">
        <f ca="1">_xlfn.XLOOKUP(OFFSET(Data!$A$1,AQ$7-$G31,0,1,1),Data!$A:$A,Data!$I:$I)-(AQ$8+AQ$9*_xlfn.XLOOKUP(OFFSET(Data!$A$1,AQ$7-$G31,0,1,1),Data!$A:$A,Data!$F:$F))</f>
        <v>-6.1346463636101859E-3</v>
      </c>
    </row>
    <row r="32" spans="1:59" x14ac:dyDescent="0.2">
      <c r="A32" s="2">
        <f>Data!A32</f>
        <v>46092</v>
      </c>
      <c r="B32" s="5">
        <f>Data!F32</f>
        <v>2.059885888097357E-3</v>
      </c>
      <c r="C32" s="5">
        <f>Data!G32</f>
        <v>-3.2566149992171556E-2</v>
      </c>
      <c r="D32" s="5">
        <f>Data!H32</f>
        <v>-1.8507094386180922E-3</v>
      </c>
      <c r="E32" s="5">
        <f>Data!I32</f>
        <v>0</v>
      </c>
      <c r="G32" s="3">
        <v>-9</v>
      </c>
      <c r="H32" s="5">
        <f ca="1">_xlfn.XLOOKUP(OFFSET(Data!$A$1,H$7-$G32,0,1,1),Data!$A:$A,Data!$G:$G)-(H$8+H$9*_xlfn.XLOOKUP(OFFSET(Data!$A$1,H$7-$G32,0,1,1),Data!$A:$A,Data!$F:$F))</f>
        <v>2.6618822367528859E-3</v>
      </c>
      <c r="I32" s="5">
        <f ca="1">_xlfn.XLOOKUP(OFFSET(Data!$A$1,I$7-$G32,0,1,1),Data!$A:$A,Data!$H:$H)-(I$8+I$9*_xlfn.XLOOKUP(OFFSET(Data!$A$1,I$7-$G32,0,1,1),Data!$A:$A,Data!$F:$F))</f>
        <v>9.5978127958949461E-4</v>
      </c>
      <c r="J32" s="5">
        <f ca="1">_xlfn.XLOOKUP(OFFSET(Data!$A$1,J$7-$G32,0,1,1),Data!$A:$A,Data!$I:$I)-(J$8+J$9*_xlfn.XLOOKUP(OFFSET(Data!$A$1,J$7-$G32,0,1,1),Data!$A:$A,Data!$F:$F))</f>
        <v>-1.8985750786448759E-2</v>
      </c>
      <c r="K32" s="5">
        <f ca="1">_xlfn.XLOOKUP(OFFSET(Data!$A$1,K$7-$G32,0,1,1),Data!$A:$A,Data!$G:$G)-(K$8+K$9*_xlfn.XLOOKUP(OFFSET(Data!$A$1,K$7-$G32,0,1,1),Data!$A:$A,Data!$F:$F))</f>
        <v>4.5764083603899511E-3</v>
      </c>
      <c r="L32" s="5">
        <f ca="1">_xlfn.XLOOKUP(OFFSET(Data!$A$1,L$7-$G32,0,1,1),Data!$A:$A,Data!$H:$H)-(L$8+L$9*_xlfn.XLOOKUP(OFFSET(Data!$A$1,L$7-$G32,0,1,1),Data!$A:$A,Data!$F:$F))</f>
        <v>-5.9535072591387368E-3</v>
      </c>
      <c r="M32" s="5">
        <f ca="1">_xlfn.XLOOKUP(OFFSET(Data!$A$1,M$7-$G32,0,1,1),Data!$A:$A,Data!$I:$I)-(M$8+M$9*_xlfn.XLOOKUP(OFFSET(Data!$A$1,M$7-$G32,0,1,1),Data!$A:$A,Data!$F:$F))</f>
        <v>8.5858237168572188E-3</v>
      </c>
      <c r="N32" s="5">
        <f ca="1">_xlfn.XLOOKUP(OFFSET(Data!$A$1,N$7-$G32,0,1,1),Data!$A:$A,Data!$G:$G)-(N$8+N$9*_xlfn.XLOOKUP(OFFSET(Data!$A$1,N$7-$G32,0,1,1),Data!$A:$A,Data!$F:$F))</f>
        <v>1.6617907288448285E-3</v>
      </c>
      <c r="O32" s="5">
        <f ca="1">_xlfn.XLOOKUP(OFFSET(Data!$A$1,O$7-$G32,0,1,1),Data!$A:$A,Data!$H:$H)-(O$8+O$9*_xlfn.XLOOKUP(OFFSET(Data!$A$1,O$7-$G32,0,1,1),Data!$A:$A,Data!$F:$F))</f>
        <v>-1.8784959255526815E-2</v>
      </c>
      <c r="P32" s="5">
        <f ca="1">_xlfn.XLOOKUP(OFFSET(Data!$A$1,P$7-$G32,0,1,1),Data!$A:$A,Data!$I:$I)-(P$8+P$9*_xlfn.XLOOKUP(OFFSET(Data!$A$1,P$7-$G32,0,1,1),Data!$A:$A,Data!$F:$F))</f>
        <v>4.1734778391373036E-4</v>
      </c>
      <c r="Q32" s="5">
        <f ca="1">_xlfn.XLOOKUP(OFFSET(Data!$A$1,Q$7-$G32,0,1,1),Data!$A:$A,Data!$G:$G)-(Q$8+Q$9*_xlfn.XLOOKUP(OFFSET(Data!$A$1,Q$7-$G32,0,1,1),Data!$A:$A,Data!$F:$F))</f>
        <v>-2.8778885988327086E-3</v>
      </c>
      <c r="R32" s="5">
        <f ca="1">_xlfn.XLOOKUP(OFFSET(Data!$A$1,R$7-$G32,0,1,1),Data!$A:$A,Data!$H:$H)-(R$8+R$9*_xlfn.XLOOKUP(OFFSET(Data!$A$1,R$7-$G32,0,1,1),Data!$A:$A,Data!$F:$F))</f>
        <v>-8.2212569722521465E-3</v>
      </c>
      <c r="S32" s="5">
        <f ca="1">_xlfn.XLOOKUP(OFFSET(Data!$A$1,S$7-$G32,0,1,1),Data!$A:$A,Data!$I:$I)-(S$8+S$9*_xlfn.XLOOKUP(OFFSET(Data!$A$1,S$7-$G32,0,1,1),Data!$A:$A,Data!$F:$F))</f>
        <v>7.7420391224251916E-4</v>
      </c>
      <c r="T32" s="5">
        <f ca="1">_xlfn.XLOOKUP(OFFSET(Data!$A$1,T$7-$G32,0,1,1),Data!$A:$A,Data!$G:$G)-(T$8+T$9*_xlfn.XLOOKUP(OFFSET(Data!$A$1,T$7-$G32,0,1,1),Data!$A:$A,Data!$F:$F))</f>
        <v>1.2998824207011903E-2</v>
      </c>
      <c r="U32" s="5">
        <f ca="1">_xlfn.XLOOKUP(OFFSET(Data!$A$1,U$7-$G32,0,1,1),Data!$A:$A,Data!$H:$H)-(U$8+U$9*_xlfn.XLOOKUP(OFFSET(Data!$A$1,U$7-$G32,0,1,1),Data!$A:$A,Data!$F:$F))</f>
        <v>-1.3417691381586013E-2</v>
      </c>
      <c r="V32" s="5">
        <f ca="1">_xlfn.XLOOKUP(OFFSET(Data!$A$1,V$7-$G32,0,1,1),Data!$A:$A,Data!$I:$I)-(V$8+V$9*_xlfn.XLOOKUP(OFFSET(Data!$A$1,V$7-$G32,0,1,1),Data!$A:$A,Data!$F:$F))</f>
        <v>5.8725479482393404E-4</v>
      </c>
      <c r="W32" s="5">
        <f ca="1">_xlfn.XLOOKUP(OFFSET(Data!$A$1,W$7-$G32,0,1,1),Data!$A:$A,Data!$G:$G)-(W$8+W$9*_xlfn.XLOOKUP(OFFSET(Data!$A$1,W$7-$G32,0,1,1),Data!$A:$A,Data!$F:$F))</f>
        <v>2.8916904904169004E-2</v>
      </c>
      <c r="X32" s="5">
        <f ca="1">_xlfn.XLOOKUP(OFFSET(Data!$A$1,X$7-$G32,0,1,1),Data!$A:$A,Data!$H:$H)-(X$8+X$9*_xlfn.XLOOKUP(OFFSET(Data!$A$1,X$7-$G32,0,1,1),Data!$A:$A,Data!$F:$F))</f>
        <v>1.4435249120100165E-2</v>
      </c>
      <c r="Y32" s="5">
        <f ca="1">_xlfn.XLOOKUP(OFFSET(Data!$A$1,Y$7-$G32,0,1,1),Data!$A:$A,Data!$I:$I)-(Y$8+Y$9*_xlfn.XLOOKUP(OFFSET(Data!$A$1,Y$7-$G32,0,1,1),Data!$A:$A,Data!$F:$F))</f>
        <v>4.4354115256139439E-4</v>
      </c>
      <c r="Z32" s="5">
        <f ca="1">_xlfn.XLOOKUP(OFFSET(Data!$A$1,Z$7-$G32,0,1,1),Data!$A:$A,Data!$G:$G)-(Z$8+Z$9*_xlfn.XLOOKUP(OFFSET(Data!$A$1,Z$7-$G32,0,1,1),Data!$A:$A,Data!$F:$F))</f>
        <v>-2.5189661704968277E-2</v>
      </c>
      <c r="AA32" s="5">
        <f ca="1">_xlfn.XLOOKUP(OFFSET(Data!$A$1,AA$7-$G32,0,1,1),Data!$A:$A,Data!$H:$H)-(AA$8+AA$9*_xlfn.XLOOKUP(OFFSET(Data!$A$1,AA$7-$G32,0,1,1),Data!$A:$A,Data!$F:$F))</f>
        <v>-2.5111254528707206E-2</v>
      </c>
      <c r="AB32" s="5">
        <f ca="1">_xlfn.XLOOKUP(OFFSET(Data!$A$1,AB$7-$G32,0,1,1),Data!$A:$A,Data!$I:$I)-(AB$8+AB$9*_xlfn.XLOOKUP(OFFSET(Data!$A$1,AB$7-$G32,0,1,1),Data!$A:$A,Data!$F:$F))</f>
        <v>-5.6394642893325922E-2</v>
      </c>
      <c r="AC32" s="5">
        <f ca="1">_xlfn.XLOOKUP(OFFSET(Data!$A$1,AC$7-$G32,0,1,1),Data!$A:$A,Data!$G:$G)-(AC$8+AC$9*_xlfn.XLOOKUP(OFFSET(Data!$A$1,AC$7-$G32,0,1,1),Data!$A:$A,Data!$F:$F))</f>
        <v>-1.2324728543833674E-2</v>
      </c>
      <c r="AD32" s="5">
        <f ca="1">_xlfn.XLOOKUP(OFFSET(Data!$A$1,AD$7-$G32,0,1,1),Data!$A:$A,Data!$H:$H)-(AD$8+AD$9*_xlfn.XLOOKUP(OFFSET(Data!$A$1,AD$7-$G32,0,1,1),Data!$A:$A,Data!$F:$F))</f>
        <v>-6.2858224864826388E-3</v>
      </c>
      <c r="AE32" s="5">
        <f ca="1">_xlfn.XLOOKUP(OFFSET(Data!$A$1,AE$7-$G32,0,1,1),Data!$A:$A,Data!$I:$I)-(AE$8+AE$9*_xlfn.XLOOKUP(OFFSET(Data!$A$1,AE$7-$G32,0,1,1),Data!$A:$A,Data!$F:$F))</f>
        <v>-1.2561732240907393E-4</v>
      </c>
      <c r="AF32" s="5">
        <f ca="1">_xlfn.XLOOKUP(OFFSET(Data!$A$1,AF$7-$G32,0,1,1),Data!$A:$A,Data!$G:$G)-(AF$8+AF$9*_xlfn.XLOOKUP(OFFSET(Data!$A$1,AF$7-$G32,0,1,1),Data!$A:$A,Data!$F:$F))</f>
        <v>-1.0199163441115225E-2</v>
      </c>
      <c r="AG32" s="5">
        <f ca="1">_xlfn.XLOOKUP(OFFSET(Data!$A$1,AG$7-$G32,0,1,1),Data!$A:$A,Data!$H:$H)-(AG$8+AG$9*_xlfn.XLOOKUP(OFFSET(Data!$A$1,AG$7-$G32,0,1,1),Data!$A:$A,Data!$F:$F))</f>
        <v>1.2281233113027427E-2</v>
      </c>
      <c r="AH32" s="5">
        <f ca="1">_xlfn.XLOOKUP(OFFSET(Data!$A$1,AH$7-$G32,0,1,1),Data!$A:$A,Data!$I:$I)-(AH$8+AH$9*_xlfn.XLOOKUP(OFFSET(Data!$A$1,AH$7-$G32,0,1,1),Data!$A:$A,Data!$F:$F))</f>
        <v>-9.5580617977700992E-4</v>
      </c>
      <c r="AI32" s="5">
        <f ca="1">_xlfn.XLOOKUP(OFFSET(Data!$A$1,AI$7-$G32,0,1,1),Data!$A:$A,Data!$G:$G)-(AI$8+AI$9*_xlfn.XLOOKUP(OFFSET(Data!$A$1,AI$7-$G32,0,1,1),Data!$A:$A,Data!$F:$F))</f>
        <v>7.6346697999036504E-3</v>
      </c>
      <c r="AJ32" s="5">
        <f ca="1">_xlfn.XLOOKUP(OFFSET(Data!$A$1,AJ$7-$G32,0,1,1),Data!$A:$A,Data!$H:$H)-(AJ$8+AJ$9*_xlfn.XLOOKUP(OFFSET(Data!$A$1,AJ$7-$G32,0,1,1),Data!$A:$A,Data!$F:$F))</f>
        <v>-8.2461911927138865E-3</v>
      </c>
      <c r="AK32" s="5">
        <f ca="1">_xlfn.XLOOKUP(OFFSET(Data!$A$1,AK$7-$G32,0,1,1),Data!$A:$A,Data!$I:$I)-(AK$8+AK$9*_xlfn.XLOOKUP(OFFSET(Data!$A$1,AK$7-$G32,0,1,1),Data!$A:$A,Data!$F:$F))</f>
        <v>9.4056537323424609E-3</v>
      </c>
      <c r="AL32" s="5">
        <f ca="1">_xlfn.XLOOKUP(OFFSET(Data!$A$1,AL$7-$G32,0,1,1),Data!$A:$A,Data!$G:$G)-(AL$8+AL$9*_xlfn.XLOOKUP(OFFSET(Data!$A$1,AL$7-$G32,0,1,1),Data!$A:$A,Data!$F:$F))</f>
        <v>-3.0190340148476099E-2</v>
      </c>
      <c r="AM32" s="5">
        <f ca="1">_xlfn.XLOOKUP(OFFSET(Data!$A$1,AM$7-$G32,0,1,1),Data!$A:$A,Data!$H:$H)-(AM$8+AM$9*_xlfn.XLOOKUP(OFFSET(Data!$A$1,AM$7-$G32,0,1,1),Data!$A:$A,Data!$F:$F))</f>
        <v>1.2342326708022339E-2</v>
      </c>
      <c r="AN32" s="5">
        <f ca="1">_xlfn.XLOOKUP(OFFSET(Data!$A$1,AN$7-$G32,0,1,1),Data!$A:$A,Data!$I:$I)-(AN$8+AN$9*_xlfn.XLOOKUP(OFFSET(Data!$A$1,AN$7-$G32,0,1,1),Data!$A:$A,Data!$F:$F))</f>
        <v>-3.5687248981328447E-2</v>
      </c>
      <c r="AO32" s="5">
        <f ca="1">_xlfn.XLOOKUP(OFFSET(Data!$A$1,AO$7-$G32,0,1,1),Data!$A:$A,Data!$G:$G)-(AO$8+AO$9*_xlfn.XLOOKUP(OFFSET(Data!$A$1,AO$7-$G32,0,1,1),Data!$A:$A,Data!$F:$F))</f>
        <v>1.9263213072120883E-2</v>
      </c>
      <c r="AP32" s="5">
        <f ca="1">_xlfn.XLOOKUP(OFFSET(Data!$A$1,AP$7-$G32,0,1,1),Data!$A:$A,Data!$H:$H)-(AP$8+AP$9*_xlfn.XLOOKUP(OFFSET(Data!$A$1,AP$7-$G32,0,1,1),Data!$A:$A,Data!$F:$F))</f>
        <v>2.2788459572796516E-2</v>
      </c>
      <c r="AQ32" s="5">
        <f ca="1">_xlfn.XLOOKUP(OFFSET(Data!$A$1,AQ$7-$G32,0,1,1),Data!$A:$A,Data!$I:$I)-(AQ$8+AQ$9*_xlfn.XLOOKUP(OFFSET(Data!$A$1,AQ$7-$G32,0,1,1),Data!$A:$A,Data!$F:$F))</f>
        <v>1.0207328089900498E-3</v>
      </c>
    </row>
    <row r="33" spans="1:43" x14ac:dyDescent="0.2">
      <c r="A33" s="2">
        <f>Data!A33</f>
        <v>46091</v>
      </c>
      <c r="B33" s="5">
        <f>Data!F33</f>
        <v>-1.1698646296102622E-2</v>
      </c>
      <c r="C33" s="5">
        <f>Data!G33</f>
        <v>-2.4885496183206124E-2</v>
      </c>
      <c r="D33" s="5">
        <f>Data!H33</f>
        <v>-1.6979987871437285E-2</v>
      </c>
      <c r="E33" s="5">
        <f>Data!I33</f>
        <v>5.552470849528035E-4</v>
      </c>
      <c r="G33" s="3">
        <v>-10</v>
      </c>
      <c r="H33" s="5">
        <f ca="1">_xlfn.XLOOKUP(OFFSET(Data!$A$1,H$7-$G33,0,1,1),Data!$A:$A,Data!$G:$G)-(H$8+H$9*_xlfn.XLOOKUP(OFFSET(Data!$A$1,H$7-$G33,0,1,1),Data!$A:$A,Data!$F:$F))</f>
        <v>8.163980094326298E-3</v>
      </c>
      <c r="I33" s="5">
        <f ca="1">_xlfn.XLOOKUP(OFFSET(Data!$A$1,I$7-$G33,0,1,1),Data!$A:$A,Data!$H:$H)-(I$8+I$9*_xlfn.XLOOKUP(OFFSET(Data!$A$1,I$7-$G33,0,1,1),Data!$A:$A,Data!$F:$F))</f>
        <v>1.1643942267035138E-2</v>
      </c>
      <c r="J33" s="5">
        <f ca="1">_xlfn.XLOOKUP(OFFSET(Data!$A$1,J$7-$G33,0,1,1),Data!$A:$A,Data!$I:$I)-(J$8+J$9*_xlfn.XLOOKUP(OFFSET(Data!$A$1,J$7-$G33,0,1,1),Data!$A:$A,Data!$F:$F))</f>
        <v>-7.6844950773400321E-4</v>
      </c>
      <c r="K33" s="5">
        <f ca="1">_xlfn.XLOOKUP(OFFSET(Data!$A$1,K$7-$G33,0,1,1),Data!$A:$A,Data!$G:$G)-(K$8+K$9*_xlfn.XLOOKUP(OFFSET(Data!$A$1,K$7-$G33,0,1,1),Data!$A:$A,Data!$F:$F))</f>
        <v>-1.933856666271536E-2</v>
      </c>
      <c r="L33" s="5">
        <f ca="1">_xlfn.XLOOKUP(OFFSET(Data!$A$1,L$7-$G33,0,1,1),Data!$A:$A,Data!$H:$H)-(L$8+L$9*_xlfn.XLOOKUP(OFFSET(Data!$A$1,L$7-$G33,0,1,1),Data!$A:$A,Data!$F:$F))</f>
        <v>5.2670574375560377E-3</v>
      </c>
      <c r="M33" s="5">
        <f ca="1">_xlfn.XLOOKUP(OFFSET(Data!$A$1,M$7-$G33,0,1,1),Data!$A:$A,Data!$I:$I)-(M$8+M$9*_xlfn.XLOOKUP(OFFSET(Data!$A$1,M$7-$G33,0,1,1),Data!$A:$A,Data!$F:$F))</f>
        <v>3.8426740156643935E-2</v>
      </c>
      <c r="N33" s="5">
        <f ca="1">_xlfn.XLOOKUP(OFFSET(Data!$A$1,N$7-$G33,0,1,1),Data!$A:$A,Data!$G:$G)-(N$8+N$9*_xlfn.XLOOKUP(OFFSET(Data!$A$1,N$7-$G33,0,1,1),Data!$A:$A,Data!$F:$F))</f>
        <v>1.4377901418108402E-2</v>
      </c>
      <c r="O33" s="5">
        <f ca="1">_xlfn.XLOOKUP(OFFSET(Data!$A$1,O$7-$G33,0,1,1),Data!$A:$A,Data!$H:$H)-(O$8+O$9*_xlfn.XLOOKUP(OFFSET(Data!$A$1,O$7-$G33,0,1,1),Data!$A:$A,Data!$F:$F))</f>
        <v>6.1438523152121619E-3</v>
      </c>
      <c r="P33" s="5">
        <f ca="1">_xlfn.XLOOKUP(OFFSET(Data!$A$1,P$7-$G33,0,1,1),Data!$A:$A,Data!$I:$I)-(P$8+P$9*_xlfn.XLOOKUP(OFFSET(Data!$A$1,P$7-$G33,0,1,1),Data!$A:$A,Data!$F:$F))</f>
        <v>-1.3616461471535038E-3</v>
      </c>
      <c r="Q33" s="5">
        <f ca="1">_xlfn.XLOOKUP(OFFSET(Data!$A$1,Q$7-$G33,0,1,1),Data!$A:$A,Data!$G:$G)-(Q$8+Q$9*_xlfn.XLOOKUP(OFFSET(Data!$A$1,Q$7-$G33,0,1,1),Data!$A:$A,Data!$F:$F))</f>
        <v>2.8931390622020853E-2</v>
      </c>
      <c r="R33" s="5">
        <f ca="1">_xlfn.XLOOKUP(OFFSET(Data!$A$1,R$7-$G33,0,1,1),Data!$A:$A,Data!$H:$H)-(R$8+R$9*_xlfn.XLOOKUP(OFFSET(Data!$A$1,R$7-$G33,0,1,1),Data!$A:$A,Data!$F:$F))</f>
        <v>5.5435040218287995E-3</v>
      </c>
      <c r="S33" s="5">
        <f ca="1">_xlfn.XLOOKUP(OFFSET(Data!$A$1,S$7-$G33,0,1,1),Data!$A:$A,Data!$I:$I)-(S$8+S$9*_xlfn.XLOOKUP(OFFSET(Data!$A$1,S$7-$G33,0,1,1),Data!$A:$A,Data!$F:$F))</f>
        <v>1.5365076832982558E-3</v>
      </c>
      <c r="T33" s="5">
        <f ca="1">_xlfn.XLOOKUP(OFFSET(Data!$A$1,T$7-$G33,0,1,1),Data!$A:$A,Data!$G:$G)-(T$8+T$9*_xlfn.XLOOKUP(OFFSET(Data!$A$1,T$7-$G33,0,1,1),Data!$A:$A,Data!$F:$F))</f>
        <v>-1.4960263501251183E-3</v>
      </c>
      <c r="U33" s="5">
        <f ca="1">_xlfn.XLOOKUP(OFFSET(Data!$A$1,U$7-$G33,0,1,1),Data!$A:$A,Data!$H:$H)-(U$8+U$9*_xlfn.XLOOKUP(OFFSET(Data!$A$1,U$7-$G33,0,1,1),Data!$A:$A,Data!$F:$F))</f>
        <v>3.3080520101529658E-3</v>
      </c>
      <c r="V33" s="5">
        <f ca="1">_xlfn.XLOOKUP(OFFSET(Data!$A$1,V$7-$G33,0,1,1),Data!$A:$A,Data!$I:$I)-(V$8+V$9*_xlfn.XLOOKUP(OFFSET(Data!$A$1,V$7-$G33,0,1,1),Data!$A:$A,Data!$F:$F))</f>
        <v>-4.9721702779645166E-4</v>
      </c>
      <c r="W33" s="5">
        <f ca="1">_xlfn.XLOOKUP(OFFSET(Data!$A$1,W$7-$G33,0,1,1),Data!$A:$A,Data!$G:$G)-(W$8+W$9*_xlfn.XLOOKUP(OFFSET(Data!$A$1,W$7-$G33,0,1,1),Data!$A:$A,Data!$F:$F))</f>
        <v>4.2494795732287895E-3</v>
      </c>
      <c r="X33" s="5">
        <f ca="1">_xlfn.XLOOKUP(OFFSET(Data!$A$1,X$7-$G33,0,1,1),Data!$A:$A,Data!$H:$H)-(X$8+X$9*_xlfn.XLOOKUP(OFFSET(Data!$A$1,X$7-$G33,0,1,1),Data!$A:$A,Data!$F:$F))</f>
        <v>9.4542398989933604E-3</v>
      </c>
      <c r="Y33" s="5">
        <f ca="1">_xlfn.XLOOKUP(OFFSET(Data!$A$1,Y$7-$G33,0,1,1),Data!$A:$A,Data!$I:$I)-(Y$8+Y$9*_xlfn.XLOOKUP(OFFSET(Data!$A$1,Y$7-$G33,0,1,1),Data!$A:$A,Data!$F:$F))</f>
        <v>-5.1545603507969205E-4</v>
      </c>
      <c r="Z33" s="5">
        <f ca="1">_xlfn.XLOOKUP(OFFSET(Data!$A$1,Z$7-$G33,0,1,1),Data!$A:$A,Data!$G:$G)-(Z$8+Z$9*_xlfn.XLOOKUP(OFFSET(Data!$A$1,Z$7-$G33,0,1,1),Data!$A:$A,Data!$F:$F))</f>
        <v>-1.2439287712499461E-2</v>
      </c>
      <c r="AA33" s="5">
        <f ca="1">_xlfn.XLOOKUP(OFFSET(Data!$A$1,AA$7-$G33,0,1,1),Data!$A:$A,Data!$H:$H)-(AA$8+AA$9*_xlfn.XLOOKUP(OFFSET(Data!$A$1,AA$7-$G33,0,1,1),Data!$A:$A,Data!$F:$F))</f>
        <v>-5.802060695125638E-3</v>
      </c>
      <c r="AB33" s="5">
        <f ca="1">_xlfn.XLOOKUP(OFFSET(Data!$A$1,AB$7-$G33,0,1,1),Data!$A:$A,Data!$I:$I)-(AB$8+AB$9*_xlfn.XLOOKUP(OFFSET(Data!$A$1,AB$7-$G33,0,1,1),Data!$A:$A,Data!$F:$F))</f>
        <v>9.9711078893166161E-2</v>
      </c>
      <c r="AC33" s="5">
        <f ca="1">_xlfn.XLOOKUP(OFFSET(Data!$A$1,AC$7-$G33,0,1,1),Data!$A:$A,Data!$G:$G)-(AC$8+AC$9*_xlfn.XLOOKUP(OFFSET(Data!$A$1,AC$7-$G33,0,1,1),Data!$A:$A,Data!$F:$F))</f>
        <v>-1.4494198907443722E-2</v>
      </c>
      <c r="AD33" s="5">
        <f ca="1">_xlfn.XLOOKUP(OFFSET(Data!$A$1,AD$7-$G33,0,1,1),Data!$A:$A,Data!$H:$H)-(AD$8+AD$9*_xlfn.XLOOKUP(OFFSET(Data!$A$1,AD$7-$G33,0,1,1),Data!$A:$A,Data!$F:$F))</f>
        <v>-2.2252481133705031E-2</v>
      </c>
      <c r="AE33" s="5">
        <f ca="1">_xlfn.XLOOKUP(OFFSET(Data!$A$1,AE$7-$G33,0,1,1),Data!$A:$A,Data!$I:$I)-(AE$8+AE$9*_xlfn.XLOOKUP(OFFSET(Data!$A$1,AE$7-$G33,0,1,1),Data!$A:$A,Data!$F:$F))</f>
        <v>2.4197277372484463E-2</v>
      </c>
      <c r="AF33" s="5">
        <f ca="1">_xlfn.XLOOKUP(OFFSET(Data!$A$1,AF$7-$G33,0,1,1),Data!$A:$A,Data!$G:$G)-(AF$8+AF$9*_xlfn.XLOOKUP(OFFSET(Data!$A$1,AF$7-$G33,0,1,1),Data!$A:$A,Data!$F:$F))</f>
        <v>1.2090408669111506E-2</v>
      </c>
      <c r="AG33" s="5">
        <f ca="1">_xlfn.XLOOKUP(OFFSET(Data!$A$1,AG$7-$G33,0,1,1),Data!$A:$A,Data!$H:$H)-(AG$8+AG$9*_xlfn.XLOOKUP(OFFSET(Data!$A$1,AG$7-$G33,0,1,1),Data!$A:$A,Data!$F:$F))</f>
        <v>1.0333628281397646E-2</v>
      </c>
      <c r="AH33" s="5">
        <f ca="1">_xlfn.XLOOKUP(OFFSET(Data!$A$1,AH$7-$G33,0,1,1),Data!$A:$A,Data!$I:$I)-(AH$8+AH$9*_xlfn.XLOOKUP(OFFSET(Data!$A$1,AH$7-$G33,0,1,1),Data!$A:$A,Data!$F:$F))</f>
        <v>7.5396278612641565E-3</v>
      </c>
      <c r="AI33" s="5">
        <f ca="1">_xlfn.XLOOKUP(OFFSET(Data!$A$1,AI$7-$G33,0,1,1),Data!$A:$A,Data!$G:$G)-(AI$8+AI$9*_xlfn.XLOOKUP(OFFSET(Data!$A$1,AI$7-$G33,0,1,1),Data!$A:$A,Data!$F:$F))</f>
        <v>-6.6724163842718145E-3</v>
      </c>
      <c r="AJ33" s="5">
        <f ca="1">_xlfn.XLOOKUP(OFFSET(Data!$A$1,AJ$7-$G33,0,1,1),Data!$A:$A,Data!$H:$H)-(AJ$8+AJ$9*_xlfn.XLOOKUP(OFFSET(Data!$A$1,AJ$7-$G33,0,1,1),Data!$A:$A,Data!$F:$F))</f>
        <v>7.3210560164306609E-3</v>
      </c>
      <c r="AK33" s="5">
        <f ca="1">_xlfn.XLOOKUP(OFFSET(Data!$A$1,AK$7-$G33,0,1,1),Data!$A:$A,Data!$I:$I)-(AK$8+AK$9*_xlfn.XLOOKUP(OFFSET(Data!$A$1,AK$7-$G33,0,1,1),Data!$A:$A,Data!$F:$F))</f>
        <v>2.1299359217852665E-3</v>
      </c>
      <c r="AL33" s="5">
        <f ca="1">_xlfn.XLOOKUP(OFFSET(Data!$A$1,AL$7-$G33,0,1,1),Data!$A:$A,Data!$G:$G)-(AL$8+AL$9*_xlfn.XLOOKUP(OFFSET(Data!$A$1,AL$7-$G33,0,1,1),Data!$A:$A,Data!$F:$F))</f>
        <v>1.1264144724648964E-2</v>
      </c>
      <c r="AM33" s="5">
        <f ca="1">_xlfn.XLOOKUP(OFFSET(Data!$A$1,AM$7-$G33,0,1,1),Data!$A:$A,Data!$H:$H)-(AM$8+AM$9*_xlfn.XLOOKUP(OFFSET(Data!$A$1,AM$7-$G33,0,1,1),Data!$A:$A,Data!$F:$F))</f>
        <v>1.3688938206534986E-2</v>
      </c>
      <c r="AN33" s="5">
        <f ca="1">_xlfn.XLOOKUP(OFFSET(Data!$A$1,AN$7-$G33,0,1,1),Data!$A:$A,Data!$I:$I)-(AN$8+AN$9*_xlfn.XLOOKUP(OFFSET(Data!$A$1,AN$7-$G33,0,1,1),Data!$A:$A,Data!$F:$F))</f>
        <v>-4.194031403059165E-3</v>
      </c>
      <c r="AO33" s="5">
        <f ca="1">_xlfn.XLOOKUP(OFFSET(Data!$A$1,AO$7-$G33,0,1,1),Data!$A:$A,Data!$G:$G)-(AO$8+AO$9*_xlfn.XLOOKUP(OFFSET(Data!$A$1,AO$7-$G33,0,1,1),Data!$A:$A,Data!$F:$F))</f>
        <v>-1.0121588735322699E-2</v>
      </c>
      <c r="AP33" s="5">
        <f ca="1">_xlfn.XLOOKUP(OFFSET(Data!$A$1,AP$7-$G33,0,1,1),Data!$A:$A,Data!$H:$H)-(AP$8+AP$9*_xlfn.XLOOKUP(OFFSET(Data!$A$1,AP$7-$G33,0,1,1),Data!$A:$A,Data!$F:$F))</f>
        <v>1.2231766326368351E-3</v>
      </c>
      <c r="AQ33" s="5">
        <f ca="1">_xlfn.XLOOKUP(OFFSET(Data!$A$1,AQ$7-$G33,0,1,1),Data!$A:$A,Data!$I:$I)-(AQ$8+AQ$9*_xlfn.XLOOKUP(OFFSET(Data!$A$1,AQ$7-$G33,0,1,1),Data!$A:$A,Data!$F:$F))</f>
        <v>-8.9637252241310441E-3</v>
      </c>
    </row>
    <row r="34" spans="1:43" x14ac:dyDescent="0.2">
      <c r="A34" s="2">
        <f>Data!A34</f>
        <v>46090</v>
      </c>
      <c r="B34" s="5">
        <f>Data!F34</f>
        <v>-2.8820613737256084E-2</v>
      </c>
      <c r="C34" s="5">
        <f>Data!G34</f>
        <v>-6.3713592233010097E-3</v>
      </c>
      <c r="D34" s="5">
        <f>Data!H34</f>
        <v>-3.6236119228521324E-2</v>
      </c>
      <c r="E34" s="5">
        <f>Data!I34</f>
        <v>2.3295454545454453E-2</v>
      </c>
    </row>
    <row r="35" spans="1:43" x14ac:dyDescent="0.2">
      <c r="A35" s="2">
        <f>Data!A35</f>
        <v>46087</v>
      </c>
      <c r="B35" s="5">
        <f>Data!F35</f>
        <v>-5.3325946189286544E-4</v>
      </c>
      <c r="C35" s="5">
        <f>Data!G35</f>
        <v>7.9510703363914192E-3</v>
      </c>
      <c r="D35" s="5">
        <f>Data!H35</f>
        <v>0</v>
      </c>
      <c r="E35" s="5">
        <f>Data!I35</f>
        <v>-2.3578363384188616E-2</v>
      </c>
    </row>
    <row r="36" spans="1:43" x14ac:dyDescent="0.2">
      <c r="A36" s="2">
        <f>Data!A36</f>
        <v>46086</v>
      </c>
      <c r="B36" s="5">
        <f>Data!F36</f>
        <v>1.501724558081996E-2</v>
      </c>
      <c r="C36" s="5">
        <f>Data!G36</f>
        <v>5.5519690122659782E-2</v>
      </c>
      <c r="D36" s="5">
        <f>Data!H36</f>
        <v>1.3625592417061627E-2</v>
      </c>
      <c r="E36" s="5">
        <f>Data!I36</f>
        <v>-5.5447740504577236E-4</v>
      </c>
    </row>
    <row r="37" spans="1:43" x14ac:dyDescent="0.2">
      <c r="A37" s="2">
        <f>Data!A37</f>
        <v>46085</v>
      </c>
      <c r="B37" s="5">
        <f>Data!F37</f>
        <v>-1.5696637873885422E-4</v>
      </c>
      <c r="C37" s="5">
        <f>Data!G37</f>
        <v>-1.4944356120826674E-2</v>
      </c>
      <c r="D37" s="5">
        <f>Data!H37</f>
        <v>5.3603335318641587E-3</v>
      </c>
      <c r="E37" s="5">
        <f>Data!I37</f>
        <v>0</v>
      </c>
      <c r="G37" s="19" t="s">
        <v>122</v>
      </c>
    </row>
    <row r="38" spans="1:43" x14ac:dyDescent="0.2">
      <c r="A38" s="2">
        <f>Data!A38</f>
        <v>46083</v>
      </c>
      <c r="B38" s="5">
        <f>Data!F38</f>
        <v>4.7508613835144375E-2</v>
      </c>
      <c r="C38" s="5">
        <f>Data!G38</f>
        <v>2.2764227642276369E-2</v>
      </c>
      <c r="D38" s="5">
        <f>Data!H38</f>
        <v>2.6911314984709556E-2</v>
      </c>
      <c r="E38" s="5">
        <f>Data!I38</f>
        <v>1.6662038322687867E-3</v>
      </c>
      <c r="G38" s="3" t="s">
        <v>14</v>
      </c>
      <c r="H38" s="3" t="s">
        <v>123</v>
      </c>
      <c r="I38" s="3" t="s">
        <v>17</v>
      </c>
    </row>
    <row r="39" spans="1:43" x14ac:dyDescent="0.2">
      <c r="A39" s="2">
        <f>Data!A39</f>
        <v>46080</v>
      </c>
      <c r="B39" s="5">
        <f>Data!F39</f>
        <v>5.081100280200479E-3</v>
      </c>
      <c r="C39" s="5">
        <f>Data!G39</f>
        <v>1.0515938218862875E-2</v>
      </c>
      <c r="D39" s="5">
        <f>Data!H39</f>
        <v>1.9962570180910744E-2</v>
      </c>
      <c r="E39" s="5">
        <f>Data!I39</f>
        <v>2.777777777778212E-4</v>
      </c>
      <c r="G39">
        <f>ROW()-38</f>
        <v>1</v>
      </c>
      <c r="H39" t="str" cm="1">
        <f t="array" ref="H39">INDEX(MLR!$B$15:$B$26,$G39)</f>
        <v>Hamas attack; Israel declares war</v>
      </c>
      <c r="I39" t="str" cm="1">
        <f t="array" ref="I39">INDEX(Fattal!$D$10:$D$21,$G39)</f>
        <v>-</v>
      </c>
    </row>
    <row r="40" spans="1:43" x14ac:dyDescent="0.2">
      <c r="A40" s="2">
        <f>Data!A40</f>
        <v>46079</v>
      </c>
      <c r="B40" s="5">
        <f>Data!F40</f>
        <v>-1.1900844977053793E-2</v>
      </c>
      <c r="C40" s="5">
        <f>Data!G40</f>
        <v>0</v>
      </c>
      <c r="D40" s="5">
        <f>Data!H40</f>
        <v>3.1289111389236623E-3</v>
      </c>
      <c r="E40" s="5">
        <f>Data!I40</f>
        <v>0</v>
      </c>
      <c r="G40">
        <f t="shared" ref="G40:G50" si="10">ROW()-38</f>
        <v>2</v>
      </c>
      <c r="H40" t="str" cm="1">
        <f t="array" ref="H40">INDEX(MLR!$B$15:$B$26,$G40)</f>
        <v>First hostage truce (105 freed)</v>
      </c>
      <c r="I40" t="str" cm="1">
        <f t="array" ref="I40">INDEX(Fattal!$D$10:$D$21,$G40)</f>
        <v>+</v>
      </c>
    </row>
    <row r="41" spans="1:43" x14ac:dyDescent="0.2">
      <c r="A41" s="2">
        <f>Data!A41</f>
        <v>46078</v>
      </c>
      <c r="B41" s="5">
        <f>Data!F41</f>
        <v>-3.2261590972586518E-3</v>
      </c>
      <c r="C41" s="5">
        <f>Data!G41</f>
        <v>-1.1210398050365611E-2</v>
      </c>
      <c r="D41" s="5">
        <f>Data!H41</f>
        <v>1.0113780025284402E-2</v>
      </c>
      <c r="E41" s="5">
        <f>Data!I41</f>
        <v>0</v>
      </c>
      <c r="G41">
        <f t="shared" si="10"/>
        <v>3</v>
      </c>
      <c r="H41" t="str" cm="1">
        <f t="array" ref="H41">INDEX(MLR!$B$15:$B$26,$G41)</f>
        <v>Iran first direct attack</v>
      </c>
      <c r="I41" t="str" cm="1">
        <f t="array" ref="I41">INDEX(Fattal!$D$10:$D$21,$G41)</f>
        <v>-</v>
      </c>
    </row>
    <row r="42" spans="1:43" x14ac:dyDescent="0.2">
      <c r="A42" s="2">
        <f>Data!A42</f>
        <v>46077</v>
      </c>
      <c r="B42" s="5">
        <f>Data!F42</f>
        <v>-2.0995902136454303E-2</v>
      </c>
      <c r="C42" s="5">
        <f>Data!G42</f>
        <v>-6.4568200161420064E-3</v>
      </c>
      <c r="D42" s="5">
        <f>Data!H42</f>
        <v>-3.5365853658536617E-2</v>
      </c>
      <c r="E42" s="5">
        <f>Data!I42</f>
        <v>0</v>
      </c>
      <c r="G42">
        <f t="shared" si="10"/>
        <v>4</v>
      </c>
      <c r="H42" t="str" cm="1">
        <f t="array" ref="H42">INDEX(MLR!$B$15:$B$26,$G42)</f>
        <v>Haniyeh assassinated in Tehran</v>
      </c>
      <c r="I42" t="str" cm="1">
        <f t="array" ref="I42">INDEX(Fattal!$D$10:$D$21,$G42)</f>
        <v>-</v>
      </c>
    </row>
    <row r="43" spans="1:43" x14ac:dyDescent="0.2">
      <c r="A43" s="2">
        <f>Data!A43</f>
        <v>46076</v>
      </c>
      <c r="B43" s="5">
        <f>Data!F43</f>
        <v>4.6637018847550671E-4</v>
      </c>
      <c r="C43" s="5">
        <f>Data!G43</f>
        <v>-5.9370988446726392E-3</v>
      </c>
      <c r="D43" s="5">
        <f>Data!H43</f>
        <v>-3.0732860520094607E-2</v>
      </c>
      <c r="E43" s="5">
        <f>Data!I43</f>
        <v>0</v>
      </c>
      <c r="G43">
        <f t="shared" si="10"/>
        <v>5</v>
      </c>
      <c r="H43" t="str" cm="1">
        <f t="array" ref="H43">INDEX(MLR!$B$15:$B$26,$G43)</f>
        <v>Iran second attack (~180 missiles)</v>
      </c>
      <c r="I43" t="str" cm="1">
        <f t="array" ref="I43">INDEX(Fattal!$D$10:$D$21,$G43)</f>
        <v>-</v>
      </c>
    </row>
    <row r="44" spans="1:43" x14ac:dyDescent="0.2">
      <c r="A44" s="2">
        <f>Data!A44</f>
        <v>46073</v>
      </c>
      <c r="B44" s="5">
        <f>Data!F44</f>
        <v>7.1099928109275012E-3</v>
      </c>
      <c r="C44" s="5">
        <f>Data!G44</f>
        <v>9.2307692307691536E-3</v>
      </c>
      <c r="D44" s="5">
        <f>Data!H44</f>
        <v>5.9453032104637149E-3</v>
      </c>
      <c r="E44" s="5">
        <f>Data!I44</f>
        <v>0</v>
      </c>
      <c r="G44">
        <f t="shared" si="10"/>
        <v>6</v>
      </c>
      <c r="H44" t="str" cm="1">
        <f t="array" ref="H44">INDEX(MLR!$B$15:$B$26,$G44)</f>
        <v>Israel-Lebanon ceasefire</v>
      </c>
      <c r="I44" t="str" cm="1">
        <f t="array" ref="I44">INDEX(Fattal!$D$10:$D$21,$G44)</f>
        <v>+</v>
      </c>
    </row>
    <row r="45" spans="1:43" x14ac:dyDescent="0.2">
      <c r="A45" s="2">
        <f>Data!A45</f>
        <v>46072</v>
      </c>
      <c r="B45" s="5">
        <f>Data!F45</f>
        <v>-7.0219939988245272E-3</v>
      </c>
      <c r="C45" s="5">
        <f>Data!G45</f>
        <v>-1.1683738796414822E-2</v>
      </c>
      <c r="D45" s="5">
        <f>Data!H45</f>
        <v>-1.4645577035735213E-2</v>
      </c>
      <c r="E45" s="5">
        <f>Data!I45</f>
        <v>0</v>
      </c>
      <c r="G45">
        <f t="shared" si="10"/>
        <v>7</v>
      </c>
      <c r="H45" t="str" cm="1">
        <f t="array" ref="H45">INDEX(MLR!$B$15:$B$26,$G45)</f>
        <v>Gaza ceasefire (33 hostages)</v>
      </c>
      <c r="I45" t="str" cm="1">
        <f t="array" ref="I45">INDEX(Fattal!$D$10:$D$21,$G45)</f>
        <v>+</v>
      </c>
    </row>
    <row r="46" spans="1:43" x14ac:dyDescent="0.2">
      <c r="A46" s="2">
        <f>Data!A46</f>
        <v>46071</v>
      </c>
      <c r="B46" s="5">
        <f>Data!F46</f>
        <v>8.2507221481147308E-3</v>
      </c>
      <c r="C46" s="5">
        <f>Data!G46</f>
        <v>9.6123037487982899E-4</v>
      </c>
      <c r="D46" s="5">
        <f>Data!H46</f>
        <v>-5.8548009367676013E-4</v>
      </c>
      <c r="E46" s="5">
        <f>Data!I46</f>
        <v>-1.1532125205930832E-2</v>
      </c>
      <c r="G46">
        <f t="shared" si="10"/>
        <v>8</v>
      </c>
      <c r="H46" t="str" cm="1">
        <f t="array" ref="H46">INDEX(MLR!$B$15:$B$26,$G46)</f>
        <v>Edan Alexander released</v>
      </c>
      <c r="I46" t="str" cm="1">
        <f t="array" ref="I46">INDEX(Fattal!$D$10:$D$21,$G46)</f>
        <v>+</v>
      </c>
    </row>
    <row r="47" spans="1:43" x14ac:dyDescent="0.2">
      <c r="A47" s="2">
        <f>Data!A47</f>
        <v>46070</v>
      </c>
      <c r="B47" s="5">
        <f>Data!F47</f>
        <v>8.6204205516593468E-4</v>
      </c>
      <c r="C47" s="5">
        <f>Data!G47</f>
        <v>-3.0293615038061161E-2</v>
      </c>
      <c r="D47" s="5">
        <f>Data!H47</f>
        <v>1.4251781472684133E-2</v>
      </c>
      <c r="E47" s="5">
        <f>Data!I47</f>
        <v>-3.4208432776451914E-2</v>
      </c>
      <c r="G47">
        <f t="shared" si="10"/>
        <v>9</v>
      </c>
      <c r="H47" t="str" cm="1">
        <f t="array" ref="H47">INDEX(MLR!$B$15:$B$26,$G47)</f>
        <v>12-Day War begins</v>
      </c>
      <c r="I47" t="str" cm="1">
        <f t="array" ref="I47">INDEX(Fattal!$D$10:$D$21,$G47)</f>
        <v>-</v>
      </c>
    </row>
    <row r="48" spans="1:43" x14ac:dyDescent="0.2">
      <c r="A48" s="2">
        <f>Data!A48</f>
        <v>46069</v>
      </c>
      <c r="B48" s="5">
        <f>Data!F48</f>
        <v>4.6874623048900332E-3</v>
      </c>
      <c r="C48" s="5">
        <f>Data!G48</f>
        <v>1.5139567891499839E-2</v>
      </c>
      <c r="D48" s="5">
        <f>Data!H48</f>
        <v>1.8753781004234638E-2</v>
      </c>
      <c r="E48" s="5">
        <f>Data!I48</f>
        <v>-1.059602649006619E-3</v>
      </c>
      <c r="G48">
        <f t="shared" si="10"/>
        <v>10</v>
      </c>
      <c r="H48" t="str" cm="1">
        <f t="array" ref="H48">INDEX(MLR!$B$15:$B$26,$G48)</f>
        <v>Sharm el-Sheikh deal</v>
      </c>
      <c r="I48" t="str" cm="1">
        <f t="array" ref="I48">INDEX(Fattal!$D$10:$D$21,$G48)</f>
        <v>+</v>
      </c>
    </row>
    <row r="49" spans="1:9" x14ac:dyDescent="0.2">
      <c r="A49" s="2">
        <f>Data!A49</f>
        <v>46066</v>
      </c>
      <c r="B49" s="5">
        <f>Data!F49</f>
        <v>-5.310482022830354E-3</v>
      </c>
      <c r="C49" s="5">
        <f>Data!G49</f>
        <v>-1.7317380352644962E-3</v>
      </c>
      <c r="D49" s="5">
        <f>Data!H49</f>
        <v>-8.9928057553957386E-3</v>
      </c>
      <c r="E49" s="5">
        <f>Data!I49</f>
        <v>0</v>
      </c>
      <c r="G49">
        <f t="shared" si="10"/>
        <v>11</v>
      </c>
      <c r="H49" t="str" cm="1">
        <f t="array" ref="H49">INDEX(MLR!$B$15:$B$26,$G49)</f>
        <v>2026 Israel-Iran war begins</v>
      </c>
      <c r="I49" t="str" cm="1">
        <f t="array" ref="I49">INDEX(Fattal!$D$10:$D$21,$G49)</f>
        <v>-</v>
      </c>
    </row>
    <row r="50" spans="1:9" x14ac:dyDescent="0.2">
      <c r="A50" s="2">
        <f>Data!A50</f>
        <v>46065</v>
      </c>
      <c r="B50" s="5">
        <f>Data!F50</f>
        <v>7.5483376490868004E-3</v>
      </c>
      <c r="C50" s="5">
        <f>Data!G50</f>
        <v>-4.2326383445681071E-3</v>
      </c>
      <c r="D50" s="5">
        <f>Data!H50</f>
        <v>6.638503319251754E-3</v>
      </c>
      <c r="E50" s="5">
        <f>Data!I50</f>
        <v>0</v>
      </c>
      <c r="G50">
        <f t="shared" si="10"/>
        <v>12</v>
      </c>
      <c r="H50" t="str" cm="1">
        <f t="array" ref="H50">INDEX(MLR!$B$15:$B$26,$G50)</f>
        <v>Pakistan-brokered ceasefire</v>
      </c>
      <c r="I50" t="str" cm="1">
        <f t="array" ref="I50">INDEX(Fattal!$D$10:$D$21,$G50)</f>
        <v>+</v>
      </c>
    </row>
    <row r="51" spans="1:9" x14ac:dyDescent="0.2">
      <c r="A51" s="2">
        <f>Data!A51</f>
        <v>46064</v>
      </c>
      <c r="B51" s="5">
        <f>Data!F51</f>
        <v>-6.213553042262121E-3</v>
      </c>
      <c r="C51" s="5">
        <f>Data!G51</f>
        <v>-4.7007207771854187E-4</v>
      </c>
      <c r="D51" s="5">
        <f>Data!H51</f>
        <v>1.5318627450980449E-2</v>
      </c>
      <c r="E51" s="5">
        <f>Data!I51</f>
        <v>0</v>
      </c>
    </row>
    <row r="52" spans="1:9" x14ac:dyDescent="0.2">
      <c r="A52" s="2">
        <f>Data!A52</f>
        <v>46063</v>
      </c>
      <c r="B52" s="5">
        <f>Data!F52</f>
        <v>1.6888400219901012E-2</v>
      </c>
      <c r="C52" s="5">
        <f>Data!G52</f>
        <v>1.3015873015872925E-2</v>
      </c>
      <c r="D52" s="5">
        <f>Data!H52</f>
        <v>6.1312078479458521E-4</v>
      </c>
      <c r="E52" s="5">
        <f>Data!I52</f>
        <v>-5.3884711779448646E-2</v>
      </c>
    </row>
    <row r="53" spans="1:9" x14ac:dyDescent="0.2">
      <c r="A53" s="2">
        <f>Data!A53</f>
        <v>46062</v>
      </c>
      <c r="B53" s="5">
        <f>Data!F53</f>
        <v>1.5858083924484845E-2</v>
      </c>
      <c r="C53" s="5">
        <f>Data!G53</f>
        <v>-1.4238773274917849E-2</v>
      </c>
      <c r="D53" s="5">
        <f>Data!H53</f>
        <v>8.0346106304078901E-3</v>
      </c>
      <c r="E53" s="5">
        <f>Data!I53</f>
        <v>-1.0907288051561714E-2</v>
      </c>
    </row>
    <row r="54" spans="1:9" x14ac:dyDescent="0.2">
      <c r="A54" s="2">
        <f>Data!A54</f>
        <v>46059</v>
      </c>
      <c r="B54" s="5">
        <f>Data!F54</f>
        <v>4.0722880796195682E-4</v>
      </c>
      <c r="C54" s="5">
        <f>Data!G54</f>
        <v>-1.358234295415961E-2</v>
      </c>
      <c r="D54" s="5">
        <f>Data!H54</f>
        <v>-1.8203883495145678E-2</v>
      </c>
      <c r="E54" s="5">
        <f>Data!I54</f>
        <v>0</v>
      </c>
    </row>
    <row r="55" spans="1:9" x14ac:dyDescent="0.2">
      <c r="A55" s="2">
        <f>Data!A55</f>
        <v>46058</v>
      </c>
      <c r="B55" s="5">
        <f>Data!F55</f>
        <v>-1.7981155631852097E-2</v>
      </c>
      <c r="C55" s="5">
        <f>Data!G55</f>
        <v>-3.2307692307692593E-3</v>
      </c>
      <c r="D55" s="5">
        <f>Data!H55</f>
        <v>-3.0588235294117694E-2</v>
      </c>
      <c r="E55" s="5">
        <f>Data!I55</f>
        <v>4.4820717131475174E-3</v>
      </c>
    </row>
    <row r="56" spans="1:9" x14ac:dyDescent="0.2">
      <c r="A56" s="2">
        <f>Data!A56</f>
        <v>46057</v>
      </c>
      <c r="B56" s="5">
        <f>Data!F56</f>
        <v>-1.4633659364446938E-3</v>
      </c>
      <c r="C56" s="5">
        <f>Data!G56</f>
        <v>-1.3827008757105741E-3</v>
      </c>
      <c r="D56" s="5">
        <f>Data!H56</f>
        <v>0</v>
      </c>
      <c r="E56" s="5">
        <f>Data!I56</f>
        <v>1.6708860759493627E-2</v>
      </c>
    </row>
    <row r="57" spans="1:9" x14ac:dyDescent="0.2">
      <c r="A57" s="2">
        <f>Data!A57</f>
        <v>46056</v>
      </c>
      <c r="B57" s="5">
        <f>Data!F57</f>
        <v>1.6544022098298861E-2</v>
      </c>
      <c r="C57" s="5">
        <f>Data!G57</f>
        <v>1.2916277622160077E-2</v>
      </c>
      <c r="D57" s="5">
        <f>Data!H57</f>
        <v>0</v>
      </c>
      <c r="E57" s="5">
        <f>Data!I57</f>
        <v>3.0524393425515273E-2</v>
      </c>
    </row>
    <row r="58" spans="1:9" x14ac:dyDescent="0.2">
      <c r="A58" s="2">
        <f>Data!A58</f>
        <v>46055</v>
      </c>
      <c r="B58" s="5">
        <f>Data!F58</f>
        <v>1.11346367540619E-2</v>
      </c>
      <c r="C58" s="5">
        <f>Data!G58</f>
        <v>4.8475371383893684E-3</v>
      </c>
      <c r="D58" s="5">
        <f>Data!H58</f>
        <v>-1.7341040462427793E-2</v>
      </c>
      <c r="E58" s="5">
        <f>Data!I58</f>
        <v>0</v>
      </c>
    </row>
    <row r="59" spans="1:9" x14ac:dyDescent="0.2">
      <c r="A59" s="2">
        <f>Data!A59</f>
        <v>46052</v>
      </c>
      <c r="B59" s="5">
        <f>Data!F59</f>
        <v>3.1986743327725442E-3</v>
      </c>
      <c r="C59" s="5">
        <f>Data!G59</f>
        <v>-2.3400936037440978E-3</v>
      </c>
      <c r="D59" s="5">
        <f>Data!H59</f>
        <v>1.8845700824499323E-2</v>
      </c>
      <c r="E59" s="5">
        <f>Data!I59</f>
        <v>0</v>
      </c>
    </row>
    <row r="60" spans="1:9" x14ac:dyDescent="0.2">
      <c r="A60" s="2">
        <f>Data!A60</f>
        <v>46051</v>
      </c>
      <c r="B60" s="5">
        <f>Data!F60</f>
        <v>-2.1220783841137125E-3</v>
      </c>
      <c r="C60" s="5">
        <f>Data!G60</f>
        <v>-1.0802469135802517E-2</v>
      </c>
      <c r="D60" s="5">
        <f>Data!H60</f>
        <v>-1.1764705882353343E-3</v>
      </c>
      <c r="E60" s="5">
        <f>Data!I60</f>
        <v>0</v>
      </c>
    </row>
    <row r="61" spans="1:9" x14ac:dyDescent="0.2">
      <c r="A61" s="2">
        <f>Data!A61</f>
        <v>46050</v>
      </c>
      <c r="B61" s="5">
        <f>Data!F61</f>
        <v>-8.655761483475799E-3</v>
      </c>
      <c r="C61" s="5">
        <f>Data!G61</f>
        <v>-2.9235266964148243E-3</v>
      </c>
      <c r="D61" s="5">
        <f>Data!H61</f>
        <v>-5.2924791086350953E-2</v>
      </c>
      <c r="E61" s="5">
        <f>Data!I61</f>
        <v>-1.2876641771825903E-2</v>
      </c>
    </row>
    <row r="62" spans="1:9" x14ac:dyDescent="0.2">
      <c r="A62" s="2">
        <f>Data!A62</f>
        <v>46049</v>
      </c>
      <c r="B62" s="5">
        <f>Data!F62</f>
        <v>-5.585247004445959E-4</v>
      </c>
      <c r="C62" s="5">
        <f>Data!G62</f>
        <v>-1.961080102579571E-2</v>
      </c>
      <c r="D62" s="5">
        <f>Data!H62</f>
        <v>-7.7390823659480024E-3</v>
      </c>
      <c r="E62" s="5">
        <f>Data!I62</f>
        <v>3.0246749801008166E-2</v>
      </c>
    </row>
    <row r="63" spans="1:9" x14ac:dyDescent="0.2">
      <c r="A63" s="2">
        <f>Data!A63</f>
        <v>46048</v>
      </c>
      <c r="B63" s="5">
        <f>Data!F63</f>
        <v>4.7763710554407091E-3</v>
      </c>
      <c r="C63" s="5">
        <f>Data!G63</f>
        <v>-3.6073951600781307E-3</v>
      </c>
      <c r="D63" s="5">
        <f>Data!H63</f>
        <v>1.0614525139664766E-2</v>
      </c>
      <c r="E63" s="5">
        <f>Data!I63</f>
        <v>0</v>
      </c>
    </row>
    <row r="64" spans="1:9" x14ac:dyDescent="0.2">
      <c r="A64" s="2">
        <f>Data!A64</f>
        <v>46045</v>
      </c>
      <c r="B64" s="5">
        <f>Data!F64</f>
        <v>5.2628543776469527E-3</v>
      </c>
      <c r="C64" s="5">
        <f>Data!G64</f>
        <v>-1.5008254539996546E-3</v>
      </c>
      <c r="D64" s="5">
        <f>Data!H64</f>
        <v>-5.5555555555555358E-3</v>
      </c>
      <c r="E64" s="5">
        <f>Data!I64</f>
        <v>1.8648648648648569E-2</v>
      </c>
    </row>
    <row r="65" spans="1:5" x14ac:dyDescent="0.2">
      <c r="A65" s="2">
        <f>Data!A65</f>
        <v>46044</v>
      </c>
      <c r="B65" s="5">
        <f>Data!F65</f>
        <v>1.1932611067414278E-2</v>
      </c>
      <c r="C65" s="5">
        <f>Data!G65</f>
        <v>2.6656394453004717E-2</v>
      </c>
      <c r="D65" s="5">
        <f>Data!H65</f>
        <v>-2.9126213592232997E-2</v>
      </c>
      <c r="E65" s="5">
        <f>Data!I65</f>
        <v>8.9991818925552192E-3</v>
      </c>
    </row>
    <row r="66" spans="1:5" x14ac:dyDescent="0.2">
      <c r="A66" s="2">
        <f>Data!A66</f>
        <v>46043</v>
      </c>
      <c r="B66" s="5">
        <f>Data!F66</f>
        <v>-4.8177195117640181E-3</v>
      </c>
      <c r="C66" s="5">
        <f>Data!G66</f>
        <v>-2.1116138763197623E-2</v>
      </c>
      <c r="D66" s="5">
        <f>Data!H66</f>
        <v>4.2744656917885315E-2</v>
      </c>
      <c r="E66" s="5">
        <f>Data!I66</f>
        <v>0</v>
      </c>
    </row>
    <row r="67" spans="1:5" x14ac:dyDescent="0.2">
      <c r="A67" s="2">
        <f>Data!A67</f>
        <v>46042</v>
      </c>
      <c r="B67" s="5">
        <f>Data!F67</f>
        <v>-6.8884235866444321E-3</v>
      </c>
      <c r="C67" s="5">
        <f>Data!G67</f>
        <v>-4.5045045045044585E-3</v>
      </c>
      <c r="D67" s="5">
        <f>Data!H67</f>
        <v>0</v>
      </c>
      <c r="E67" s="5">
        <f>Data!I67</f>
        <v>-2.3955283470854405E-2</v>
      </c>
    </row>
    <row r="68" spans="1:5" x14ac:dyDescent="0.2">
      <c r="A68" s="2">
        <f>Data!A68</f>
        <v>46041</v>
      </c>
      <c r="B68" s="5">
        <f>Data!F68</f>
        <v>-3.5332422119994655E-3</v>
      </c>
      <c r="C68" s="5">
        <f>Data!G68</f>
        <v>-1.8422991893883522E-2</v>
      </c>
      <c r="D68" s="5">
        <f>Data!H68</f>
        <v>0</v>
      </c>
      <c r="E68" s="5">
        <f>Data!I68</f>
        <v>0</v>
      </c>
    </row>
    <row r="69" spans="1:5" x14ac:dyDescent="0.2">
      <c r="A69" s="2">
        <f>Data!A69</f>
        <v>46038</v>
      </c>
      <c r="B69" s="5">
        <f>Data!F69</f>
        <v>3.2941825338128616E-3</v>
      </c>
      <c r="C69" s="5">
        <f>Data!G69</f>
        <v>9.5223925011158617E-3</v>
      </c>
      <c r="D69" s="5">
        <f>Data!H69</f>
        <v>4.5267489711934061E-2</v>
      </c>
      <c r="E69" s="5">
        <f>Data!I69</f>
        <v>0</v>
      </c>
    </row>
    <row r="70" spans="1:5" x14ac:dyDescent="0.2">
      <c r="A70" s="2">
        <f>Data!A70</f>
        <v>46037</v>
      </c>
      <c r="B70" s="5">
        <f>Data!F70</f>
        <v>6.2714588079182398E-3</v>
      </c>
      <c r="C70" s="5">
        <f>Data!G70</f>
        <v>-8.7020648967551795E-3</v>
      </c>
      <c r="D70" s="5">
        <f>Data!H70</f>
        <v>-1.8465089440277027E-2</v>
      </c>
      <c r="E70" s="5">
        <f>Data!I70</f>
        <v>0</v>
      </c>
    </row>
    <row r="71" spans="1:5" x14ac:dyDescent="0.2">
      <c r="A71" s="2">
        <f>Data!A71</f>
        <v>46036</v>
      </c>
      <c r="B71" s="5">
        <f>Data!F71</f>
        <v>1.2929966090780676E-2</v>
      </c>
      <c r="C71" s="5">
        <f>Data!G71</f>
        <v>1.3291980505094614E-3</v>
      </c>
      <c r="D71" s="5">
        <f>Data!H71</f>
        <v>2.1213906894519852E-2</v>
      </c>
      <c r="E71" s="5">
        <f>Data!I71</f>
        <v>0</v>
      </c>
    </row>
    <row r="72" spans="1:5" x14ac:dyDescent="0.2">
      <c r="A72" s="2">
        <f>Data!A72</f>
        <v>46035</v>
      </c>
      <c r="B72" s="5">
        <f>Data!F72</f>
        <v>-3.3083909351616647E-3</v>
      </c>
      <c r="C72" s="5">
        <f>Data!G72</f>
        <v>-2.9525584061917742E-2</v>
      </c>
      <c r="D72" s="5">
        <f>Data!H72</f>
        <v>1.3739545997610403E-2</v>
      </c>
      <c r="E72" s="5">
        <f>Data!I72</f>
        <v>7.0370370370370416E-2</v>
      </c>
    </row>
    <row r="73" spans="1:5" x14ac:dyDescent="0.2">
      <c r="A73" s="2">
        <f>Data!A73</f>
        <v>46034</v>
      </c>
      <c r="B73" s="5">
        <f>Data!F73</f>
        <v>4.8934547483401314E-3</v>
      </c>
      <c r="C73" s="5">
        <f>Data!G73</f>
        <v>-1.8568012378674892E-2</v>
      </c>
      <c r="D73" s="5">
        <f>Data!H73</f>
        <v>-5.9701492537311829E-4</v>
      </c>
      <c r="E73" s="5">
        <f>Data!I73</f>
        <v>0</v>
      </c>
    </row>
    <row r="74" spans="1:5" x14ac:dyDescent="0.2">
      <c r="A74" s="2">
        <f>Data!A74</f>
        <v>46031</v>
      </c>
      <c r="B74" s="5">
        <f>Data!F74</f>
        <v>7.3243358211843024E-3</v>
      </c>
      <c r="C74" s="5">
        <f>Data!G74</f>
        <v>-2.1055586749016975E-3</v>
      </c>
      <c r="D74" s="5">
        <f>Data!H74</f>
        <v>1.5151515151515138E-2</v>
      </c>
      <c r="E74" s="5">
        <f>Data!I74</f>
        <v>0</v>
      </c>
    </row>
    <row r="75" spans="1:5" x14ac:dyDescent="0.2">
      <c r="A75" s="2">
        <f>Data!A75</f>
        <v>46030</v>
      </c>
      <c r="B75" s="5">
        <f>Data!F75</f>
        <v>-3.857345006381796E-3</v>
      </c>
      <c r="C75" s="5">
        <f>Data!G75</f>
        <v>9.3510909606120407E-3</v>
      </c>
      <c r="D75" s="5">
        <f>Data!H75</f>
        <v>-2.424600827912482E-2</v>
      </c>
      <c r="E75" s="5">
        <f>Data!I75</f>
        <v>1.5625E-2</v>
      </c>
    </row>
    <row r="76" spans="1:5" x14ac:dyDescent="0.2">
      <c r="A76" s="2">
        <f>Data!A76</f>
        <v>46029</v>
      </c>
      <c r="B76" s="5">
        <f>Data!F76</f>
        <v>7.8904081422837002E-4</v>
      </c>
      <c r="C76" s="5">
        <f>Data!G76</f>
        <v>1.2625538020086147E-2</v>
      </c>
      <c r="D76" s="5">
        <f>Data!H76</f>
        <v>1.561561561561553E-2</v>
      </c>
      <c r="E76" s="5">
        <f>Data!I76</f>
        <v>-2.5974025974025983E-3</v>
      </c>
    </row>
    <row r="77" spans="1:5" x14ac:dyDescent="0.2">
      <c r="A77" s="2">
        <f>Data!A77</f>
        <v>46028</v>
      </c>
      <c r="B77" s="5">
        <f>Data!F77</f>
        <v>2.5470723427583497E-2</v>
      </c>
      <c r="C77" s="5">
        <f>Data!G77</f>
        <v>1.3081395348837122E-2</v>
      </c>
      <c r="D77" s="5">
        <f>Data!H77</f>
        <v>-1.5375517445298637E-2</v>
      </c>
      <c r="E77" s="5">
        <f>Data!I77</f>
        <v>1.7346053772766545E-3</v>
      </c>
    </row>
    <row r="78" spans="1:5" x14ac:dyDescent="0.2">
      <c r="A78" s="2">
        <f>Data!A78</f>
        <v>46027</v>
      </c>
      <c r="B78" s="5">
        <f>Data!F78</f>
        <v>1.6361824552380222E-2</v>
      </c>
      <c r="C78" s="5">
        <f>Data!G78</f>
        <v>6.1073411474398487E-2</v>
      </c>
      <c r="D78" s="5">
        <f>Data!H78</f>
        <v>5.3582554517134007E-2</v>
      </c>
      <c r="E78" s="5">
        <f>Data!I78</f>
        <v>2.6086956521738092E-3</v>
      </c>
    </row>
    <row r="79" spans="1:5" x14ac:dyDescent="0.2">
      <c r="A79" s="2">
        <f>Data!A79</f>
        <v>46023</v>
      </c>
      <c r="B79" s="5">
        <f>Data!F79</f>
        <v>1.8981640708167546E-2</v>
      </c>
      <c r="C79" s="5">
        <f>Data!G79</f>
        <v>-4.7582501918649323E-3</v>
      </c>
      <c r="D79" s="5">
        <f>Data!H79</f>
        <v>2.3596938775510168E-2</v>
      </c>
      <c r="E79" s="5">
        <f>Data!I79</f>
        <v>-3.1782721756717924E-3</v>
      </c>
    </row>
    <row r="80" spans="1:5" x14ac:dyDescent="0.2">
      <c r="A80" s="2">
        <f>Data!A80</f>
        <v>46022</v>
      </c>
      <c r="B80" s="5">
        <f>Data!F80</f>
        <v>-7.3832431539047061E-3</v>
      </c>
      <c r="C80" s="5">
        <f>Data!G80</f>
        <v>6.1434495469203654E-4</v>
      </c>
      <c r="D80" s="5">
        <f>Data!H80</f>
        <v>-7.5949367088608E-3</v>
      </c>
      <c r="E80" s="5">
        <f>Data!I80</f>
        <v>2.8901734104036514E-4</v>
      </c>
    </row>
    <row r="81" spans="1:5" x14ac:dyDescent="0.2">
      <c r="A81" s="2">
        <f>Data!A81</f>
        <v>46021</v>
      </c>
      <c r="B81" s="5">
        <f>Data!F81</f>
        <v>1.0165177288464999E-2</v>
      </c>
      <c r="C81" s="5">
        <f>Data!G81</f>
        <v>4.783950617283983E-3</v>
      </c>
      <c r="D81" s="5">
        <f>Data!H81</f>
        <v>1.2820512820512775E-2</v>
      </c>
      <c r="E81" s="5">
        <f>Data!I81</f>
        <v>0</v>
      </c>
    </row>
    <row r="82" spans="1:5" x14ac:dyDescent="0.2">
      <c r="A82" s="2">
        <f>Data!A82</f>
        <v>46020</v>
      </c>
      <c r="B82" s="5">
        <f>Data!F82</f>
        <v>1.7547467269860562E-3</v>
      </c>
      <c r="C82" s="5">
        <f>Data!G82</f>
        <v>8.0896079651524566E-3</v>
      </c>
      <c r="D82" s="5">
        <f>Data!H82</f>
        <v>1.9607843137254832E-2</v>
      </c>
      <c r="E82" s="5">
        <f>Data!I82</f>
        <v>0</v>
      </c>
    </row>
    <row r="83" spans="1:5" x14ac:dyDescent="0.2">
      <c r="A83" s="2">
        <f>Data!A83</f>
        <v>46019</v>
      </c>
      <c r="B83" s="5">
        <f>Data!F83</f>
        <v>5.6163975648491071E-3</v>
      </c>
      <c r="C83" s="5">
        <f>Data!G83</f>
        <v>2.031746031746029E-2</v>
      </c>
      <c r="D83" s="5">
        <f>Data!H83</f>
        <v>6.5789473684210176E-3</v>
      </c>
      <c r="E83" s="5">
        <f>Data!I83</f>
        <v>0</v>
      </c>
    </row>
    <row r="84" spans="1:5" x14ac:dyDescent="0.2">
      <c r="A84" s="2">
        <f>Data!A84</f>
        <v>46016</v>
      </c>
      <c r="B84" s="5">
        <f>Data!F84</f>
        <v>-3.0481888096746457E-2</v>
      </c>
      <c r="C84" s="5">
        <f>Data!G84</f>
        <v>-5.7732575530960228E-2</v>
      </c>
      <c r="D84" s="5">
        <f>Data!H84</f>
        <v>-2.0618556701030966E-2</v>
      </c>
      <c r="E84" s="5">
        <f>Data!I84</f>
        <v>1.2287887653598561E-2</v>
      </c>
    </row>
    <row r="85" spans="1:5" x14ac:dyDescent="0.2">
      <c r="A85" s="2">
        <f>Data!A85</f>
        <v>46015</v>
      </c>
      <c r="B85" s="5">
        <f>Data!F85</f>
        <v>3.4979760560320816E-3</v>
      </c>
      <c r="C85" s="5">
        <f>Data!G85</f>
        <v>1.4875531268973896E-2</v>
      </c>
      <c r="D85" s="5">
        <f>Data!H85</f>
        <v>1.5042511445389151E-2</v>
      </c>
      <c r="E85" s="5">
        <f>Data!I85</f>
        <v>1.8777943368107231E-2</v>
      </c>
    </row>
    <row r="86" spans="1:5" x14ac:dyDescent="0.2">
      <c r="A86" s="2">
        <f>Data!A86</f>
        <v>46014</v>
      </c>
      <c r="B86" s="5">
        <f>Data!F86</f>
        <v>1.243540572189783E-3</v>
      </c>
      <c r="C86" s="5">
        <f>Data!G86</f>
        <v>1.9025522041763443E-2</v>
      </c>
      <c r="D86" s="5">
        <f>Data!H86</f>
        <v>-1.3063357282822041E-3</v>
      </c>
      <c r="E86" s="5">
        <f>Data!I86</f>
        <v>1.7591750075826473E-2</v>
      </c>
    </row>
    <row r="87" spans="1:5" x14ac:dyDescent="0.2">
      <c r="A87" s="2">
        <f>Data!A87</f>
        <v>46013</v>
      </c>
      <c r="B87" s="5">
        <f>Data!F87</f>
        <v>5.0912703340368903E-3</v>
      </c>
      <c r="C87" s="5">
        <f>Data!G87</f>
        <v>-1.5465511908441254E-4</v>
      </c>
      <c r="D87" s="5">
        <f>Data!H87</f>
        <v>2.9589778076664519E-2</v>
      </c>
      <c r="E87" s="5">
        <f>Data!I87</f>
        <v>0</v>
      </c>
    </row>
    <row r="88" spans="1:5" x14ac:dyDescent="0.2">
      <c r="A88" s="2">
        <f>Data!A88</f>
        <v>46012</v>
      </c>
      <c r="B88" s="5">
        <f>Data!F88</f>
        <v>5.4910902107676574E-3</v>
      </c>
      <c r="C88" s="5">
        <f>Data!G88</f>
        <v>-1.0814151089139079E-3</v>
      </c>
      <c r="D88" s="5">
        <f>Data!H88</f>
        <v>2.2696011004126548E-2</v>
      </c>
      <c r="E88" s="5">
        <f>Data!I88</f>
        <v>0</v>
      </c>
    </row>
    <row r="89" spans="1:5" x14ac:dyDescent="0.2">
      <c r="A89" s="2">
        <f>Data!A89</f>
        <v>46009</v>
      </c>
      <c r="B89" s="5">
        <f>Data!F89</f>
        <v>7.6390370382526385E-3</v>
      </c>
      <c r="C89" s="5">
        <f>Data!G89</f>
        <v>3.435602428891027E-2</v>
      </c>
      <c r="D89" s="5">
        <f>Data!H89</f>
        <v>3.3404406538734888E-2</v>
      </c>
      <c r="E89" s="5">
        <f>Data!I89</f>
        <v>6.0698027314121106E-4</v>
      </c>
    </row>
    <row r="90" spans="1:5" x14ac:dyDescent="0.2">
      <c r="A90" s="2">
        <f>Data!A90</f>
        <v>46008</v>
      </c>
      <c r="B90" s="5">
        <f>Data!F90</f>
        <v>7.7922793864304563E-3</v>
      </c>
      <c r="C90" s="5">
        <f>Data!G90</f>
        <v>2.4026910139356428E-3</v>
      </c>
      <c r="D90" s="5">
        <f>Data!H90</f>
        <v>-7.0571630204657732E-3</v>
      </c>
      <c r="E90" s="5">
        <f>Data!I90</f>
        <v>0</v>
      </c>
    </row>
    <row r="91" spans="1:5" x14ac:dyDescent="0.2">
      <c r="A91" s="2">
        <f>Data!A91</f>
        <v>46007</v>
      </c>
      <c r="B91" s="5">
        <f>Data!F91</f>
        <v>5.8193048994166219E-3</v>
      </c>
      <c r="C91" s="5">
        <f>Data!G91</f>
        <v>2.7304850626406196E-3</v>
      </c>
      <c r="D91" s="5">
        <f>Data!H91</f>
        <v>2.606806661839256E-2</v>
      </c>
      <c r="E91" s="5">
        <f>Data!I91</f>
        <v>2.7388922702373808E-3</v>
      </c>
    </row>
    <row r="92" spans="1:5" x14ac:dyDescent="0.2">
      <c r="A92" s="2">
        <f>Data!A92</f>
        <v>46006</v>
      </c>
      <c r="B92" s="5">
        <f>Data!F92</f>
        <v>-6.9434884835002375E-3</v>
      </c>
      <c r="C92" s="5">
        <f>Data!G92</f>
        <v>-3.2113037893388707E-4</v>
      </c>
      <c r="D92" s="5">
        <f>Data!H92</f>
        <v>2.9048656499637282E-3</v>
      </c>
      <c r="E92" s="5">
        <f>Data!I92</f>
        <v>-4.7536231884057978E-2</v>
      </c>
    </row>
    <row r="93" spans="1:5" x14ac:dyDescent="0.2">
      <c r="A93" s="2">
        <f>Data!A93</f>
        <v>46005</v>
      </c>
      <c r="B93" s="5">
        <f>Data!F93</f>
        <v>-4.3639154628436483E-3</v>
      </c>
      <c r="C93" s="5">
        <f>Data!G93</f>
        <v>3.8684719535784229E-3</v>
      </c>
      <c r="D93" s="5">
        <f>Data!H93</f>
        <v>-5.776173285198527E-3</v>
      </c>
      <c r="E93" s="5">
        <f>Data!I93</f>
        <v>0</v>
      </c>
    </row>
    <row r="94" spans="1:5" x14ac:dyDescent="0.2">
      <c r="A94" s="2">
        <f>Data!A94</f>
        <v>46002</v>
      </c>
      <c r="B94" s="5">
        <f>Data!F94</f>
        <v>1.051202858606981E-2</v>
      </c>
      <c r="C94" s="5">
        <f>Data!G94</f>
        <v>1.7049180327868951E-2</v>
      </c>
      <c r="D94" s="5">
        <f>Data!H94</f>
        <v>2.8964518464880129E-3</v>
      </c>
      <c r="E94" s="5">
        <f>Data!I94</f>
        <v>0</v>
      </c>
    </row>
    <row r="95" spans="1:5" x14ac:dyDescent="0.2">
      <c r="A95" s="2">
        <f>Data!A95</f>
        <v>46001</v>
      </c>
      <c r="B95" s="5">
        <f>Data!F95</f>
        <v>6.2743196084333874E-3</v>
      </c>
      <c r="C95" s="5">
        <f>Data!G95</f>
        <v>-1.5970317793192468E-2</v>
      </c>
      <c r="D95" s="5">
        <f>Data!H95</f>
        <v>1.0241404535479059E-2</v>
      </c>
      <c r="E95" s="5">
        <f>Data!I95</f>
        <v>0</v>
      </c>
    </row>
    <row r="96" spans="1:5" x14ac:dyDescent="0.2">
      <c r="A96" s="2">
        <f>Data!A96</f>
        <v>46000</v>
      </c>
      <c r="B96" s="5">
        <f>Data!F96</f>
        <v>4.1311211123797875E-3</v>
      </c>
      <c r="C96" s="5">
        <f>Data!G96</f>
        <v>4.3745949449125465E-3</v>
      </c>
      <c r="D96" s="5">
        <f>Data!H96</f>
        <v>-4.0028089887640395E-2</v>
      </c>
      <c r="E96" s="5">
        <f>Data!I96</f>
        <v>0</v>
      </c>
    </row>
    <row r="97" spans="1:5" x14ac:dyDescent="0.2">
      <c r="A97" s="2">
        <f>Data!A97</f>
        <v>45999</v>
      </c>
      <c r="B97" s="5">
        <f>Data!F97</f>
        <v>1.5473627556512604E-3</v>
      </c>
      <c r="C97" s="5">
        <f>Data!G97</f>
        <v>-1.0104250200481113E-2</v>
      </c>
      <c r="D97" s="5">
        <f>Data!H97</f>
        <v>2.8901734104046284E-2</v>
      </c>
      <c r="E97" s="5">
        <f>Data!I97</f>
        <v>0</v>
      </c>
    </row>
    <row r="98" spans="1:5" x14ac:dyDescent="0.2">
      <c r="A98" s="2">
        <f>Data!A98</f>
        <v>45998</v>
      </c>
      <c r="B98" s="5">
        <f>Data!F98</f>
        <v>8.9543796136550835E-3</v>
      </c>
      <c r="C98" s="5">
        <f>Data!G98</f>
        <v>-1.1885895404120439E-2</v>
      </c>
      <c r="D98" s="5">
        <f>Data!H98</f>
        <v>1.4662756598240456E-2</v>
      </c>
      <c r="E98" s="5">
        <f>Data!I98</f>
        <v>0</v>
      </c>
    </row>
    <row r="99" spans="1:5" x14ac:dyDescent="0.2">
      <c r="A99" s="2">
        <f>Data!A99</f>
        <v>45995</v>
      </c>
      <c r="B99" s="5">
        <f>Data!F99</f>
        <v>6.9776714513556382E-3</v>
      </c>
      <c r="C99" s="5">
        <f>Data!G99</f>
        <v>7.022023619533968E-3</v>
      </c>
      <c r="D99" s="5">
        <f>Data!H99</f>
        <v>-9.4408133623820056E-3</v>
      </c>
      <c r="E99" s="5">
        <f>Data!I99</f>
        <v>0</v>
      </c>
    </row>
    <row r="100" spans="1:5" x14ac:dyDescent="0.2">
      <c r="A100" s="2">
        <f>Data!A100</f>
        <v>45994</v>
      </c>
      <c r="B100" s="5">
        <f>Data!F100</f>
        <v>-7.6197797725371386E-3</v>
      </c>
      <c r="C100" s="5">
        <f>Data!G100</f>
        <v>1.8861788617886122E-2</v>
      </c>
      <c r="D100" s="5">
        <f>Data!H100</f>
        <v>2.0000000000000018E-2</v>
      </c>
      <c r="E100" s="5">
        <f>Data!I100</f>
        <v>-3.1782721756717924E-3</v>
      </c>
    </row>
    <row r="101" spans="1:5" x14ac:dyDescent="0.2">
      <c r="A101" s="2">
        <f>Data!A101</f>
        <v>45993</v>
      </c>
      <c r="B101" s="5">
        <f>Data!F101</f>
        <v>1.750501108621938E-2</v>
      </c>
      <c r="C101" s="5">
        <f>Data!G101</f>
        <v>3.0495978552278924E-2</v>
      </c>
      <c r="D101" s="5">
        <f>Data!H101</f>
        <v>4.7323506594259213E-2</v>
      </c>
      <c r="E101" s="5">
        <f>Data!I101</f>
        <v>3.2826022082960371E-2</v>
      </c>
    </row>
    <row r="102" spans="1:5" x14ac:dyDescent="0.2">
      <c r="A102" s="2">
        <f>Data!A102</f>
        <v>45992</v>
      </c>
      <c r="B102" s="5">
        <f>Data!F102</f>
        <v>-6.868447673349376E-4</v>
      </c>
      <c r="C102" s="5">
        <f>Data!G102</f>
        <v>1.3422818791946067E-3</v>
      </c>
      <c r="D102" s="5">
        <f>Data!H102</f>
        <v>-3.1555221637866282E-2</v>
      </c>
      <c r="E102" s="5">
        <f>Data!I102</f>
        <v>0</v>
      </c>
    </row>
    <row r="103" spans="1:5" x14ac:dyDescent="0.2">
      <c r="A103" s="2">
        <f>Data!A103</f>
        <v>45991</v>
      </c>
      <c r="B103" s="5">
        <f>Data!F103</f>
        <v>1.1949665415184718E-2</v>
      </c>
      <c r="C103" s="5">
        <f>Data!G103</f>
        <v>1.1369421347361186E-2</v>
      </c>
      <c r="D103" s="5">
        <f>Data!H103</f>
        <v>2.4634334103156297E-2</v>
      </c>
      <c r="E103" s="5">
        <f>Data!I103</f>
        <v>-3.3737024221453304E-2</v>
      </c>
    </row>
    <row r="104" spans="1:5" x14ac:dyDescent="0.2">
      <c r="A104" s="2">
        <f>Data!A104</f>
        <v>45988</v>
      </c>
      <c r="B104" s="5">
        <f>Data!F104</f>
        <v>5.5973913933529129E-3</v>
      </c>
      <c r="C104" s="5">
        <f>Data!G104</f>
        <v>1.3587891296869659E-2</v>
      </c>
      <c r="D104" s="5">
        <f>Data!H104</f>
        <v>1.5637216575449475E-2</v>
      </c>
      <c r="E104" s="5">
        <f>Data!I104</f>
        <v>8.658008658009031E-4</v>
      </c>
    </row>
    <row r="105" spans="1:5" x14ac:dyDescent="0.2">
      <c r="A105" s="2">
        <f>Data!A105</f>
        <v>45987</v>
      </c>
      <c r="B105" s="5">
        <f>Data!F105</f>
        <v>8.8777822361743031E-3</v>
      </c>
      <c r="C105" s="5">
        <f>Data!G105</f>
        <v>-1.8237082066869248E-2</v>
      </c>
      <c r="D105" s="5">
        <f>Data!H105</f>
        <v>3.8149350649350655E-2</v>
      </c>
      <c r="E105" s="5">
        <f>Data!I105</f>
        <v>-1.7578678763821909E-2</v>
      </c>
    </row>
    <row r="106" spans="1:5" x14ac:dyDescent="0.2">
      <c r="A106" s="2">
        <f>Data!A106</f>
        <v>45986</v>
      </c>
      <c r="B106" s="5">
        <f>Data!F106</f>
        <v>-6.3383543732299374E-3</v>
      </c>
      <c r="C106" s="5">
        <f>Data!G106</f>
        <v>1.9277108433734869E-2</v>
      </c>
      <c r="D106" s="5">
        <f>Data!H106</f>
        <v>-3.4482758620689613E-2</v>
      </c>
      <c r="E106" s="5">
        <f>Data!I106</f>
        <v>-3.7915984724495311E-2</v>
      </c>
    </row>
    <row r="107" spans="1:5" x14ac:dyDescent="0.2">
      <c r="A107" s="2">
        <f>Data!A107</f>
        <v>45985</v>
      </c>
      <c r="B107" s="5">
        <f>Data!F107</f>
        <v>1.5332775705691803E-2</v>
      </c>
      <c r="C107" s="5">
        <f>Data!G107</f>
        <v>1.2018812053649297E-2</v>
      </c>
      <c r="D107" s="5">
        <f>Data!H107</f>
        <v>-1.0852713178294615E-2</v>
      </c>
      <c r="E107" s="5">
        <f>Data!I107</f>
        <v>0</v>
      </c>
    </row>
    <row r="108" spans="1:5" x14ac:dyDescent="0.2">
      <c r="A108" s="2">
        <f>Data!A108</f>
        <v>45984</v>
      </c>
      <c r="B108" s="5">
        <f>Data!F108</f>
        <v>-1.2007764020821821E-2</v>
      </c>
      <c r="C108" s="5">
        <f>Data!G108</f>
        <v>-1.3743343068201352E-2</v>
      </c>
      <c r="D108" s="5">
        <f>Data!H108</f>
        <v>3.6977491961414755E-2</v>
      </c>
      <c r="E108" s="5">
        <f>Data!I108</f>
        <v>-2.83593957063345E-2</v>
      </c>
    </row>
    <row r="109" spans="1:5" x14ac:dyDescent="0.2">
      <c r="A109" s="2">
        <f>Data!A109</f>
        <v>45981</v>
      </c>
      <c r="B109" s="5">
        <f>Data!F109</f>
        <v>-1.1057725866120638E-2</v>
      </c>
      <c r="C109" s="5">
        <f>Data!G109</f>
        <v>-1.0875106202208995E-2</v>
      </c>
      <c r="D109" s="5">
        <f>Data!H109</f>
        <v>1.6339869281045694E-2</v>
      </c>
      <c r="E109" s="5">
        <f>Data!I109</f>
        <v>0</v>
      </c>
    </row>
    <row r="110" spans="1:5" x14ac:dyDescent="0.2">
      <c r="A110" s="2">
        <f>Data!A110</f>
        <v>45980</v>
      </c>
      <c r="B110" s="5">
        <f>Data!F110</f>
        <v>2.0020690961548571E-3</v>
      </c>
      <c r="C110" s="5">
        <f>Data!G110</f>
        <v>-1.0758110606824633E-2</v>
      </c>
      <c r="D110" s="5">
        <f>Data!H110</f>
        <v>1.3245033112582849E-2</v>
      </c>
      <c r="E110" s="5">
        <f>Data!I110</f>
        <v>-1.7447916666666674E-2</v>
      </c>
    </row>
    <row r="111" spans="1:5" x14ac:dyDescent="0.2">
      <c r="A111" s="2">
        <f>Data!A111</f>
        <v>45979</v>
      </c>
      <c r="B111" s="5">
        <f>Data!F111</f>
        <v>-1.8985894232473655E-2</v>
      </c>
      <c r="C111" s="5">
        <f>Data!G111</f>
        <v>-2.0579519262430068E-2</v>
      </c>
      <c r="D111" s="5">
        <f>Data!H111</f>
        <v>-3.5143769968051131E-2</v>
      </c>
      <c r="E111" s="5">
        <f>Data!I111</f>
        <v>1.1857707509881354E-2</v>
      </c>
    </row>
    <row r="112" spans="1:5" x14ac:dyDescent="0.2">
      <c r="A112" s="2">
        <f>Data!A112</f>
        <v>45978</v>
      </c>
      <c r="B112" s="5">
        <f>Data!F112</f>
        <v>-2.2448962127716854E-3</v>
      </c>
      <c r="C112" s="5">
        <f>Data!G112</f>
        <v>-1.0265602085709591E-2</v>
      </c>
      <c r="D112" s="5">
        <f>Data!H112</f>
        <v>-7.1371927042029881E-3</v>
      </c>
      <c r="E112" s="5">
        <f>Data!I112</f>
        <v>3.125E-2</v>
      </c>
    </row>
    <row r="113" spans="1:5" x14ac:dyDescent="0.2">
      <c r="A113" s="2">
        <f>Data!A113</f>
        <v>45977</v>
      </c>
      <c r="B113" s="5">
        <f>Data!F113</f>
        <v>4.1388831603308418E-3</v>
      </c>
      <c r="C113" s="5">
        <f>Data!G113</f>
        <v>1.1537827591890482E-2</v>
      </c>
      <c r="D113" s="5">
        <f>Data!H113</f>
        <v>1.2851405622489986E-2</v>
      </c>
      <c r="E113" s="5">
        <f>Data!I113</f>
        <v>-6.7476383265856477E-3</v>
      </c>
    </row>
    <row r="114" spans="1:5" x14ac:dyDescent="0.2">
      <c r="A114" s="2">
        <f>Data!A114</f>
        <v>45974</v>
      </c>
      <c r="B114" s="5">
        <f>Data!F114</f>
        <v>1.531868018382454E-3</v>
      </c>
      <c r="C114" s="5">
        <f>Data!G114</f>
        <v>2.9526556931953163E-2</v>
      </c>
      <c r="D114" s="5">
        <f>Data!H114</f>
        <v>0</v>
      </c>
      <c r="E114" s="5">
        <f>Data!I114</f>
        <v>1.3957307060755264E-2</v>
      </c>
    </row>
    <row r="115" spans="1:5" x14ac:dyDescent="0.2">
      <c r="A115" s="2">
        <f>Data!A115</f>
        <v>45973</v>
      </c>
      <c r="B115" s="5">
        <f>Data!F115</f>
        <v>1.3481336329831839E-2</v>
      </c>
      <c r="C115" s="5">
        <f>Data!G115</f>
        <v>5.0933786078100063E-4</v>
      </c>
      <c r="D115" s="5">
        <f>Data!H115</f>
        <v>5.6542810985460434E-3</v>
      </c>
      <c r="E115" s="5">
        <f>Data!I115</f>
        <v>3.2203389830508522E-2</v>
      </c>
    </row>
    <row r="116" spans="1:5" x14ac:dyDescent="0.2">
      <c r="A116" s="2">
        <f>Data!A116</f>
        <v>45972</v>
      </c>
      <c r="B116" s="5">
        <f>Data!F116</f>
        <v>3.138114972833117E-3</v>
      </c>
      <c r="C116" s="5">
        <f>Data!G116</f>
        <v>2.0443520443520491E-2</v>
      </c>
      <c r="D116" s="5">
        <f>Data!H116</f>
        <v>-2.2888713496448276E-2</v>
      </c>
      <c r="E116" s="5">
        <f>Data!I116</f>
        <v>1.5781922525107683E-2</v>
      </c>
    </row>
    <row r="117" spans="1:5" x14ac:dyDescent="0.2">
      <c r="A117" s="2">
        <f>Data!A117</f>
        <v>45971</v>
      </c>
      <c r="B117" s="5">
        <f>Data!F117</f>
        <v>1.0890747581717486E-2</v>
      </c>
      <c r="C117" s="5">
        <f>Data!G117</f>
        <v>6.4516129032257119E-3</v>
      </c>
      <c r="D117" s="5">
        <f>Data!H117</f>
        <v>2.6742301458670958E-2</v>
      </c>
      <c r="E117" s="5">
        <f>Data!I117</f>
        <v>1.7815420560747697E-2</v>
      </c>
    </row>
    <row r="118" spans="1:5" x14ac:dyDescent="0.2">
      <c r="A118" s="2">
        <f>Data!A118</f>
        <v>45970</v>
      </c>
      <c r="B118" s="5">
        <f>Data!F118</f>
        <v>7.4645801247430477E-4</v>
      </c>
      <c r="C118" s="5">
        <f>Data!G118</f>
        <v>-1.6295025728988E-2</v>
      </c>
      <c r="D118" s="5">
        <f>Data!H118</f>
        <v>-1.0425020048115519E-2</v>
      </c>
      <c r="E118" s="5">
        <f>Data!I118</f>
        <v>1.904761904761898E-2</v>
      </c>
    </row>
    <row r="119" spans="1:5" x14ac:dyDescent="0.2">
      <c r="A119" s="2">
        <f>Data!A119</f>
        <v>45967</v>
      </c>
      <c r="B119" s="5">
        <f>Data!F119</f>
        <v>-6.0819687514661602E-3</v>
      </c>
      <c r="C119" s="5">
        <f>Data!G119</f>
        <v>1.7155601303819878E-4</v>
      </c>
      <c r="D119" s="5">
        <f>Data!H119</f>
        <v>-3.7065637065637036E-2</v>
      </c>
      <c r="E119" s="5">
        <f>Data!I119</f>
        <v>-1.2345679012345734E-2</v>
      </c>
    </row>
    <row r="120" spans="1:5" x14ac:dyDescent="0.2">
      <c r="A120" s="2">
        <f>Data!A120</f>
        <v>45966</v>
      </c>
      <c r="B120" s="5">
        <f>Data!F120</f>
        <v>8.2371933227289862E-3</v>
      </c>
      <c r="C120" s="5">
        <f>Data!G120</f>
        <v>1.1101474414570767E-2</v>
      </c>
      <c r="D120" s="5">
        <f>Data!H120</f>
        <v>-2.3112480739599928E-3</v>
      </c>
      <c r="E120" s="5">
        <f>Data!I120</f>
        <v>2.1621621621621623E-2</v>
      </c>
    </row>
    <row r="121" spans="1:5" x14ac:dyDescent="0.2">
      <c r="A121" s="2">
        <f>Data!A121</f>
        <v>45965</v>
      </c>
      <c r="B121" s="5">
        <f>Data!F121</f>
        <v>-1.9711410782260463E-3</v>
      </c>
      <c r="C121" s="5">
        <f>Data!G121</f>
        <v>-1.7887563884156688E-2</v>
      </c>
      <c r="D121" s="5">
        <f>Data!H121</f>
        <v>6.2015503875969546E-3</v>
      </c>
      <c r="E121" s="5">
        <f>Data!I121</f>
        <v>-2.0588235294117685E-2</v>
      </c>
    </row>
    <row r="122" spans="1:5" x14ac:dyDescent="0.2">
      <c r="A122" s="2">
        <f>Data!A122</f>
        <v>45964</v>
      </c>
      <c r="B122" s="5">
        <f>Data!F122</f>
        <v>7.5876053255949927E-3</v>
      </c>
      <c r="C122" s="5">
        <f>Data!G122</f>
        <v>-1.8722835172183205E-2</v>
      </c>
      <c r="D122" s="5">
        <f>Data!H122</f>
        <v>-2.3201856148491462E-3</v>
      </c>
      <c r="E122" s="5">
        <f>Data!I122</f>
        <v>-1.1750881316098249E-3</v>
      </c>
    </row>
    <row r="123" spans="1:5" x14ac:dyDescent="0.2">
      <c r="A123" s="2">
        <f>Data!A123</f>
        <v>45963</v>
      </c>
      <c r="B123" s="5">
        <f>Data!F123</f>
        <v>7.3709779349879767E-3</v>
      </c>
      <c r="C123" s="5">
        <f>Data!G123</f>
        <v>1.1669203450025423E-2</v>
      </c>
      <c r="D123" s="5">
        <f>Data!H123</f>
        <v>2.3255813953488857E-3</v>
      </c>
      <c r="E123" s="5">
        <f>Data!I123</f>
        <v>4.4260843906758218E-3</v>
      </c>
    </row>
    <row r="124" spans="1:5" x14ac:dyDescent="0.2">
      <c r="A124" s="2">
        <f>Data!A124</f>
        <v>45960</v>
      </c>
      <c r="B124" s="5">
        <f>Data!F124</f>
        <v>2.6697658774490485E-3</v>
      </c>
      <c r="C124" s="5">
        <f>Data!G124</f>
        <v>7.8404636100222191E-3</v>
      </c>
      <c r="D124" s="5">
        <f>Data!H124</f>
        <v>-7.7459333849727585E-4</v>
      </c>
      <c r="E124" s="5">
        <f>Data!I124</f>
        <v>-4.3465989274625971E-2</v>
      </c>
    </row>
    <row r="125" spans="1:5" x14ac:dyDescent="0.2">
      <c r="A125" s="2">
        <f>Data!A125</f>
        <v>45959</v>
      </c>
      <c r="B125" s="5">
        <f>Data!F125</f>
        <v>1.5439505984600199E-2</v>
      </c>
      <c r="C125" s="5">
        <f>Data!G125</f>
        <v>9.6368955429357861E-3</v>
      </c>
      <c r="D125" s="5">
        <f>Data!H125</f>
        <v>1.9747235387045814E-2</v>
      </c>
      <c r="E125" s="5">
        <f>Data!I125</f>
        <v>3.778558875219673E-2</v>
      </c>
    </row>
    <row r="126" spans="1:5" x14ac:dyDescent="0.2">
      <c r="A126" s="2">
        <f>Data!A126</f>
        <v>45958</v>
      </c>
      <c r="B126" s="5">
        <f>Data!F126</f>
        <v>-9.3708368199573178E-3</v>
      </c>
      <c r="C126" s="5">
        <f>Data!G126</f>
        <v>-3.2590051457975777E-3</v>
      </c>
      <c r="D126" s="5">
        <f>Data!H126</f>
        <v>-8.6139389193422566E-3</v>
      </c>
      <c r="E126" s="5">
        <f>Data!I126</f>
        <v>2.2461814914645162E-2</v>
      </c>
    </row>
    <row r="127" spans="1:5" x14ac:dyDescent="0.2">
      <c r="A127" s="2">
        <f>Data!A127</f>
        <v>45957</v>
      </c>
      <c r="B127" s="5">
        <f>Data!F127</f>
        <v>-1.7216174747203272E-4</v>
      </c>
      <c r="C127" s="5">
        <f>Data!G127</f>
        <v>-3.5891300632370227E-3</v>
      </c>
      <c r="D127" s="5">
        <f>Data!H127</f>
        <v>0</v>
      </c>
      <c r="E127" s="5">
        <f>Data!I127</f>
        <v>1.1818181818181728E-2</v>
      </c>
    </row>
    <row r="128" spans="1:5" x14ac:dyDescent="0.2">
      <c r="A128" s="2">
        <f>Data!A128</f>
        <v>45956</v>
      </c>
      <c r="B128" s="5">
        <f>Data!F128</f>
        <v>1.0320352027146651E-2</v>
      </c>
      <c r="C128" s="5">
        <f>Data!G128</f>
        <v>6.7102546455608536E-3</v>
      </c>
      <c r="D128" s="5">
        <f>Data!H128</f>
        <v>-2.5190839694656519E-2</v>
      </c>
      <c r="E128" s="5">
        <f>Data!I128</f>
        <v>6.4516129032258007E-2</v>
      </c>
    </row>
    <row r="129" spans="1:5" x14ac:dyDescent="0.2">
      <c r="A129" s="2">
        <f>Data!A129</f>
        <v>45953</v>
      </c>
      <c r="B129" s="5">
        <f>Data!F129</f>
        <v>6.8887113623794516E-3</v>
      </c>
      <c r="C129" s="5">
        <f>Data!G129</f>
        <v>2.1441124780316345E-2</v>
      </c>
      <c r="D129" s="5">
        <f>Data!H129</f>
        <v>6.9177555726365192E-3</v>
      </c>
      <c r="E129" s="5">
        <f>Data!I129</f>
        <v>-7.6824583866836882E-3</v>
      </c>
    </row>
    <row r="130" spans="1:5" x14ac:dyDescent="0.2">
      <c r="A130" s="2">
        <f>Data!A130</f>
        <v>45952</v>
      </c>
      <c r="B130" s="5">
        <f>Data!F130</f>
        <v>1.5355688836506953E-3</v>
      </c>
      <c r="C130" s="5">
        <f>Data!G130</f>
        <v>-1.7543859649122862E-3</v>
      </c>
      <c r="D130" s="5">
        <f>Data!H130</f>
        <v>1.2451361867704236E-2</v>
      </c>
      <c r="E130" s="5">
        <f>Data!I130</f>
        <v>7.7419354838710319E-3</v>
      </c>
    </row>
    <row r="131" spans="1:5" x14ac:dyDescent="0.2">
      <c r="A131" s="2">
        <f>Data!A131</f>
        <v>45951</v>
      </c>
      <c r="B131" s="5">
        <f>Data!F131</f>
        <v>-9.766398712846458E-3</v>
      </c>
      <c r="C131" s="5">
        <f>Data!G131</f>
        <v>-1.6223679668622704E-2</v>
      </c>
      <c r="D131" s="5">
        <f>Data!H131</f>
        <v>1.1811023622047223E-2</v>
      </c>
      <c r="E131" s="5">
        <f>Data!I131</f>
        <v>2.7510772290354701E-2</v>
      </c>
    </row>
    <row r="132" spans="1:5" x14ac:dyDescent="0.2">
      <c r="A132" s="2">
        <f>Data!A132</f>
        <v>45950</v>
      </c>
      <c r="B132" s="5">
        <f>Data!F132</f>
        <v>8.0139576172528759E-3</v>
      </c>
      <c r="C132" s="5">
        <f>Data!G132</f>
        <v>1.0111576011157641E-2</v>
      </c>
      <c r="D132" s="5">
        <f>Data!H132</f>
        <v>1.195219123505975E-2</v>
      </c>
      <c r="E132" s="5">
        <f>Data!I132</f>
        <v>1.7881241565452122E-2</v>
      </c>
    </row>
    <row r="133" spans="1:5" x14ac:dyDescent="0.2">
      <c r="A133" s="2">
        <f>Data!A133</f>
        <v>45949</v>
      </c>
      <c r="B133" s="5">
        <f>Data!F133</f>
        <v>-1.3023983410792139E-2</v>
      </c>
      <c r="C133" s="5">
        <f>Data!G133</f>
        <v>-6.5812261863525956E-3</v>
      </c>
      <c r="D133" s="5">
        <f>Data!H133</f>
        <v>-7.9617834394907216E-4</v>
      </c>
      <c r="E133" s="5">
        <f>Data!I133</f>
        <v>0</v>
      </c>
    </row>
    <row r="134" spans="1:5" x14ac:dyDescent="0.2">
      <c r="A134" s="2">
        <f>Data!A134</f>
        <v>45946</v>
      </c>
      <c r="B134" s="5">
        <f>Data!F134</f>
        <v>-8.044435355819668E-3</v>
      </c>
      <c r="C134" s="5">
        <f>Data!G134</f>
        <v>-4.3110881186411154E-3</v>
      </c>
      <c r="D134" s="5">
        <f>Data!H134</f>
        <v>-2.3828435266084469E-3</v>
      </c>
      <c r="E134" s="5">
        <f>Data!I134</f>
        <v>-1.2000000000000011E-2</v>
      </c>
    </row>
    <row r="135" spans="1:5" x14ac:dyDescent="0.2">
      <c r="A135" s="2">
        <f>Data!A135</f>
        <v>45945</v>
      </c>
      <c r="B135" s="5">
        <f>Data!F135</f>
        <v>-2.7058066610941012E-4</v>
      </c>
      <c r="C135" s="5">
        <f>Data!G135</f>
        <v>-4.8408270429931122E-2</v>
      </c>
      <c r="D135" s="5">
        <f>Data!H135</f>
        <v>1.6142050040355072E-2</v>
      </c>
      <c r="E135" s="5">
        <f>Data!I135</f>
        <v>0</v>
      </c>
    </row>
    <row r="136" spans="1:5" x14ac:dyDescent="0.2">
      <c r="A136" s="2">
        <f>Data!A136</f>
        <v>45942</v>
      </c>
      <c r="B136" s="5">
        <f>Data!F136</f>
        <v>-9.514223689970347E-3</v>
      </c>
      <c r="C136" s="5">
        <f>Data!G136</f>
        <v>3.5514018691588767E-2</v>
      </c>
      <c r="D136" s="5">
        <f>Data!H136</f>
        <v>-1.6666666666666718E-2</v>
      </c>
      <c r="E136" s="5">
        <f>Data!I136</f>
        <v>6.6711140760511434E-4</v>
      </c>
    </row>
    <row r="137" spans="1:5" x14ac:dyDescent="0.2">
      <c r="A137" s="2">
        <f>Data!A137</f>
        <v>45939</v>
      </c>
      <c r="B137" s="5">
        <f>Data!F137</f>
        <v>2.862455125770369E-2</v>
      </c>
      <c r="C137" s="5">
        <f>Data!G137</f>
        <v>4.7898860398860377E-2</v>
      </c>
      <c r="D137" s="5">
        <f>Data!H137</f>
        <v>-7.2847682119205337E-2</v>
      </c>
      <c r="E137" s="5">
        <f>Data!I137</f>
        <v>6.5766086029150461E-2</v>
      </c>
    </row>
    <row r="138" spans="1:5" x14ac:dyDescent="0.2">
      <c r="A138" s="2">
        <f>Data!A138</f>
        <v>45938</v>
      </c>
      <c r="B138" s="5">
        <f>Data!F138</f>
        <v>-1.6940756279394398E-3</v>
      </c>
      <c r="C138" s="5">
        <f>Data!G138</f>
        <v>-1.4909664971057723E-2</v>
      </c>
      <c r="D138" s="5">
        <f>Data!H138</f>
        <v>7.5158227848101333E-2</v>
      </c>
      <c r="E138" s="5">
        <f>Data!I138</f>
        <v>3.9926062846580512E-2</v>
      </c>
    </row>
    <row r="139" spans="1:5" x14ac:dyDescent="0.2">
      <c r="A139" s="2">
        <f>Data!A139</f>
        <v>45935</v>
      </c>
      <c r="B139" s="5">
        <f>Data!F139</f>
        <v>6.2122503484582925E-3</v>
      </c>
      <c r="C139" s="5">
        <f>Data!G139</f>
        <v>2.999096657633249E-2</v>
      </c>
      <c r="D139" s="5">
        <f>Data!H139</f>
        <v>1.5261044176706928E-2</v>
      </c>
      <c r="E139" s="5">
        <f>Data!I139</f>
        <v>2.3071104387291985E-2</v>
      </c>
    </row>
    <row r="140" spans="1:5" x14ac:dyDescent="0.2">
      <c r="A140" s="2">
        <f>Data!A140</f>
        <v>45930</v>
      </c>
      <c r="B140" s="5">
        <f>Data!F140</f>
        <v>3.0518932836152146E-2</v>
      </c>
      <c r="C140" s="5">
        <f>Data!G140</f>
        <v>4.6313799621928275E-2</v>
      </c>
      <c r="D140" s="5">
        <f>Data!H140</f>
        <v>7.6989619377162644E-2</v>
      </c>
      <c r="E140" s="5">
        <f>Data!I140</f>
        <v>1.6923076923076819E-2</v>
      </c>
    </row>
    <row r="141" spans="1:5" x14ac:dyDescent="0.2">
      <c r="A141" s="2">
        <f>Data!A141</f>
        <v>45929</v>
      </c>
      <c r="B141" s="5">
        <f>Data!F141</f>
        <v>-2.3882353313320337E-3</v>
      </c>
      <c r="C141" s="5">
        <f>Data!G141</f>
        <v>-2.639517345399689E-3</v>
      </c>
      <c r="D141" s="5">
        <f>Data!H141</f>
        <v>-5.1635111876076056E-3</v>
      </c>
      <c r="E141" s="5">
        <f>Data!I141</f>
        <v>-1.8867924528301883E-2</v>
      </c>
    </row>
    <row r="142" spans="1:5" x14ac:dyDescent="0.2">
      <c r="A142" s="2">
        <f>Data!A142</f>
        <v>45928</v>
      </c>
      <c r="B142" s="5">
        <f>Data!F142</f>
        <v>2.9994102832269443E-2</v>
      </c>
      <c r="C142" s="5">
        <f>Data!G142</f>
        <v>2.6911907066795804E-2</v>
      </c>
      <c r="D142" s="5">
        <f>Data!H142</f>
        <v>-9.377664109121886E-3</v>
      </c>
      <c r="E142" s="5">
        <f>Data!I142</f>
        <v>1.7665130568356391E-2</v>
      </c>
    </row>
    <row r="143" spans="1:5" x14ac:dyDescent="0.2">
      <c r="A143" s="2">
        <f>Data!A143</f>
        <v>45925</v>
      </c>
      <c r="B143" s="5">
        <f>Data!F143</f>
        <v>1.2602810228730998E-2</v>
      </c>
      <c r="C143" s="5">
        <f>Data!G143</f>
        <v>1.1951410658307182E-2</v>
      </c>
      <c r="D143" s="5">
        <f>Data!H143</f>
        <v>1.8229166666666741E-2</v>
      </c>
      <c r="E143" s="5">
        <f>Data!I143</f>
        <v>-1.5128593040847238E-2</v>
      </c>
    </row>
    <row r="144" spans="1:5" x14ac:dyDescent="0.2">
      <c r="A144" s="2">
        <f>Data!A144</f>
        <v>45921</v>
      </c>
      <c r="B144" s="5">
        <f>Data!F144</f>
        <v>-1.633348477964558E-2</v>
      </c>
      <c r="C144" s="5">
        <f>Data!G144</f>
        <v>-2.9842235316479782E-2</v>
      </c>
      <c r="D144" s="5">
        <f>Data!H144</f>
        <v>-3.4367141659681466E-2</v>
      </c>
      <c r="E144" s="5">
        <f>Data!I144</f>
        <v>6.0882800608828003E-3</v>
      </c>
    </row>
    <row r="145" spans="1:5" x14ac:dyDescent="0.2">
      <c r="A145" s="2">
        <f>Data!A145</f>
        <v>45918</v>
      </c>
      <c r="B145" s="5">
        <f>Data!F145</f>
        <v>1.3225129719385276E-2</v>
      </c>
      <c r="C145" s="5">
        <f>Data!G145</f>
        <v>2.2943807116468928E-2</v>
      </c>
      <c r="D145" s="5">
        <f>Data!H145</f>
        <v>-9.9585062240663547E-3</v>
      </c>
      <c r="E145" s="5">
        <f>Data!I145</f>
        <v>0</v>
      </c>
    </row>
    <row r="146" spans="1:5" x14ac:dyDescent="0.2">
      <c r="A146" s="2">
        <f>Data!A146</f>
        <v>45917</v>
      </c>
      <c r="B146" s="5">
        <f>Data!F146</f>
        <v>-1.9875275955975935E-2</v>
      </c>
      <c r="C146" s="5">
        <f>Data!G146</f>
        <v>-1.4939666730511392E-2</v>
      </c>
      <c r="D146" s="5">
        <f>Data!H146</f>
        <v>-2.7441485068603666E-2</v>
      </c>
      <c r="E146" s="5">
        <f>Data!I146</f>
        <v>0</v>
      </c>
    </row>
    <row r="147" spans="1:5" x14ac:dyDescent="0.2">
      <c r="A147" s="2">
        <f>Data!A147</f>
        <v>45916</v>
      </c>
      <c r="B147" s="5">
        <f>Data!F147</f>
        <v>-3.8748988738074308E-3</v>
      </c>
      <c r="C147" s="5">
        <f>Data!G147</f>
        <v>-1.1735756199129255E-2</v>
      </c>
      <c r="D147" s="5">
        <f>Data!H147</f>
        <v>4.0518638573743271E-3</v>
      </c>
      <c r="E147" s="5">
        <f>Data!I147</f>
        <v>0</v>
      </c>
    </row>
    <row r="148" spans="1:5" x14ac:dyDescent="0.2">
      <c r="A148" s="2">
        <f>Data!A148</f>
        <v>45915</v>
      </c>
      <c r="B148" s="5">
        <f>Data!F148</f>
        <v>-5.5232391083639421E-3</v>
      </c>
      <c r="C148" s="5">
        <f>Data!G148</f>
        <v>-2.0941438102297982E-2</v>
      </c>
      <c r="D148" s="5">
        <f>Data!H148</f>
        <v>-9.6308186195827039E-3</v>
      </c>
      <c r="E148" s="5">
        <f>Data!I148</f>
        <v>0</v>
      </c>
    </row>
    <row r="149" spans="1:5" x14ac:dyDescent="0.2">
      <c r="A149" s="2">
        <f>Data!A149</f>
        <v>45914</v>
      </c>
      <c r="B149" s="5">
        <f>Data!F149</f>
        <v>-9.5934938783770463E-3</v>
      </c>
      <c r="C149" s="5">
        <f>Data!G149</f>
        <v>-1.8528812303131303E-4</v>
      </c>
      <c r="D149" s="5">
        <f>Data!H149</f>
        <v>-1.1111111111111072E-2</v>
      </c>
      <c r="E149" s="5">
        <f>Data!I149</f>
        <v>4.203286205578971E-3</v>
      </c>
    </row>
    <row r="150" spans="1:5" x14ac:dyDescent="0.2">
      <c r="A150" s="2">
        <f>Data!A150</f>
        <v>45911</v>
      </c>
      <c r="B150" s="5">
        <f>Data!F150</f>
        <v>-1.0698332061212068E-2</v>
      </c>
      <c r="C150" s="5">
        <f>Data!G150</f>
        <v>5.9645852749301564E-3</v>
      </c>
      <c r="D150" s="5">
        <f>Data!H150</f>
        <v>-7.0921985815602939E-3</v>
      </c>
      <c r="E150" s="5">
        <f>Data!I150</f>
        <v>0</v>
      </c>
    </row>
    <row r="151" spans="1:5" x14ac:dyDescent="0.2">
      <c r="A151" s="2">
        <f>Data!A151</f>
        <v>45910</v>
      </c>
      <c r="B151" s="5">
        <f>Data!F151</f>
        <v>-2.306383908368792E-3</v>
      </c>
      <c r="C151" s="5">
        <f>Data!G151</f>
        <v>-1.1059907834101379E-2</v>
      </c>
      <c r="D151" s="5">
        <f>Data!H151</f>
        <v>-7.8740157480317041E-4</v>
      </c>
      <c r="E151" s="5">
        <f>Data!I151</f>
        <v>0</v>
      </c>
    </row>
    <row r="152" spans="1:5" x14ac:dyDescent="0.2">
      <c r="A152" s="2">
        <f>Data!A152</f>
        <v>45909</v>
      </c>
      <c r="B152" s="5">
        <f>Data!F152</f>
        <v>1.698062304603809E-2</v>
      </c>
      <c r="C152" s="5">
        <f>Data!G152</f>
        <v>3.6690235046818342E-2</v>
      </c>
      <c r="D152" s="5">
        <f>Data!H152</f>
        <v>1.7628205128205066E-2</v>
      </c>
      <c r="E152" s="5">
        <f>Data!I152</f>
        <v>0</v>
      </c>
    </row>
    <row r="153" spans="1:5" x14ac:dyDescent="0.2">
      <c r="A153" s="2">
        <f>Data!A153</f>
        <v>45908</v>
      </c>
      <c r="B153" s="5">
        <f>Data!F153</f>
        <v>-1.7331406917353576E-3</v>
      </c>
      <c r="C153" s="5">
        <f>Data!G153</f>
        <v>-1.5057406361754233E-2</v>
      </c>
      <c r="D153" s="5">
        <f>Data!H153</f>
        <v>-9.52380952380949E-3</v>
      </c>
      <c r="E153" s="5">
        <f>Data!I153</f>
        <v>0</v>
      </c>
    </row>
    <row r="154" spans="1:5" x14ac:dyDescent="0.2">
      <c r="A154" s="2">
        <f>Data!A154</f>
        <v>45907</v>
      </c>
      <c r="B154" s="5">
        <f>Data!F154</f>
        <v>1.4911166492483252E-2</v>
      </c>
      <c r="C154" s="5">
        <f>Data!G154</f>
        <v>-7.2869955156951161E-3</v>
      </c>
      <c r="D154" s="5">
        <f>Data!H154</f>
        <v>1.7770597738287597E-2</v>
      </c>
      <c r="E154" s="5">
        <f>Data!I154</f>
        <v>0</v>
      </c>
    </row>
    <row r="155" spans="1:5" x14ac:dyDescent="0.2">
      <c r="A155" s="2">
        <f>Data!A155</f>
        <v>45904</v>
      </c>
      <c r="B155" s="5">
        <f>Data!F155</f>
        <v>1.0850450368453668E-2</v>
      </c>
      <c r="C155" s="5">
        <f>Data!G155</f>
        <v>2.0205871139916232E-2</v>
      </c>
      <c r="D155" s="5">
        <f>Data!H155</f>
        <v>6.2660944206008651E-2</v>
      </c>
      <c r="E155" s="5">
        <f>Data!I155</f>
        <v>0</v>
      </c>
    </row>
    <row r="156" spans="1:5" x14ac:dyDescent="0.2">
      <c r="A156" s="2">
        <f>Data!A156</f>
        <v>45903</v>
      </c>
      <c r="B156" s="5">
        <f>Data!F156</f>
        <v>8.3946295349355271E-3</v>
      </c>
      <c r="C156" s="5">
        <f>Data!G156</f>
        <v>-1.0188679245282994E-2</v>
      </c>
      <c r="D156" s="5">
        <f>Data!H156</f>
        <v>5.0495942290351703E-2</v>
      </c>
      <c r="E156" s="5">
        <f>Data!I156</f>
        <v>0</v>
      </c>
    </row>
    <row r="157" spans="1:5" x14ac:dyDescent="0.2">
      <c r="A157" s="2">
        <f>Data!A157</f>
        <v>45902</v>
      </c>
      <c r="B157" s="5">
        <f>Data!F157</f>
        <v>-1.5353432332901873E-2</v>
      </c>
      <c r="C157" s="5">
        <f>Data!G157</f>
        <v>-2.9304029304029311E-2</v>
      </c>
      <c r="D157" s="5">
        <f>Data!H157</f>
        <v>-3.5652173913043428E-2</v>
      </c>
      <c r="E157" s="5">
        <f>Data!I157</f>
        <v>0</v>
      </c>
    </row>
    <row r="158" spans="1:5" x14ac:dyDescent="0.2">
      <c r="A158" s="2">
        <f>Data!A158</f>
        <v>45901</v>
      </c>
      <c r="B158" s="5">
        <f>Data!F158</f>
        <v>-5.3802618864945417E-3</v>
      </c>
      <c r="C158" s="5">
        <f>Data!G158</f>
        <v>-1.645639056500281E-3</v>
      </c>
      <c r="D158" s="5">
        <f>Data!H158</f>
        <v>1.3215859030837107E-2</v>
      </c>
      <c r="E158" s="5">
        <f>Data!I158</f>
        <v>8.0893682588598637E-3</v>
      </c>
    </row>
    <row r="159" spans="1:5" x14ac:dyDescent="0.2">
      <c r="A159" s="2">
        <f>Data!A159</f>
        <v>45900</v>
      </c>
      <c r="B159" s="5">
        <f>Data!F159</f>
        <v>-4.6427361788331512E-3</v>
      </c>
      <c r="C159" s="5">
        <f>Data!G159</f>
        <v>5.330882352941213E-3</v>
      </c>
      <c r="D159" s="5">
        <f>Data!H159</f>
        <v>-6.1295971978984065E-3</v>
      </c>
      <c r="E159" s="5">
        <f>Data!I159</f>
        <v>2.3659305993690927E-2</v>
      </c>
    </row>
    <row r="160" spans="1:5" x14ac:dyDescent="0.2">
      <c r="A160" s="2">
        <f>Data!A160</f>
        <v>45897</v>
      </c>
      <c r="B160" s="5">
        <f>Data!F160</f>
        <v>-1.2669174971837727E-3</v>
      </c>
      <c r="C160" s="5">
        <f>Data!G160</f>
        <v>-7.2992700729926918E-3</v>
      </c>
      <c r="D160" s="5">
        <f>Data!H160</f>
        <v>1.873327386262269E-2</v>
      </c>
      <c r="E160" s="5">
        <f>Data!I160</f>
        <v>-1.8195896244676768E-2</v>
      </c>
    </row>
    <row r="161" spans="1:5" x14ac:dyDescent="0.2">
      <c r="A161" s="2">
        <f>Data!A161</f>
        <v>45896</v>
      </c>
      <c r="B161" s="5">
        <f>Data!F161</f>
        <v>1.6045669427247056E-3</v>
      </c>
      <c r="C161" s="5">
        <f>Data!G161</f>
        <v>-5.922746781115884E-2</v>
      </c>
      <c r="D161" s="5">
        <f>Data!H161</f>
        <v>-5.8774139378673373E-2</v>
      </c>
      <c r="E161" s="5">
        <f>Data!I161</f>
        <v>-1.7123287671232834E-2</v>
      </c>
    </row>
    <row r="162" spans="1:5" x14ac:dyDescent="0.2">
      <c r="A162" s="2">
        <f>Data!A162</f>
        <v>45895</v>
      </c>
      <c r="B162" s="5">
        <f>Data!F162</f>
        <v>4.2499510485245473E-3</v>
      </c>
      <c r="C162" s="5">
        <f>Data!G162</f>
        <v>-9.3537414965986221E-3</v>
      </c>
      <c r="D162" s="5">
        <f>Data!H162</f>
        <v>5.7726465364120738E-2</v>
      </c>
      <c r="E162" s="5">
        <f>Data!I162</f>
        <v>-1.8989745537409952E-3</v>
      </c>
    </row>
    <row r="163" spans="1:5" x14ac:dyDescent="0.2">
      <c r="A163" s="2">
        <f>Data!A163</f>
        <v>45894</v>
      </c>
      <c r="B163" s="5">
        <f>Data!F163</f>
        <v>-6.0951549933763172E-4</v>
      </c>
      <c r="C163" s="5">
        <f>Data!G163</f>
        <v>-2.5445292620864812E-3</v>
      </c>
      <c r="D163" s="5">
        <f>Data!H163</f>
        <v>-3.7606837606837584E-2</v>
      </c>
      <c r="E163" s="5">
        <f>Data!I163</f>
        <v>1.6602316602316591E-2</v>
      </c>
    </row>
    <row r="164" spans="1:5" x14ac:dyDescent="0.2">
      <c r="A164" s="2">
        <f>Data!A164</f>
        <v>45893</v>
      </c>
      <c r="B164" s="5">
        <f>Data!F164</f>
        <v>1.732955194459751E-2</v>
      </c>
      <c r="C164" s="5">
        <f>Data!G164</f>
        <v>1.4804613530728261E-2</v>
      </c>
      <c r="D164" s="5">
        <f>Data!H164</f>
        <v>-8.4745762711864181E-3</v>
      </c>
      <c r="E164" s="5">
        <f>Data!I164</f>
        <v>-4.6118370484242721E-3</v>
      </c>
    </row>
    <row r="165" spans="1:5" x14ac:dyDescent="0.2">
      <c r="A165" s="2">
        <f>Data!A165</f>
        <v>45890</v>
      </c>
      <c r="B165" s="5">
        <f>Data!F165</f>
        <v>6.8776288117771145E-3</v>
      </c>
      <c r="C165" s="5">
        <f>Data!G165</f>
        <v>-2.2876366694701389E-2</v>
      </c>
      <c r="D165" s="5">
        <f>Data!H165</f>
        <v>-5.0590219224283528E-3</v>
      </c>
      <c r="E165" s="5">
        <f>Data!I165</f>
        <v>0</v>
      </c>
    </row>
    <row r="166" spans="1:5" x14ac:dyDescent="0.2">
      <c r="A166" s="2">
        <f>Data!A166</f>
        <v>45889</v>
      </c>
      <c r="B166" s="5">
        <f>Data!F166</f>
        <v>-8.710267953119688E-3</v>
      </c>
      <c r="C166" s="5">
        <f>Data!G166</f>
        <v>-4.1876046901172526E-3</v>
      </c>
      <c r="D166" s="5">
        <f>Data!H166</f>
        <v>9.3617021276595214E-3</v>
      </c>
      <c r="E166" s="5">
        <f>Data!I166</f>
        <v>0</v>
      </c>
    </row>
    <row r="167" spans="1:5" x14ac:dyDescent="0.2">
      <c r="A167" s="2">
        <f>Data!A167</f>
        <v>45888</v>
      </c>
      <c r="B167" s="5">
        <f>Data!F167</f>
        <v>6.5146045828456955E-3</v>
      </c>
      <c r="C167" s="5">
        <f>Data!G167</f>
        <v>1.0152284263959421E-2</v>
      </c>
      <c r="D167" s="5">
        <f>Data!H167</f>
        <v>8.2949308755760454E-2</v>
      </c>
      <c r="E167" s="5">
        <f>Data!I167</f>
        <v>0</v>
      </c>
    </row>
    <row r="168" spans="1:5" x14ac:dyDescent="0.2">
      <c r="A168" s="2">
        <f>Data!A168</f>
        <v>45887</v>
      </c>
      <c r="B168" s="5">
        <f>Data!F168</f>
        <v>-1.9698372757346316E-3</v>
      </c>
      <c r="C168" s="5">
        <f>Data!G168</f>
        <v>-1.0050251256281451E-2</v>
      </c>
      <c r="D168" s="5">
        <f>Data!H168</f>
        <v>3.728489483747599E-2</v>
      </c>
      <c r="E168" s="5">
        <f>Data!I168</f>
        <v>0</v>
      </c>
    </row>
    <row r="169" spans="1:5" x14ac:dyDescent="0.2">
      <c r="A169" s="2">
        <f>Data!A169</f>
        <v>45886</v>
      </c>
      <c r="B169" s="5">
        <f>Data!F169</f>
        <v>7.8488535067555709E-3</v>
      </c>
      <c r="C169" s="5">
        <f>Data!G169</f>
        <v>-6.4902646030953193E-3</v>
      </c>
      <c r="D169" s="5">
        <f>Data!H169</f>
        <v>9.6525096525097442E-3</v>
      </c>
      <c r="E169" s="5">
        <f>Data!I169</f>
        <v>1.9592476489028288E-2</v>
      </c>
    </row>
    <row r="170" spans="1:5" x14ac:dyDescent="0.2">
      <c r="A170" s="2">
        <f>Data!A170</f>
        <v>45883</v>
      </c>
      <c r="B170" s="5">
        <f>Data!F170</f>
        <v>8.5680169497726055E-3</v>
      </c>
      <c r="C170" s="5">
        <f>Data!G170</f>
        <v>3.9080062251426684E-2</v>
      </c>
      <c r="D170" s="5">
        <f>Data!H170</f>
        <v>2.0689655172413834E-2</v>
      </c>
      <c r="E170" s="5">
        <f>Data!I170</f>
        <v>3.9200313602516523E-4</v>
      </c>
    </row>
    <row r="171" spans="1:5" x14ac:dyDescent="0.2">
      <c r="A171" s="2">
        <f>Data!A171</f>
        <v>45882</v>
      </c>
      <c r="B171" s="5">
        <f>Data!F171</f>
        <v>2.2260681522988435E-2</v>
      </c>
      <c r="C171" s="5">
        <f>Data!G171</f>
        <v>1.4561403508771997E-2</v>
      </c>
      <c r="D171" s="5">
        <f>Data!H171</f>
        <v>1.2974051896207595E-2</v>
      </c>
      <c r="E171" s="5">
        <f>Data!I171</f>
        <v>4.3307086614172707E-3</v>
      </c>
    </row>
    <row r="172" spans="1:5" x14ac:dyDescent="0.2">
      <c r="A172" s="2">
        <f>Data!A172</f>
        <v>45881</v>
      </c>
      <c r="B172" s="5">
        <f>Data!F172</f>
        <v>-1.7586873812092674E-2</v>
      </c>
      <c r="C172" s="5">
        <f>Data!G172</f>
        <v>-1.0931806350858886E-2</v>
      </c>
      <c r="D172" s="5">
        <f>Data!H172</f>
        <v>-4.5714285714285707E-2</v>
      </c>
      <c r="E172" s="5">
        <f>Data!I172</f>
        <v>-1.5503875968992276E-2</v>
      </c>
    </row>
    <row r="173" spans="1:5" x14ac:dyDescent="0.2">
      <c r="A173" s="2">
        <f>Data!A173</f>
        <v>45880</v>
      </c>
      <c r="B173" s="5">
        <f>Data!F173</f>
        <v>-8.9350150627337532E-3</v>
      </c>
      <c r="C173" s="5">
        <f>Data!G173</f>
        <v>-2.7341772151898702E-2</v>
      </c>
      <c r="D173" s="5">
        <f>Data!H173</f>
        <v>-2.0522388059701524E-2</v>
      </c>
      <c r="E173" s="5">
        <f>Data!I173</f>
        <v>0</v>
      </c>
    </row>
    <row r="174" spans="1:5" x14ac:dyDescent="0.2">
      <c r="A174" s="2">
        <f>Data!A174</f>
        <v>45879</v>
      </c>
      <c r="B174" s="5">
        <f>Data!F174</f>
        <v>1.4079684163880168E-2</v>
      </c>
      <c r="C174" s="5">
        <f>Data!G174</f>
        <v>1.4728549409145364E-2</v>
      </c>
      <c r="D174" s="5">
        <f>Data!H174</f>
        <v>-1.1070110701106972E-2</v>
      </c>
      <c r="E174" s="5">
        <f>Data!I174</f>
        <v>7.8125E-3</v>
      </c>
    </row>
    <row r="175" spans="1:5" x14ac:dyDescent="0.2">
      <c r="A175" s="2">
        <f>Data!A175</f>
        <v>45876</v>
      </c>
      <c r="B175" s="5">
        <f>Data!F175</f>
        <v>7.8954176339962601E-4</v>
      </c>
      <c r="C175" s="5">
        <f>Data!G175</f>
        <v>2.8536198696494708E-2</v>
      </c>
      <c r="D175" s="5">
        <f>Data!H175</f>
        <v>1.0251630941286116E-2</v>
      </c>
      <c r="E175" s="5">
        <f>Data!I175</f>
        <v>-1.0436799381522976E-2</v>
      </c>
    </row>
    <row r="176" spans="1:5" x14ac:dyDescent="0.2">
      <c r="A176" s="2">
        <f>Data!A176</f>
        <v>45875</v>
      </c>
      <c r="B176" s="5">
        <f>Data!F176</f>
        <v>-5.5960924240602283E-3</v>
      </c>
      <c r="C176" s="5">
        <f>Data!G176</f>
        <v>-1.9854972375690561E-2</v>
      </c>
      <c r="D176" s="5">
        <f>Data!H176</f>
        <v>0</v>
      </c>
      <c r="E176" s="5">
        <f>Data!I176</f>
        <v>2.4960380348652889E-2</v>
      </c>
    </row>
    <row r="177" spans="1:5" x14ac:dyDescent="0.2">
      <c r="A177" s="2">
        <f>Data!A177</f>
        <v>45874</v>
      </c>
      <c r="B177" s="5">
        <f>Data!F177</f>
        <v>-1.8909484242096486E-2</v>
      </c>
      <c r="C177" s="5">
        <f>Data!G177</f>
        <v>-2.7045187300520745E-2</v>
      </c>
      <c r="D177" s="5">
        <f>Data!H177</f>
        <v>-2.4545454545454537E-2</v>
      </c>
      <c r="E177" s="5">
        <f>Data!I177</f>
        <v>-6.3450834879406282E-2</v>
      </c>
    </row>
    <row r="178" spans="1:5" x14ac:dyDescent="0.2">
      <c r="A178" s="2">
        <f>Data!A178</f>
        <v>45873</v>
      </c>
      <c r="B178" s="5">
        <f>Data!F178</f>
        <v>-9.5575416600385266E-3</v>
      </c>
      <c r="C178" s="5">
        <f>Data!G178</f>
        <v>-3.0613906529881163E-2</v>
      </c>
      <c r="D178" s="5">
        <f>Data!H178</f>
        <v>-1.1680143755615435E-2</v>
      </c>
      <c r="E178" s="5">
        <f>Data!I178</f>
        <v>3.7119524870088405E-4</v>
      </c>
    </row>
    <row r="179" spans="1:5" x14ac:dyDescent="0.2">
      <c r="A179" s="2">
        <f>Data!A179</f>
        <v>45869</v>
      </c>
      <c r="B179" s="5">
        <f>Data!F179</f>
        <v>-2.0895831848486424E-3</v>
      </c>
      <c r="C179" s="5">
        <f>Data!G179</f>
        <v>5.8968058968058568E-3</v>
      </c>
      <c r="D179" s="5">
        <f>Data!H179</f>
        <v>7.2398190045248612E-3</v>
      </c>
      <c r="E179" s="5">
        <f>Data!I179</f>
        <v>8.9887640449437534E-3</v>
      </c>
    </row>
    <row r="180" spans="1:5" x14ac:dyDescent="0.2">
      <c r="A180" s="2">
        <f>Data!A180</f>
        <v>45868</v>
      </c>
      <c r="B180" s="5">
        <f>Data!F180</f>
        <v>-5.8840390208084736E-3</v>
      </c>
      <c r="C180" s="5">
        <f>Data!G180</f>
        <v>-8.9285714285713969E-3</v>
      </c>
      <c r="D180" s="5">
        <f>Data!H180</f>
        <v>-1.3392857142857095E-2</v>
      </c>
      <c r="E180" s="5">
        <f>Data!I180</f>
        <v>-2.1978021978022011E-2</v>
      </c>
    </row>
    <row r="181" spans="1:5" x14ac:dyDescent="0.2">
      <c r="A181" s="2">
        <f>Data!A181</f>
        <v>45867</v>
      </c>
      <c r="B181" s="5">
        <f>Data!F181</f>
        <v>6.4416180056259265E-5</v>
      </c>
      <c r="C181" s="5">
        <f>Data!G181</f>
        <v>3.2573289902280145E-3</v>
      </c>
      <c r="D181" s="5">
        <f>Data!H181</f>
        <v>3.9925719591457742E-2</v>
      </c>
      <c r="E181" s="5">
        <f>Data!I181</f>
        <v>0</v>
      </c>
    </row>
    <row r="182" spans="1:5" x14ac:dyDescent="0.2">
      <c r="A182" s="2">
        <f>Data!A182</f>
        <v>45866</v>
      </c>
      <c r="B182" s="5">
        <f>Data!F182</f>
        <v>6.3007029951027693E-3</v>
      </c>
      <c r="C182" s="5">
        <f>Data!G182</f>
        <v>-7.115135834411368E-3</v>
      </c>
      <c r="D182" s="5">
        <f>Data!H182</f>
        <v>-1.1019283746556474E-2</v>
      </c>
      <c r="E182" s="5">
        <f>Data!I182</f>
        <v>0</v>
      </c>
    </row>
    <row r="183" spans="1:5" x14ac:dyDescent="0.2">
      <c r="A183" s="2">
        <f>Data!A183</f>
        <v>45865</v>
      </c>
      <c r="B183" s="5">
        <f>Data!F183</f>
        <v>-9.5183979557114107E-3</v>
      </c>
      <c r="C183" s="5">
        <f>Data!G183</f>
        <v>-1.5286624203821653E-2</v>
      </c>
      <c r="D183" s="5">
        <f>Data!H183</f>
        <v>-1.0899182561307952E-2</v>
      </c>
      <c r="E183" s="5">
        <f>Data!I183</f>
        <v>-7.9941860465115866E-3</v>
      </c>
    </row>
    <row r="184" spans="1:5" x14ac:dyDescent="0.2">
      <c r="A184" s="2">
        <f>Data!A184</f>
        <v>45862</v>
      </c>
      <c r="B184" s="5">
        <f>Data!F184</f>
        <v>-1.1876439352125012E-2</v>
      </c>
      <c r="C184" s="5">
        <f>Data!G184</f>
        <v>-1.4901960784313717E-2</v>
      </c>
      <c r="D184" s="5">
        <f>Data!H184</f>
        <v>-2.393617021276595E-2</v>
      </c>
      <c r="E184" s="5">
        <f>Data!I184</f>
        <v>-1.7142857142857126E-2</v>
      </c>
    </row>
    <row r="185" spans="1:5" x14ac:dyDescent="0.2">
      <c r="A185" s="2">
        <f>Data!A185</f>
        <v>45861</v>
      </c>
      <c r="B185" s="5">
        <f>Data!F185</f>
        <v>1.1668431693462988E-2</v>
      </c>
      <c r="C185" s="5">
        <f>Data!G185</f>
        <v>4.508196721311486E-2</v>
      </c>
      <c r="D185" s="5">
        <f>Data!H185</f>
        <v>7.1428571428571175E-3</v>
      </c>
      <c r="E185" s="5">
        <f>Data!I185</f>
        <v>3.5727045373357136E-4</v>
      </c>
    </row>
    <row r="186" spans="1:5" x14ac:dyDescent="0.2">
      <c r="A186" s="2">
        <f>Data!A186</f>
        <v>45860</v>
      </c>
      <c r="B186" s="5">
        <f>Data!F186</f>
        <v>-4.0418815921172691E-4</v>
      </c>
      <c r="C186" s="5">
        <f>Data!G186</f>
        <v>1.27843267474681E-2</v>
      </c>
      <c r="D186" s="5">
        <f>Data!H186</f>
        <v>1.8181818181818077E-2</v>
      </c>
      <c r="E186" s="5">
        <f>Data!I186</f>
        <v>3.6666666666666625E-2</v>
      </c>
    </row>
    <row r="187" spans="1:5" x14ac:dyDescent="0.2">
      <c r="A187" s="2">
        <f>Data!A187</f>
        <v>45859</v>
      </c>
      <c r="B187" s="5">
        <f>Data!F187</f>
        <v>9.2887877306413458E-3</v>
      </c>
      <c r="C187" s="5">
        <f>Data!G187</f>
        <v>2.9975020815986575E-3</v>
      </c>
      <c r="D187" s="5">
        <f>Data!H187</f>
        <v>4.5627376425855459E-2</v>
      </c>
      <c r="E187" s="5">
        <f>Data!I187</f>
        <v>1.1235955056179803E-2</v>
      </c>
    </row>
    <row r="188" spans="1:5" x14ac:dyDescent="0.2">
      <c r="A188" s="2">
        <f>Data!A188</f>
        <v>45858</v>
      </c>
      <c r="B188" s="5">
        <f>Data!F188</f>
        <v>2.6879631068954524E-4</v>
      </c>
      <c r="C188" s="5">
        <f>Data!G188</f>
        <v>-1.3304506901713475E-3</v>
      </c>
      <c r="D188" s="5">
        <f>Data!H188</f>
        <v>8.6289549376796781E-3</v>
      </c>
      <c r="E188" s="5">
        <f>Data!I188</f>
        <v>-6.3267584666915067E-3</v>
      </c>
    </row>
    <row r="189" spans="1:5" x14ac:dyDescent="0.2">
      <c r="A189" s="2">
        <f>Data!A189</f>
        <v>45855</v>
      </c>
      <c r="B189" s="5">
        <f>Data!F189</f>
        <v>7.7872570969785837E-3</v>
      </c>
      <c r="C189" s="5">
        <f>Data!G189</f>
        <v>8.8926174496644084E-3</v>
      </c>
      <c r="D189" s="5">
        <f>Data!H189</f>
        <v>5.3535353535353547E-2</v>
      </c>
      <c r="E189" s="5">
        <f>Data!I189</f>
        <v>-1.4668133480014722E-2</v>
      </c>
    </row>
    <row r="190" spans="1:5" x14ac:dyDescent="0.2">
      <c r="A190" s="2">
        <f>Data!A190</f>
        <v>45854</v>
      </c>
      <c r="B190" s="5">
        <f>Data!F190</f>
        <v>-3.1363668898561903E-3</v>
      </c>
      <c r="C190" s="5">
        <f>Data!G190</f>
        <v>-7.9893475366178413E-3</v>
      </c>
      <c r="D190" s="5">
        <f>Data!H190</f>
        <v>2.3286423002935042E-3</v>
      </c>
      <c r="E190" s="5">
        <f>Data!I190</f>
        <v>-1.7297297297297343E-2</v>
      </c>
    </row>
    <row r="191" spans="1:5" x14ac:dyDescent="0.2">
      <c r="A191" s="2">
        <f>Data!A191</f>
        <v>45853</v>
      </c>
      <c r="B191" s="5">
        <f>Data!F191</f>
        <v>6.5001620947222616E-3</v>
      </c>
      <c r="C191" s="5">
        <f>Data!G191</f>
        <v>0</v>
      </c>
      <c r="D191" s="5">
        <f>Data!H191</f>
        <v>-1.0122268991781924E-2</v>
      </c>
      <c r="E191" s="5">
        <f>Data!I191</f>
        <v>0</v>
      </c>
    </row>
    <row r="192" spans="1:5" x14ac:dyDescent="0.2">
      <c r="A192" s="2">
        <f>Data!A192</f>
        <v>45852</v>
      </c>
      <c r="B192" s="5">
        <f>Data!F192</f>
        <v>7.7669266566160466E-4</v>
      </c>
      <c r="C192" s="5">
        <f>Data!G192</f>
        <v>9.7478991596637865E-3</v>
      </c>
      <c r="D192" s="5">
        <f>Data!H192</f>
        <v>-1.207920792079209E-2</v>
      </c>
      <c r="E192" s="5">
        <f>Data!I192</f>
        <v>1.8050541516245744E-3</v>
      </c>
    </row>
    <row r="193" spans="1:5" x14ac:dyDescent="0.2">
      <c r="A193" s="2">
        <f>Data!A193</f>
        <v>45851</v>
      </c>
      <c r="B193" s="5">
        <f>Data!F193</f>
        <v>-2.3308217731145553E-2</v>
      </c>
      <c r="C193" s="5">
        <f>Data!G193</f>
        <v>-1.8151815181518205E-2</v>
      </c>
      <c r="D193" s="5">
        <f>Data!H193</f>
        <v>-3.8095238095238071E-2</v>
      </c>
      <c r="E193" s="5">
        <f>Data!I193</f>
        <v>-3.819444444444442E-2</v>
      </c>
    </row>
    <row r="194" spans="1:5" x14ac:dyDescent="0.2">
      <c r="A194" s="2">
        <f>Data!A194</f>
        <v>45848</v>
      </c>
      <c r="B194" s="5">
        <f>Data!F194</f>
        <v>-2.114448518608536E-3</v>
      </c>
      <c r="C194" s="5">
        <f>Data!G194</f>
        <v>-3.1255140648133173E-3</v>
      </c>
      <c r="D194" s="5">
        <f>Data!H194</f>
        <v>-2.3255813953488413E-2</v>
      </c>
      <c r="E194" s="5">
        <f>Data!I194</f>
        <v>0</v>
      </c>
    </row>
    <row r="195" spans="1:5" x14ac:dyDescent="0.2">
      <c r="A195" s="2">
        <f>Data!A195</f>
        <v>45847</v>
      </c>
      <c r="B195" s="5">
        <f>Data!F195</f>
        <v>1.6905992289178551E-2</v>
      </c>
      <c r="C195" s="5">
        <f>Data!G195</f>
        <v>1.6555183946488361E-2</v>
      </c>
      <c r="D195" s="5">
        <f>Data!H195</f>
        <v>-1.1039558417663242E-2</v>
      </c>
      <c r="E195" s="5">
        <f>Data!I195</f>
        <v>0</v>
      </c>
    </row>
    <row r="196" spans="1:5" x14ac:dyDescent="0.2">
      <c r="A196" s="2">
        <f>Data!A196</f>
        <v>45846</v>
      </c>
      <c r="B196" s="5">
        <f>Data!F196</f>
        <v>-6.1334047821188786E-3</v>
      </c>
      <c r="C196" s="5">
        <f>Data!G196</f>
        <v>-1.1570247933884281E-2</v>
      </c>
      <c r="D196" s="5">
        <f>Data!H196</f>
        <v>-1.9837691614066677E-2</v>
      </c>
      <c r="E196" s="5">
        <f>Data!I196</f>
        <v>-5.5248618784530246E-3</v>
      </c>
    </row>
    <row r="197" spans="1:5" x14ac:dyDescent="0.2">
      <c r="A197" s="2">
        <f>Data!A197</f>
        <v>45845</v>
      </c>
      <c r="B197" s="5">
        <f>Data!F197</f>
        <v>-5.0968956148069733E-3</v>
      </c>
      <c r="C197" s="5">
        <f>Data!G197</f>
        <v>8.2712985938782069E-4</v>
      </c>
      <c r="D197" s="5">
        <f>Data!H197</f>
        <v>2.7124773960216508E-3</v>
      </c>
      <c r="E197" s="5">
        <f>Data!I197</f>
        <v>2.7700831024930483E-3</v>
      </c>
    </row>
    <row r="198" spans="1:5" x14ac:dyDescent="0.2">
      <c r="A198" s="2">
        <f>Data!A198</f>
        <v>45844</v>
      </c>
      <c r="B198" s="5">
        <f>Data!F198</f>
        <v>2.2080597399252166E-3</v>
      </c>
      <c r="C198" s="5">
        <f>Data!G198</f>
        <v>-4.610571381524764E-3</v>
      </c>
      <c r="D198" s="5">
        <f>Data!H198</f>
        <v>0.11717171717171726</v>
      </c>
      <c r="E198" s="5">
        <f>Data!I198</f>
        <v>1.4401123990165132E-2</v>
      </c>
    </row>
    <row r="199" spans="1:5" x14ac:dyDescent="0.2">
      <c r="A199" s="2">
        <f>Data!A199</f>
        <v>45841</v>
      </c>
      <c r="B199" s="5">
        <f>Data!F199</f>
        <v>9.1239512653027433E-3</v>
      </c>
      <c r="C199" s="5">
        <f>Data!G199</f>
        <v>1.2504168056018727E-2</v>
      </c>
      <c r="D199" s="5">
        <f>Data!H199</f>
        <v>1.2135922330096527E-3</v>
      </c>
      <c r="E199" s="5">
        <f>Data!I199</f>
        <v>3.9810080350620947E-2</v>
      </c>
    </row>
    <row r="200" spans="1:5" x14ac:dyDescent="0.2">
      <c r="A200" s="2">
        <f>Data!A200</f>
        <v>45840</v>
      </c>
      <c r="B200" s="5">
        <f>Data!F200</f>
        <v>1.7745278559220923E-2</v>
      </c>
      <c r="C200" s="5">
        <f>Data!G200</f>
        <v>2.6746907388832675E-3</v>
      </c>
      <c r="D200" s="5">
        <f>Data!H200</f>
        <v>3.1074035453597437E-2</v>
      </c>
      <c r="E200" s="5">
        <f>Data!I200</f>
        <v>1.2573964497041512E-2</v>
      </c>
    </row>
    <row r="201" spans="1:5" x14ac:dyDescent="0.2">
      <c r="A201" s="2">
        <f>Data!A201</f>
        <v>45839</v>
      </c>
      <c r="B201" s="5">
        <f>Data!F201</f>
        <v>8.370554177006273E-4</v>
      </c>
      <c r="C201" s="5">
        <f>Data!G201</f>
        <v>2.291381668946646E-2</v>
      </c>
      <c r="D201" s="5">
        <f>Data!H201</f>
        <v>9.4736842105263008E-3</v>
      </c>
      <c r="E201" s="5">
        <f>Data!I201</f>
        <v>4.4822256568779029E-2</v>
      </c>
    </row>
    <row r="202" spans="1:5" x14ac:dyDescent="0.2">
      <c r="A202" s="2">
        <f>Data!A202</f>
        <v>45838</v>
      </c>
      <c r="B202" s="5">
        <f>Data!F202</f>
        <v>3.3394855997130879E-3</v>
      </c>
      <c r="C202" s="5">
        <f>Data!G202</f>
        <v>-3.7478705281089875E-3</v>
      </c>
      <c r="D202" s="5">
        <f>Data!H202</f>
        <v>3.1678986272438703E-3</v>
      </c>
      <c r="E202" s="5">
        <f>Data!I202</f>
        <v>0</v>
      </c>
    </row>
    <row r="203" spans="1:5" x14ac:dyDescent="0.2">
      <c r="A203" s="2">
        <f>Data!A203</f>
        <v>45837</v>
      </c>
      <c r="B203" s="5">
        <f>Data!F203</f>
        <v>2.0332541889507283E-2</v>
      </c>
      <c r="C203" s="5">
        <f>Data!G203</f>
        <v>1.3816925734024155E-2</v>
      </c>
      <c r="D203" s="5">
        <f>Data!H203</f>
        <v>-7.3863036826005146E-4</v>
      </c>
      <c r="E203" s="5">
        <f>Data!I203</f>
        <v>3.8523274478330594E-2</v>
      </c>
    </row>
    <row r="204" spans="1:5" x14ac:dyDescent="0.2">
      <c r="A204" s="2">
        <f>Data!A204</f>
        <v>45834</v>
      </c>
      <c r="B204" s="5">
        <f>Data!F204</f>
        <v>-7.0859733376381628E-3</v>
      </c>
      <c r="C204" s="5">
        <f>Data!G204</f>
        <v>-2.1959459459459429E-2</v>
      </c>
      <c r="D204" s="5">
        <f>Data!H204</f>
        <v>-2.4210526315789904E-3</v>
      </c>
      <c r="E204" s="5">
        <f>Data!I204</f>
        <v>1.5898899306971082E-2</v>
      </c>
    </row>
    <row r="205" spans="1:5" x14ac:dyDescent="0.2">
      <c r="A205" s="2">
        <f>Data!A205</f>
        <v>45833</v>
      </c>
      <c r="B205" s="5">
        <f>Data!F205</f>
        <v>1.7144655464944369E-2</v>
      </c>
      <c r="C205" s="5">
        <f>Data!G205</f>
        <v>4.2253521126760507E-2</v>
      </c>
      <c r="D205" s="5">
        <f>Data!H205</f>
        <v>6.1452513966480549E-2</v>
      </c>
      <c r="E205" s="5">
        <f>Data!I205</f>
        <v>4.0288379983036471E-2</v>
      </c>
    </row>
    <row r="206" spans="1:5" x14ac:dyDescent="0.2">
      <c r="A206" s="2">
        <f>Data!A206</f>
        <v>45832</v>
      </c>
      <c r="B206" s="5">
        <f>Data!F206</f>
        <v>1.4699706005879776E-2</v>
      </c>
      <c r="C206" s="5">
        <f>Data!G206</f>
        <v>5.7531185998882961E-2</v>
      </c>
      <c r="D206" s="5">
        <f>Data!H206</f>
        <v>4.5194441200513857E-2</v>
      </c>
      <c r="E206" s="5">
        <f>Data!I206</f>
        <v>6.8902991840435135E-2</v>
      </c>
    </row>
    <row r="207" spans="1:5" x14ac:dyDescent="0.2">
      <c r="A207" s="2">
        <f>Data!A207</f>
        <v>45831</v>
      </c>
      <c r="B207" s="5">
        <f>Data!F207</f>
        <v>-1.3224323713359798E-2</v>
      </c>
      <c r="C207" s="5">
        <f>Data!G207</f>
        <v>-7.208872458410398E-3</v>
      </c>
      <c r="D207" s="5">
        <f>Data!H207</f>
        <v>-9.8288621646623886E-3</v>
      </c>
      <c r="E207" s="5">
        <f>Data!I207</f>
        <v>-6.9198312236286919E-2</v>
      </c>
    </row>
    <row r="208" spans="1:5" x14ac:dyDescent="0.2">
      <c r="A208" s="2">
        <f>Data!A208</f>
        <v>45830</v>
      </c>
      <c r="B208" s="5">
        <f>Data!F208</f>
        <v>1.7711176411125074E-2</v>
      </c>
      <c r="C208" s="5">
        <f>Data!G208</f>
        <v>1.3678096308787691E-2</v>
      </c>
      <c r="D208" s="5">
        <f>Data!H208</f>
        <v>1.8490166058179325E-2</v>
      </c>
      <c r="E208" s="5">
        <f>Data!I208</f>
        <v>1.6295025728988E-2</v>
      </c>
    </row>
    <row r="209" spans="1:5" x14ac:dyDescent="0.2">
      <c r="A209" s="2">
        <f>Data!A209</f>
        <v>45827</v>
      </c>
      <c r="B209" s="5">
        <f>Data!F209</f>
        <v>9.9985565464140169E-3</v>
      </c>
      <c r="C209" s="5">
        <f>Data!G209</f>
        <v>3.0069535801540148E-3</v>
      </c>
      <c r="D209" s="5">
        <f>Data!H209</f>
        <v>3.0461165048543792E-2</v>
      </c>
      <c r="E209" s="5">
        <f>Data!I209</f>
        <v>-4.2698548249359147E-3</v>
      </c>
    </row>
    <row r="210" spans="1:5" x14ac:dyDescent="0.2">
      <c r="A210" s="2">
        <f>Data!A210</f>
        <v>45826</v>
      </c>
      <c r="B210" s="5">
        <f>Data!F210</f>
        <v>1.355614076405387E-2</v>
      </c>
      <c r="C210" s="5">
        <f>Data!G210</f>
        <v>1.8373205741626819E-2</v>
      </c>
      <c r="D210" s="5">
        <f>Data!H210</f>
        <v>3.6421027072952583E-4</v>
      </c>
      <c r="E210" s="5">
        <f>Data!I210</f>
        <v>9.918068132815927E-3</v>
      </c>
    </row>
    <row r="211" spans="1:5" x14ac:dyDescent="0.2">
      <c r="A211" s="2">
        <f>Data!A211</f>
        <v>45825</v>
      </c>
      <c r="B211" s="5">
        <f>Data!F211</f>
        <v>5.475107277659097E-3</v>
      </c>
      <c r="C211" s="5">
        <f>Data!G211</f>
        <v>-1.1913767019667176E-2</v>
      </c>
      <c r="D211" s="5">
        <f>Data!H211</f>
        <v>-2.7845036319612548E-3</v>
      </c>
      <c r="E211" s="5">
        <f>Data!I211</f>
        <v>8.6994345367550352E-3</v>
      </c>
    </row>
    <row r="212" spans="1:5" x14ac:dyDescent="0.2">
      <c r="A212" s="2">
        <f>Data!A212</f>
        <v>45824</v>
      </c>
      <c r="B212" s="5">
        <f>Data!F212</f>
        <v>2.6408145979487818E-2</v>
      </c>
      <c r="C212" s="5">
        <f>Data!G212</f>
        <v>4.3203787729335197E-2</v>
      </c>
      <c r="D212" s="5">
        <f>Data!H212</f>
        <v>4.9955510359730448E-2</v>
      </c>
      <c r="E212" s="5">
        <f>Data!I212</f>
        <v>0</v>
      </c>
    </row>
    <row r="213" spans="1:5" x14ac:dyDescent="0.2">
      <c r="A213" s="2">
        <f>Data!A213</f>
        <v>45823</v>
      </c>
      <c r="B213" s="5">
        <f>Data!F213</f>
        <v>3.5367422058627529E-3</v>
      </c>
      <c r="C213" s="5">
        <f>Data!G213</f>
        <v>5.7539682539682335E-3</v>
      </c>
      <c r="D213" s="5">
        <f>Data!H213</f>
        <v>-4.1772151898734622E-3</v>
      </c>
      <c r="E213" s="5">
        <f>Data!I213</f>
        <v>0</v>
      </c>
    </row>
    <row r="214" spans="1:5" x14ac:dyDescent="0.2">
      <c r="A214" s="2">
        <f>Data!A214</f>
        <v>45820</v>
      </c>
      <c r="B214" s="5">
        <f>Data!F214</f>
        <v>-1.7615451641010749E-2</v>
      </c>
      <c r="C214" s="5">
        <f>Data!G214</f>
        <v>-3.1514219830899304E-2</v>
      </c>
      <c r="D214" s="5">
        <f>Data!H214</f>
        <v>-1.5330923594665369E-2</v>
      </c>
      <c r="E214" s="5">
        <f>Data!I214</f>
        <v>0</v>
      </c>
    </row>
    <row r="215" spans="1:5" x14ac:dyDescent="0.2">
      <c r="A215" s="2">
        <f>Data!A215</f>
        <v>45819</v>
      </c>
      <c r="B215" s="5">
        <f>Data!F215</f>
        <v>4.3500931641915486E-3</v>
      </c>
      <c r="C215" s="5">
        <f>Data!G215</f>
        <v>1.1270890011659596E-2</v>
      </c>
      <c r="D215" s="5">
        <f>Data!H215</f>
        <v>3.3766883441721518E-3</v>
      </c>
      <c r="E215" s="5">
        <f>Data!I215</f>
        <v>0</v>
      </c>
    </row>
    <row r="216" spans="1:5" x14ac:dyDescent="0.2">
      <c r="A216" s="2">
        <f>Data!A216</f>
        <v>45818</v>
      </c>
      <c r="B216" s="5">
        <f>Data!F216</f>
        <v>-1.4564149617508626E-3</v>
      </c>
      <c r="C216" s="5">
        <f>Data!G216</f>
        <v>9.7257342929402135E-4</v>
      </c>
      <c r="D216" s="5">
        <f>Data!H216</f>
        <v>1.2507817385865039E-4</v>
      </c>
      <c r="E216" s="5">
        <f>Data!I216</f>
        <v>0</v>
      </c>
    </row>
    <row r="217" spans="1:5" x14ac:dyDescent="0.2">
      <c r="A217" s="2">
        <f>Data!A217</f>
        <v>45817</v>
      </c>
      <c r="B217" s="5">
        <f>Data!F217</f>
        <v>-1.9514215942788571E-3</v>
      </c>
      <c r="C217" s="5">
        <f>Data!G217</f>
        <v>-1.851851851851849E-2</v>
      </c>
      <c r="D217" s="5">
        <f>Data!H217</f>
        <v>5.6603773584906758E-3</v>
      </c>
      <c r="E217" s="5">
        <f>Data!I217</f>
        <v>0</v>
      </c>
    </row>
    <row r="218" spans="1:5" x14ac:dyDescent="0.2">
      <c r="A218" s="2">
        <f>Data!A218</f>
        <v>45816</v>
      </c>
      <c r="B218" s="5">
        <f>Data!F218</f>
        <v>-5.5931255402452695E-4</v>
      </c>
      <c r="C218" s="5">
        <f>Data!G218</f>
        <v>1.0026995757809409E-2</v>
      </c>
      <c r="D218" s="5">
        <f>Data!H218</f>
        <v>-1.572365977466883E-2</v>
      </c>
      <c r="E218" s="5">
        <f>Data!I218</f>
        <v>3.7923250564334099E-2</v>
      </c>
    </row>
    <row r="219" spans="1:5" x14ac:dyDescent="0.2">
      <c r="A219" s="2">
        <f>Data!A219</f>
        <v>45813</v>
      </c>
      <c r="B219" s="5">
        <f>Data!F219</f>
        <v>1.1045422832592688E-2</v>
      </c>
      <c r="C219" s="5">
        <f>Data!G219</f>
        <v>1.68627450980392E-2</v>
      </c>
      <c r="D219" s="5">
        <f>Data!H219</f>
        <v>1.4879107253564783E-3</v>
      </c>
      <c r="E219" s="5">
        <f>Data!I219</f>
        <v>-4.1955017301038011E-2</v>
      </c>
    </row>
    <row r="220" spans="1:5" x14ac:dyDescent="0.2">
      <c r="A220" s="2">
        <f>Data!A220</f>
        <v>45812</v>
      </c>
      <c r="B220" s="5">
        <f>Data!F220</f>
        <v>-2.1252427540213725E-3</v>
      </c>
      <c r="C220" s="5">
        <f>Data!G220</f>
        <v>-1.5253910021239658E-2</v>
      </c>
      <c r="D220" s="5">
        <f>Data!H220</f>
        <v>-1.0429447852760787E-2</v>
      </c>
      <c r="E220" s="5">
        <f>Data!I220</f>
        <v>0</v>
      </c>
    </row>
    <row r="221" spans="1:5" x14ac:dyDescent="0.2">
      <c r="A221" s="2">
        <f>Data!A221</f>
        <v>45811</v>
      </c>
      <c r="B221" s="5">
        <f>Data!F221</f>
        <v>1.6075046243284596E-3</v>
      </c>
      <c r="C221" s="5">
        <f>Data!G221</f>
        <v>-2.7417840375586811E-2</v>
      </c>
      <c r="D221" s="5">
        <f>Data!H221</f>
        <v>-4.1176470588235259E-2</v>
      </c>
      <c r="E221" s="5">
        <f>Data!I221</f>
        <v>3.4914950760966956E-2</v>
      </c>
    </row>
    <row r="222" spans="1:5" x14ac:dyDescent="0.2">
      <c r="A222" s="2">
        <f>Data!A222</f>
        <v>45806</v>
      </c>
      <c r="B222" s="5">
        <f>Data!F222</f>
        <v>5.279644039093645E-3</v>
      </c>
      <c r="C222" s="5">
        <f>Data!G222</f>
        <v>-4.6728971962616273E-3</v>
      </c>
      <c r="D222" s="5">
        <f>Data!H222</f>
        <v>1.6017212526894475E-2</v>
      </c>
      <c r="E222" s="5">
        <f>Data!I222</f>
        <v>0</v>
      </c>
    </row>
    <row r="223" spans="1:5" x14ac:dyDescent="0.2">
      <c r="A223" s="2">
        <f>Data!A223</f>
        <v>45805</v>
      </c>
      <c r="B223" s="5">
        <f>Data!F223</f>
        <v>5.6918744225566975E-3</v>
      </c>
      <c r="C223" s="5">
        <f>Data!G223</f>
        <v>1.8078020932445371E-2</v>
      </c>
      <c r="D223" s="5">
        <f>Data!H223</f>
        <v>1.442948951133749E-2</v>
      </c>
      <c r="E223" s="5">
        <f>Data!I223</f>
        <v>8.5778781038374774E-3</v>
      </c>
    </row>
    <row r="224" spans="1:5" x14ac:dyDescent="0.2">
      <c r="A224" s="2">
        <f>Data!A224</f>
        <v>45804</v>
      </c>
      <c r="B224" s="5">
        <f>Data!F224</f>
        <v>3.7504655493483252E-3</v>
      </c>
      <c r="C224" s="5">
        <f>Data!G224</f>
        <v>9.5238095238103782E-4</v>
      </c>
      <c r="D224" s="5">
        <f>Data!H224</f>
        <v>-4.9469111969111523E-3</v>
      </c>
      <c r="E224" s="5">
        <f>Data!I224</f>
        <v>0</v>
      </c>
    </row>
    <row r="225" spans="1:5" x14ac:dyDescent="0.2">
      <c r="A225" s="2">
        <f>Data!A225</f>
        <v>45803</v>
      </c>
      <c r="B225" s="5">
        <f>Data!F225</f>
        <v>1.8581042632453526E-2</v>
      </c>
      <c r="C225" s="5">
        <f>Data!G225</f>
        <v>2.2793687901811799E-2</v>
      </c>
      <c r="D225" s="5">
        <f>Data!H225</f>
        <v>2.5615641628511376E-2</v>
      </c>
      <c r="E225" s="5">
        <f>Data!I225</f>
        <v>1.5123739688359228E-2</v>
      </c>
    </row>
    <row r="226" spans="1:5" x14ac:dyDescent="0.2">
      <c r="A226" s="2">
        <f>Data!A226</f>
        <v>45802</v>
      </c>
      <c r="B226" s="5">
        <f>Data!F226</f>
        <v>3.9456746113357699E-3</v>
      </c>
      <c r="C226" s="5">
        <f>Data!G226</f>
        <v>8.0518460329930264E-3</v>
      </c>
      <c r="D226" s="5">
        <f>Data!H226</f>
        <v>1.5201005025125669E-2</v>
      </c>
      <c r="E226" s="5">
        <f>Data!I226</f>
        <v>-1.9325842696629181E-2</v>
      </c>
    </row>
    <row r="227" spans="1:5" x14ac:dyDescent="0.2">
      <c r="A227" s="2">
        <f>Data!A227</f>
        <v>45799</v>
      </c>
      <c r="B227" s="5">
        <f>Data!F227</f>
        <v>-1.3310385257113699E-2</v>
      </c>
      <c r="C227" s="5">
        <f>Data!G227</f>
        <v>0</v>
      </c>
      <c r="D227" s="5">
        <f>Data!H227</f>
        <v>-2.2113022113022129E-2</v>
      </c>
      <c r="E227" s="5">
        <f>Data!I227</f>
        <v>-9.3499554764024939E-3</v>
      </c>
    </row>
    <row r="228" spans="1:5" x14ac:dyDescent="0.2">
      <c r="A228" s="2">
        <f>Data!A228</f>
        <v>45798</v>
      </c>
      <c r="B228" s="5">
        <f>Data!F228</f>
        <v>-8.6133671112434973E-3</v>
      </c>
      <c r="C228" s="5">
        <f>Data!G228</f>
        <v>-2.0957508171505435E-2</v>
      </c>
      <c r="D228" s="5">
        <f>Data!H228</f>
        <v>2.5188916876574208E-2</v>
      </c>
      <c r="E228" s="5">
        <f>Data!I228</f>
        <v>-2.6863084922010394E-2</v>
      </c>
    </row>
    <row r="229" spans="1:5" x14ac:dyDescent="0.2">
      <c r="A229" s="2">
        <f>Data!A229</f>
        <v>45797</v>
      </c>
      <c r="B229" s="5">
        <f>Data!F229</f>
        <v>-3.9039306495665116E-3</v>
      </c>
      <c r="C229" s="5">
        <f>Data!G229</f>
        <v>-2.1080368906455815E-2</v>
      </c>
      <c r="D229" s="5">
        <f>Data!H229</f>
        <v>-3.5002430724355826E-2</v>
      </c>
      <c r="E229" s="5">
        <f>Data!I229</f>
        <v>3.4782608695651529E-3</v>
      </c>
    </row>
    <row r="230" spans="1:5" x14ac:dyDescent="0.2">
      <c r="A230" s="2">
        <f>Data!A230</f>
        <v>45796</v>
      </c>
      <c r="B230" s="5">
        <f>Data!F230</f>
        <v>-4.1133100504463505E-3</v>
      </c>
      <c r="C230" s="5">
        <f>Data!G230</f>
        <v>-1.4102802004082426E-2</v>
      </c>
      <c r="D230" s="5">
        <f>Data!H230</f>
        <v>2.6831398976662868E-2</v>
      </c>
      <c r="E230" s="5">
        <f>Data!I230</f>
        <v>3.0527692978630228E-3</v>
      </c>
    </row>
    <row r="231" spans="1:5" x14ac:dyDescent="0.2">
      <c r="A231" s="2">
        <f>Data!A231</f>
        <v>45795</v>
      </c>
      <c r="B231" s="5">
        <f>Data!F231</f>
        <v>1.0361823680967941E-2</v>
      </c>
      <c r="C231" s="5">
        <f>Data!G231</f>
        <v>3.4357005758157477E-2</v>
      </c>
      <c r="D231" s="5">
        <f>Data!H231</f>
        <v>1.4817629179331382E-2</v>
      </c>
      <c r="E231" s="5">
        <f>Data!I231</f>
        <v>1.3256738842244875E-2</v>
      </c>
    </row>
    <row r="232" spans="1:5" x14ac:dyDescent="0.2">
      <c r="A232" s="2">
        <f>Data!A232</f>
        <v>45792</v>
      </c>
      <c r="B232" s="5">
        <f>Data!F232</f>
        <v>-2.0978265324753664E-3</v>
      </c>
      <c r="C232" s="5">
        <f>Data!G232</f>
        <v>-8.5632730732635443E-3</v>
      </c>
      <c r="D232" s="5">
        <f>Data!H232</f>
        <v>-1.2648621300278551E-3</v>
      </c>
      <c r="E232" s="5">
        <f>Data!I232</f>
        <v>8.4670231729055967E-3</v>
      </c>
    </row>
    <row r="233" spans="1:5" x14ac:dyDescent="0.2">
      <c r="A233" s="2">
        <f>Data!A233</f>
        <v>45791</v>
      </c>
      <c r="B233" s="5">
        <f>Data!F233</f>
        <v>7.1226193826812167E-3</v>
      </c>
      <c r="C233" s="5">
        <f>Data!G233</f>
        <v>1.742497579864466E-2</v>
      </c>
      <c r="D233" s="5">
        <f>Data!H233</f>
        <v>3.1845471156356053E-2</v>
      </c>
      <c r="E233" s="5">
        <f>Data!I233</f>
        <v>-4.7942299533305088E-2</v>
      </c>
    </row>
    <row r="234" spans="1:5" x14ac:dyDescent="0.2">
      <c r="A234" s="2">
        <f>Data!A234</f>
        <v>45790</v>
      </c>
      <c r="B234" s="5">
        <f>Data!F234</f>
        <v>1.6514594773142655E-4</v>
      </c>
      <c r="C234" s="5">
        <f>Data!G234</f>
        <v>5.6464174454828875E-3</v>
      </c>
      <c r="D234" s="5">
        <f>Data!H234</f>
        <v>-7.127121938577119E-3</v>
      </c>
      <c r="E234" s="5">
        <f>Data!I234</f>
        <v>0</v>
      </c>
    </row>
    <row r="235" spans="1:5" x14ac:dyDescent="0.2">
      <c r="A235" s="2">
        <f>Data!A235</f>
        <v>45789</v>
      </c>
      <c r="B235" s="5">
        <f>Data!F235</f>
        <v>-1.9404455532704423E-3</v>
      </c>
      <c r="C235" s="5">
        <f>Data!G235</f>
        <v>-2.3310023310023631E-3</v>
      </c>
      <c r="D235" s="5">
        <f>Data!H235</f>
        <v>-1.9690040650406471E-2</v>
      </c>
      <c r="E235" s="5">
        <f>Data!I235</f>
        <v>0</v>
      </c>
    </row>
    <row r="236" spans="1:5" x14ac:dyDescent="0.2">
      <c r="A236" s="2">
        <f>Data!A236</f>
        <v>45788</v>
      </c>
      <c r="B236" s="5">
        <f>Data!F236</f>
        <v>-1.8729818620499827E-5</v>
      </c>
      <c r="C236" s="5">
        <f>Data!G236</f>
        <v>1.4984227129337446E-2</v>
      </c>
      <c r="D236" s="5">
        <f>Data!H236</f>
        <v>-6.8130204390612903E-3</v>
      </c>
      <c r="E236" s="5">
        <f>Data!I236</f>
        <v>8.5579803166453416E-3</v>
      </c>
    </row>
    <row r="237" spans="1:5" x14ac:dyDescent="0.2">
      <c r="A237" s="2">
        <f>Data!A237</f>
        <v>45785</v>
      </c>
      <c r="B237" s="5">
        <f>Data!F237</f>
        <v>1.0531017670305731E-2</v>
      </c>
      <c r="C237" s="5">
        <f>Data!G237</f>
        <v>1.4399999999999968E-2</v>
      </c>
      <c r="D237" s="5">
        <f>Data!H237</f>
        <v>1.9552354000514471E-2</v>
      </c>
      <c r="E237" s="5">
        <f>Data!I237</f>
        <v>1.5645371577575062E-2</v>
      </c>
    </row>
    <row r="238" spans="1:5" x14ac:dyDescent="0.2">
      <c r="A238" s="2">
        <f>Data!A238</f>
        <v>45784</v>
      </c>
      <c r="B238" s="5">
        <f>Data!F238</f>
        <v>1.5612565404769407E-2</v>
      </c>
      <c r="C238" s="5">
        <f>Data!G238</f>
        <v>2.0616452337211655E-2</v>
      </c>
      <c r="D238" s="5">
        <f>Data!H238</f>
        <v>2.5864344154130414E-2</v>
      </c>
      <c r="E238" s="5">
        <f>Data!I238</f>
        <v>1.8592297476759612E-2</v>
      </c>
    </row>
    <row r="239" spans="1:5" x14ac:dyDescent="0.2">
      <c r="A239" s="2">
        <f>Data!A239</f>
        <v>45783</v>
      </c>
      <c r="B239" s="5">
        <f>Data!F239</f>
        <v>5.3337249885017091E-3</v>
      </c>
      <c r="C239" s="5">
        <f>Data!G239</f>
        <v>1.5126398673849906E-2</v>
      </c>
      <c r="D239" s="5">
        <f>Data!H239</f>
        <v>-1.1479259066005776E-2</v>
      </c>
      <c r="E239" s="5">
        <f>Data!I239</f>
        <v>2.9157175398633273E-2</v>
      </c>
    </row>
    <row r="240" spans="1:5" x14ac:dyDescent="0.2">
      <c r="A240" s="2">
        <f>Data!A240</f>
        <v>45782</v>
      </c>
      <c r="B240" s="5">
        <f>Data!F240</f>
        <v>1.0383798306726311E-2</v>
      </c>
      <c r="C240" s="5">
        <f>Data!G240</f>
        <v>4.3704474505723567E-3</v>
      </c>
      <c r="D240" s="5">
        <f>Data!H240</f>
        <v>4.22841604350781E-2</v>
      </c>
      <c r="E240" s="5">
        <f>Data!I240</f>
        <v>-4.3989547038327581E-2</v>
      </c>
    </row>
    <row r="241" spans="1:5" x14ac:dyDescent="0.2">
      <c r="A241" s="2">
        <f>Data!A241</f>
        <v>45781</v>
      </c>
      <c r="B241" s="5">
        <f>Data!F241</f>
        <v>1.3725896582603703E-3</v>
      </c>
      <c r="C241" s="5">
        <f>Data!G241</f>
        <v>1.1578947368421133E-2</v>
      </c>
      <c r="D241" s="5">
        <f>Data!H241</f>
        <v>-1.0865136493277694E-3</v>
      </c>
      <c r="E241" s="5">
        <f>Data!I241</f>
        <v>0</v>
      </c>
    </row>
    <row r="242" spans="1:5" x14ac:dyDescent="0.2">
      <c r="A242" s="2">
        <f>Data!A242</f>
        <v>45776</v>
      </c>
      <c r="B242" s="5">
        <f>Data!F242</f>
        <v>3.279910547894227E-3</v>
      </c>
      <c r="C242" s="5">
        <f>Data!G242</f>
        <v>2.1057064645191303E-4</v>
      </c>
      <c r="D242" s="5">
        <f>Data!H242</f>
        <v>-2.3035230352304037E-3</v>
      </c>
      <c r="E242" s="5">
        <f>Data!I242</f>
        <v>2.6200873362445254E-3</v>
      </c>
    </row>
    <row r="243" spans="1:5" x14ac:dyDescent="0.2">
      <c r="A243" s="2">
        <f>Data!A243</f>
        <v>45775</v>
      </c>
      <c r="B243" s="5">
        <f>Data!F243</f>
        <v>-3.3549305357331027E-3</v>
      </c>
      <c r="C243" s="5">
        <f>Data!G243</f>
        <v>1.8987341772152E-3</v>
      </c>
      <c r="D243" s="5">
        <f>Data!H243</f>
        <v>-2.3163467902051593E-2</v>
      </c>
      <c r="E243" s="5">
        <f>Data!I243</f>
        <v>-1.9691780821917804E-2</v>
      </c>
    </row>
    <row r="244" spans="1:5" x14ac:dyDescent="0.2">
      <c r="A244" s="2">
        <f>Data!A244</f>
        <v>45774</v>
      </c>
      <c r="B244" s="5">
        <f>Data!F244</f>
        <v>1.6253603208420397E-3</v>
      </c>
      <c r="C244" s="5">
        <f>Data!G244</f>
        <v>-1.126408010012514E-2</v>
      </c>
      <c r="D244" s="5">
        <f>Data!H244</f>
        <v>-6.1825835306498211E-3</v>
      </c>
      <c r="E244" s="5">
        <f>Data!I244</f>
        <v>0</v>
      </c>
    </row>
    <row r="245" spans="1:5" x14ac:dyDescent="0.2">
      <c r="A245" s="2">
        <f>Data!A245</f>
        <v>45771</v>
      </c>
      <c r="B245" s="5">
        <f>Data!F245</f>
        <v>3.9964580411089301E-4</v>
      </c>
      <c r="C245" s="5">
        <f>Data!G245</f>
        <v>-1.4796547472256449E-2</v>
      </c>
      <c r="D245" s="5">
        <f>Data!H245</f>
        <v>-2.3130300693908978E-2</v>
      </c>
      <c r="E245" s="5">
        <f>Data!I245</f>
        <v>2.4112231477422252E-2</v>
      </c>
    </row>
    <row r="246" spans="1:5" x14ac:dyDescent="0.2">
      <c r="A246" s="2">
        <f>Data!A246</f>
        <v>45770</v>
      </c>
      <c r="B246" s="5">
        <f>Data!F246</f>
        <v>1.7108152375335361E-2</v>
      </c>
      <c r="C246" s="5">
        <f>Data!G246</f>
        <v>1.080182800166174E-2</v>
      </c>
      <c r="D246" s="5">
        <f>Data!H246</f>
        <v>-5.368098159509227E-3</v>
      </c>
      <c r="E246" s="5">
        <f>Data!I246</f>
        <v>0</v>
      </c>
    </row>
    <row r="247" spans="1:5" x14ac:dyDescent="0.2">
      <c r="A247" s="2">
        <f>Data!A247</f>
        <v>45769</v>
      </c>
      <c r="B247" s="5">
        <f>Data!F247</f>
        <v>3.8444305762246334E-3</v>
      </c>
      <c r="C247" s="5">
        <f>Data!G247</f>
        <v>-1.332240213158431E-2</v>
      </c>
      <c r="D247" s="5">
        <f>Data!H247</f>
        <v>-1.3118062563067578E-2</v>
      </c>
      <c r="E247" s="5">
        <f>Data!I247</f>
        <v>0</v>
      </c>
    </row>
    <row r="248" spans="1:5" x14ac:dyDescent="0.2">
      <c r="A248" s="2">
        <f>Data!A248</f>
        <v>45768</v>
      </c>
      <c r="B248" s="5">
        <f>Data!F248</f>
        <v>-1.5179749827637257E-2</v>
      </c>
      <c r="C248" s="5">
        <f>Data!G248</f>
        <v>1.4978156854587032E-2</v>
      </c>
      <c r="D248" s="5">
        <f>Data!H248</f>
        <v>-2.0992837737712988E-2</v>
      </c>
      <c r="E248" s="5">
        <f>Data!I248</f>
        <v>7.9540433053468806E-3</v>
      </c>
    </row>
    <row r="249" spans="1:5" x14ac:dyDescent="0.2">
      <c r="A249" s="2">
        <f>Data!A249</f>
        <v>45767</v>
      </c>
      <c r="B249" s="5">
        <f>Data!F249</f>
        <v>1.0174825588502578E-3</v>
      </c>
      <c r="C249" s="5">
        <f>Data!G249</f>
        <v>-5.37968135733502E-3</v>
      </c>
      <c r="D249" s="5">
        <f>Data!H249</f>
        <v>1.5677912956227225E-2</v>
      </c>
      <c r="E249" s="5">
        <f>Data!I249</f>
        <v>0</v>
      </c>
    </row>
    <row r="250" spans="1:5" x14ac:dyDescent="0.2">
      <c r="A250" s="2">
        <f>Data!A250</f>
        <v>45764</v>
      </c>
      <c r="B250" s="5">
        <f>Data!F250</f>
        <v>1.3410483053499789E-4</v>
      </c>
      <c r="C250" s="5">
        <f>Data!G250</f>
        <v>6.8749999999999645E-3</v>
      </c>
      <c r="D250" s="5">
        <f>Data!H250</f>
        <v>-8.7032201914708507E-3</v>
      </c>
      <c r="E250" s="5">
        <f>Data!I250</f>
        <v>0</v>
      </c>
    </row>
    <row r="251" spans="1:5" x14ac:dyDescent="0.2">
      <c r="A251" s="2">
        <f>Data!A251</f>
        <v>45763</v>
      </c>
      <c r="B251" s="5">
        <f>Data!F251</f>
        <v>3.9121740679879391E-3</v>
      </c>
      <c r="C251" s="5">
        <f>Data!G251</f>
        <v>-7.6493694438701798E-3</v>
      </c>
      <c r="D251" s="5">
        <f>Data!H251</f>
        <v>1.055408970976246E-2</v>
      </c>
      <c r="E251" s="5">
        <f>Data!I251</f>
        <v>0</v>
      </c>
    </row>
    <row r="252" spans="1:5" x14ac:dyDescent="0.2">
      <c r="A252" s="2">
        <f>Data!A252</f>
        <v>45762</v>
      </c>
      <c r="B252" s="5">
        <f>Data!F252</f>
        <v>5.582476915542145E-3</v>
      </c>
      <c r="C252" s="5">
        <f>Data!G252</f>
        <v>-6.5721914150749239E-3</v>
      </c>
      <c r="D252" s="5">
        <f>Data!H252</f>
        <v>6.0675009480470887E-3</v>
      </c>
      <c r="E252" s="5">
        <f>Data!I252</f>
        <v>0</v>
      </c>
    </row>
    <row r="253" spans="1:5" x14ac:dyDescent="0.2">
      <c r="A253" s="2">
        <f>Data!A253</f>
        <v>45761</v>
      </c>
      <c r="B253" s="5">
        <f>Data!F253</f>
        <v>2.2935742448434215E-2</v>
      </c>
      <c r="C253" s="5">
        <f>Data!G253</f>
        <v>6.8238213399502978E-3</v>
      </c>
      <c r="D253" s="5">
        <f>Data!H253</f>
        <v>-1.8925056775170868E-3</v>
      </c>
      <c r="E253" s="5">
        <f>Data!I253</f>
        <v>1.2527964205816478E-2</v>
      </c>
    </row>
    <row r="254" spans="1:5" x14ac:dyDescent="0.2">
      <c r="A254" s="2">
        <f>Data!A254</f>
        <v>45757</v>
      </c>
      <c r="B254" s="5">
        <f>Data!F254</f>
        <v>2.126880727457281E-2</v>
      </c>
      <c r="C254" s="5">
        <f>Data!G254</f>
        <v>1.2774869109947629E-2</v>
      </c>
      <c r="D254" s="5">
        <f>Data!H254</f>
        <v>3.499608252807529E-2</v>
      </c>
      <c r="E254" s="5">
        <f>Data!I254</f>
        <v>-4.4543429844098315E-3</v>
      </c>
    </row>
    <row r="255" spans="1:5" x14ac:dyDescent="0.2">
      <c r="A255" s="2">
        <f>Data!A255</f>
        <v>45756</v>
      </c>
      <c r="B255" s="5">
        <f>Data!F255</f>
        <v>-1.6624192618105993E-2</v>
      </c>
      <c r="C255" s="5">
        <f>Data!G255</f>
        <v>-3.0062969733902101E-2</v>
      </c>
      <c r="D255" s="5">
        <f>Data!H255</f>
        <v>-3.4543620776601114E-2</v>
      </c>
      <c r="E255" s="5">
        <f>Data!I255</f>
        <v>0</v>
      </c>
    </row>
    <row r="256" spans="1:5" x14ac:dyDescent="0.2">
      <c r="A256" s="2">
        <f>Data!A256</f>
        <v>45755</v>
      </c>
      <c r="B256" s="5">
        <f>Data!F256</f>
        <v>1.602613390300367E-2</v>
      </c>
      <c r="C256" s="5">
        <f>Data!G256</f>
        <v>-5.2535865831481177E-3</v>
      </c>
      <c r="D256" s="5">
        <f>Data!H256</f>
        <v>-3.8195707530010892E-2</v>
      </c>
      <c r="E256" s="5">
        <f>Data!I256</f>
        <v>2.4646280237334617E-2</v>
      </c>
    </row>
    <row r="257" spans="1:5" x14ac:dyDescent="0.2">
      <c r="A257" s="2">
        <f>Data!A257</f>
        <v>45754</v>
      </c>
      <c r="B257" s="5">
        <f>Data!F257</f>
        <v>8.1073607293693506E-3</v>
      </c>
      <c r="C257" s="5">
        <f>Data!G257</f>
        <v>-8.0176388053717629E-3</v>
      </c>
      <c r="D257" s="5">
        <f>Data!H257</f>
        <v>0</v>
      </c>
      <c r="E257" s="5">
        <f>Data!I257</f>
        <v>-4.0718038528896661E-2</v>
      </c>
    </row>
    <row r="258" spans="1:5" x14ac:dyDescent="0.2">
      <c r="A258" s="2">
        <f>Data!A258</f>
        <v>45753</v>
      </c>
      <c r="B258" s="5">
        <f>Data!F258</f>
        <v>-3.8128745471178838E-2</v>
      </c>
      <c r="C258" s="5">
        <f>Data!G258</f>
        <v>-1.5004935834155964E-2</v>
      </c>
      <c r="D258" s="5">
        <f>Data!H258</f>
        <v>-2.4023668639053253E-2</v>
      </c>
      <c r="E258" s="5">
        <f>Data!I258</f>
        <v>-3.5880118193330479E-2</v>
      </c>
    </row>
    <row r="259" spans="1:5" x14ac:dyDescent="0.2">
      <c r="A259" s="2">
        <f>Data!A259</f>
        <v>45750</v>
      </c>
      <c r="B259" s="5">
        <f>Data!F259</f>
        <v>-8.5308549235219022E-3</v>
      </c>
      <c r="C259" s="5">
        <f>Data!G259</f>
        <v>1.0978043912175606E-2</v>
      </c>
      <c r="D259" s="5">
        <f>Data!H259</f>
        <v>4.5792079207920722E-2</v>
      </c>
      <c r="E259" s="5">
        <f>Data!I259</f>
        <v>0</v>
      </c>
    </row>
    <row r="260" spans="1:5" x14ac:dyDescent="0.2">
      <c r="A260" s="2">
        <f>Data!A260</f>
        <v>45749</v>
      </c>
      <c r="B260" s="5">
        <f>Data!F260</f>
        <v>1.6341514920160449E-2</v>
      </c>
      <c r="C260" s="5">
        <f>Data!G260</f>
        <v>3.512396694214881E-2</v>
      </c>
      <c r="D260" s="5">
        <f>Data!H260</f>
        <v>1.8915510718789497E-2</v>
      </c>
      <c r="E260" s="5">
        <f>Data!I260</f>
        <v>0</v>
      </c>
    </row>
    <row r="261" spans="1:5" x14ac:dyDescent="0.2">
      <c r="A261" s="2">
        <f>Data!A261</f>
        <v>45748</v>
      </c>
      <c r="B261" s="5">
        <f>Data!F261</f>
        <v>6.5318868896282467E-3</v>
      </c>
      <c r="C261" s="5">
        <f>Data!G261</f>
        <v>-2.0656889072501183E-4</v>
      </c>
      <c r="D261" s="5">
        <f>Data!H261</f>
        <v>1.7318794098781343E-2</v>
      </c>
      <c r="E261" s="5">
        <f>Data!I261</f>
        <v>0</v>
      </c>
    </row>
    <row r="262" spans="1:5" x14ac:dyDescent="0.2">
      <c r="A262" s="2">
        <f>Data!A262</f>
        <v>45747</v>
      </c>
      <c r="B262" s="5">
        <f>Data!F262</f>
        <v>-5.0106150204574096E-3</v>
      </c>
      <c r="C262" s="5">
        <f>Data!G262</f>
        <v>-1.2040816326530646E-2</v>
      </c>
      <c r="D262" s="5">
        <f>Data!H262</f>
        <v>2.8364116094986791E-2</v>
      </c>
      <c r="E262" s="5">
        <f>Data!I262</f>
        <v>0</v>
      </c>
    </row>
    <row r="263" spans="1:5" x14ac:dyDescent="0.2">
      <c r="A263" s="2">
        <f>Data!A263</f>
        <v>45746</v>
      </c>
      <c r="B263" s="5">
        <f>Data!F263</f>
        <v>-1.2605565081902026E-2</v>
      </c>
      <c r="C263" s="5">
        <f>Data!G263</f>
        <v>-6.2867572500506785E-3</v>
      </c>
      <c r="D263" s="5">
        <f>Data!H263</f>
        <v>8.6493679308050631E-3</v>
      </c>
      <c r="E263" s="5">
        <f>Data!I263</f>
        <v>0</v>
      </c>
    </row>
    <row r="264" spans="1:5" x14ac:dyDescent="0.2">
      <c r="A264" s="2">
        <f>Data!A264</f>
        <v>45743</v>
      </c>
      <c r="B264" s="5">
        <f>Data!F264</f>
        <v>1.0858887238067494E-2</v>
      </c>
      <c r="C264" s="5">
        <f>Data!G264</f>
        <v>0.1031319910514541</v>
      </c>
      <c r="D264" s="5">
        <f>Data!H264</f>
        <v>-1.764705882352946E-2</v>
      </c>
      <c r="E264" s="5">
        <f>Data!I264</f>
        <v>8.0851063829787684E-3</v>
      </c>
    </row>
    <row r="265" spans="1:5" x14ac:dyDescent="0.2">
      <c r="A265" s="2">
        <f>Data!A265</f>
        <v>45742</v>
      </c>
      <c r="B265" s="5">
        <f>Data!F265</f>
        <v>-1.2847227787840421E-2</v>
      </c>
      <c r="C265" s="5">
        <f>Data!G265</f>
        <v>-2.0595968448729129E-2</v>
      </c>
      <c r="D265" s="5">
        <f>Data!H265</f>
        <v>2.3584905660376521E-3</v>
      </c>
      <c r="E265" s="5">
        <f>Data!I265</f>
        <v>0</v>
      </c>
    </row>
    <row r="266" spans="1:5" x14ac:dyDescent="0.2">
      <c r="A266" s="2">
        <f>Data!A266</f>
        <v>45741</v>
      </c>
      <c r="B266" s="5">
        <f>Data!F266</f>
        <v>3.7527904591436734E-3</v>
      </c>
      <c r="C266" s="5">
        <f>Data!G266</f>
        <v>3.5180299032542273E-3</v>
      </c>
      <c r="D266" s="5">
        <f>Data!H266</f>
        <v>-1.2933264355923457E-2</v>
      </c>
      <c r="E266" s="5">
        <f>Data!I266</f>
        <v>0</v>
      </c>
    </row>
    <row r="267" spans="1:5" x14ac:dyDescent="0.2">
      <c r="A267" s="2">
        <f>Data!A267</f>
        <v>45740</v>
      </c>
      <c r="B267" s="5">
        <f>Data!F267</f>
        <v>1.9289902013037707E-2</v>
      </c>
      <c r="C267" s="5">
        <f>Data!G267</f>
        <v>2.6636568848758424E-2</v>
      </c>
      <c r="D267" s="5">
        <f>Data!H267</f>
        <v>4.2862709442785807E-3</v>
      </c>
      <c r="E267" s="5">
        <f>Data!I267</f>
        <v>0</v>
      </c>
    </row>
    <row r="268" spans="1:5" x14ac:dyDescent="0.2">
      <c r="A268" s="2">
        <f>Data!A268</f>
        <v>45739</v>
      </c>
      <c r="B268" s="5">
        <f>Data!F268</f>
        <v>-3.6450617649731121E-2</v>
      </c>
      <c r="C268" s="5">
        <f>Data!G268</f>
        <v>-3.2751091703056789E-2</v>
      </c>
      <c r="D268" s="5">
        <f>Data!H268</f>
        <v>-2.8639919253091062E-2</v>
      </c>
      <c r="E268" s="5">
        <f>Data!I268</f>
        <v>0</v>
      </c>
    </row>
    <row r="269" spans="1:5" x14ac:dyDescent="0.2">
      <c r="A269" s="2">
        <f>Data!A269</f>
        <v>45736</v>
      </c>
      <c r="B269" s="5">
        <f>Data!F269</f>
        <v>-3.6173127184557785E-3</v>
      </c>
      <c r="C269" s="5">
        <f>Data!G269</f>
        <v>-2.5739204424590545E-2</v>
      </c>
      <c r="D269" s="5">
        <f>Data!H269</f>
        <v>4.3081601621894894E-3</v>
      </c>
      <c r="E269" s="5">
        <f>Data!I269</f>
        <v>0</v>
      </c>
    </row>
    <row r="270" spans="1:5" x14ac:dyDescent="0.2">
      <c r="A270" s="2">
        <f>Data!A270</f>
        <v>45735</v>
      </c>
      <c r="B270" s="5">
        <f>Data!F270</f>
        <v>-9.3274270027452477E-3</v>
      </c>
      <c r="C270" s="5">
        <f>Data!G270</f>
        <v>-8.2278481012658666E-3</v>
      </c>
      <c r="D270" s="5">
        <f>Data!H270</f>
        <v>-3.3790401567091122E-2</v>
      </c>
      <c r="E270" s="5">
        <f>Data!I270</f>
        <v>-3.3319621554915635E-2</v>
      </c>
    </row>
    <row r="271" spans="1:5" x14ac:dyDescent="0.2">
      <c r="A271" s="2">
        <f>Data!A271</f>
        <v>45734</v>
      </c>
      <c r="B271" s="5">
        <f>Data!F271</f>
        <v>-1.0468396093548105E-2</v>
      </c>
      <c r="C271" s="5">
        <f>Data!G271</f>
        <v>-2.8688524590163911E-2</v>
      </c>
      <c r="D271" s="5">
        <f>Data!H271</f>
        <v>-5.648608062839322E-2</v>
      </c>
      <c r="E271" s="5">
        <f>Data!I271</f>
        <v>0</v>
      </c>
    </row>
    <row r="272" spans="1:5" x14ac:dyDescent="0.2">
      <c r="A272" s="2">
        <f>Data!A272</f>
        <v>45733</v>
      </c>
      <c r="B272" s="5">
        <f>Data!F272</f>
        <v>-2.4903005296218472E-3</v>
      </c>
      <c r="C272" s="5">
        <f>Data!G272</f>
        <v>-1.6327353356178187E-2</v>
      </c>
      <c r="D272" s="5">
        <f>Data!H272</f>
        <v>-3.7974683544304E-3</v>
      </c>
      <c r="E272" s="5">
        <f>Data!I272</f>
        <v>-2.4478330658105896E-2</v>
      </c>
    </row>
    <row r="273" spans="1:5" x14ac:dyDescent="0.2">
      <c r="A273" s="2">
        <f>Data!A273</f>
        <v>45732</v>
      </c>
      <c r="B273" s="5">
        <f>Data!F273</f>
        <v>1.1484944989060164E-2</v>
      </c>
      <c r="C273" s="5">
        <f>Data!G273</f>
        <v>2.1622734761120199E-2</v>
      </c>
      <c r="D273" s="5">
        <f>Data!H273</f>
        <v>3.0109056424845848E-2</v>
      </c>
      <c r="E273" s="5">
        <f>Data!I273</f>
        <v>0</v>
      </c>
    </row>
    <row r="274" spans="1:5" x14ac:dyDescent="0.2">
      <c r="A274" s="2">
        <f>Data!A274</f>
        <v>45729</v>
      </c>
      <c r="B274" s="5">
        <f>Data!F274</f>
        <v>5.4016392800944057E-3</v>
      </c>
      <c r="C274" s="5">
        <f>Data!G274</f>
        <v>-4.9180327868852958E-3</v>
      </c>
      <c r="D274" s="5">
        <f>Data!H274</f>
        <v>-1.8930430667297715E-3</v>
      </c>
      <c r="E274" s="5">
        <f>Data!I274</f>
        <v>0</v>
      </c>
    </row>
    <row r="275" spans="1:5" x14ac:dyDescent="0.2">
      <c r="A275" s="2">
        <f>Data!A275</f>
        <v>45728</v>
      </c>
      <c r="B275" s="5">
        <f>Data!F275</f>
        <v>1.5114791357073276E-2</v>
      </c>
      <c r="C275" s="5">
        <f>Data!G275</f>
        <v>3.0623020063357931E-2</v>
      </c>
      <c r="D275" s="5">
        <f>Data!H275</f>
        <v>-1.4177693761814325E-3</v>
      </c>
      <c r="E275" s="5">
        <f>Data!I275</f>
        <v>0</v>
      </c>
    </row>
    <row r="276" spans="1:5" x14ac:dyDescent="0.2">
      <c r="A276" s="2">
        <f>Data!A276</f>
        <v>45727</v>
      </c>
      <c r="B276" s="5">
        <f>Data!F276</f>
        <v>-4.1507895996804045E-3</v>
      </c>
      <c r="C276" s="5">
        <f>Data!G276</f>
        <v>1.7185821697099923E-2</v>
      </c>
      <c r="D276" s="5">
        <f>Data!H276</f>
        <v>3.433948429671263E-2</v>
      </c>
      <c r="E276" s="5">
        <f>Data!I276</f>
        <v>0</v>
      </c>
    </row>
    <row r="277" spans="1:5" x14ac:dyDescent="0.2">
      <c r="A277" s="2">
        <f>Data!A277</f>
        <v>45726</v>
      </c>
      <c r="B277" s="5">
        <f>Data!F277</f>
        <v>-8.6495010355865931E-3</v>
      </c>
      <c r="C277" s="5">
        <f>Data!G277</f>
        <v>-2.4109014675052443E-2</v>
      </c>
      <c r="D277" s="5">
        <f>Data!H277</f>
        <v>-2.4323357577202831E-2</v>
      </c>
      <c r="E277" s="5">
        <f>Data!I277</f>
        <v>4.0290088638195165E-3</v>
      </c>
    </row>
    <row r="278" spans="1:5" x14ac:dyDescent="0.2">
      <c r="A278" s="2">
        <f>Data!A278</f>
        <v>45725</v>
      </c>
      <c r="B278" s="5">
        <f>Data!F278</f>
        <v>1.1775631943038878E-2</v>
      </c>
      <c r="C278" s="5">
        <f>Data!G278</f>
        <v>1.9230769230769162E-2</v>
      </c>
      <c r="D278" s="5">
        <f>Data!H278</f>
        <v>7.9317389736810462E-3</v>
      </c>
      <c r="E278" s="5">
        <f>Data!I278</f>
        <v>1.2101653892697684E-3</v>
      </c>
    </row>
    <row r="279" spans="1:5" x14ac:dyDescent="0.2">
      <c r="A279" s="2">
        <f>Data!A279</f>
        <v>45722</v>
      </c>
      <c r="B279" s="5">
        <f>Data!F279</f>
        <v>-6.2866044842342372E-3</v>
      </c>
      <c r="C279" s="5">
        <f>Data!G279</f>
        <v>-1.6806722689075682E-2</v>
      </c>
      <c r="D279" s="5">
        <f>Data!H279</f>
        <v>-8.8147706968433326E-3</v>
      </c>
      <c r="E279" s="5">
        <f>Data!I279</f>
        <v>0</v>
      </c>
    </row>
    <row r="280" spans="1:5" x14ac:dyDescent="0.2">
      <c r="A280" s="2">
        <f>Data!A280</f>
        <v>45721</v>
      </c>
      <c r="B280" s="5">
        <f>Data!F280</f>
        <v>9.7206846292920979E-3</v>
      </c>
      <c r="C280" s="5">
        <f>Data!G280</f>
        <v>2.1897810218978186E-2</v>
      </c>
      <c r="D280" s="5">
        <f>Data!H280</f>
        <v>-8.3864871249704764E-3</v>
      </c>
      <c r="E280" s="5">
        <f>Data!I280</f>
        <v>0</v>
      </c>
    </row>
    <row r="281" spans="1:5" x14ac:dyDescent="0.2">
      <c r="A281" s="2">
        <f>Data!A281</f>
        <v>45720</v>
      </c>
      <c r="B281" s="5">
        <f>Data!F281</f>
        <v>-2.0982783357245349E-2</v>
      </c>
      <c r="C281" s="5">
        <f>Data!G281</f>
        <v>-8.936170212765937E-3</v>
      </c>
      <c r="D281" s="5">
        <f>Data!H281</f>
        <v>-6.1047194177037412E-3</v>
      </c>
      <c r="E281" s="5">
        <f>Data!I281</f>
        <v>0</v>
      </c>
    </row>
    <row r="282" spans="1:5" x14ac:dyDescent="0.2">
      <c r="A282" s="2">
        <f>Data!A282</f>
        <v>45719</v>
      </c>
      <c r="B282" s="5">
        <f>Data!F282</f>
        <v>1.2417604104993041E-2</v>
      </c>
      <c r="C282" s="5">
        <f>Data!G282</f>
        <v>-1.89939469839282E-2</v>
      </c>
      <c r="D282" s="5">
        <f>Data!H282</f>
        <v>9.4007050528799319E-4</v>
      </c>
      <c r="E282" s="5">
        <f>Data!I282</f>
        <v>0</v>
      </c>
    </row>
    <row r="283" spans="1:5" x14ac:dyDescent="0.2">
      <c r="A283" s="2">
        <f>Data!A283</f>
        <v>45718</v>
      </c>
      <c r="B283" s="5">
        <f>Data!F283</f>
        <v>-3.5476613753283592E-3</v>
      </c>
      <c r="C283" s="5">
        <f>Data!G283</f>
        <v>-5.8103340942103898E-3</v>
      </c>
      <c r="D283" s="5">
        <f>Data!H283</f>
        <v>0</v>
      </c>
      <c r="E283" s="5">
        <f>Data!I283</f>
        <v>-4.417670682730912E-3</v>
      </c>
    </row>
    <row r="284" spans="1:5" x14ac:dyDescent="0.2">
      <c r="A284" s="2">
        <f>Data!A284</f>
        <v>45715</v>
      </c>
      <c r="B284" s="5">
        <f>Data!F284</f>
        <v>7.8662733529188955E-6</v>
      </c>
      <c r="C284" s="5">
        <f>Data!G284</f>
        <v>2.2878535773711572E-3</v>
      </c>
      <c r="D284" s="5">
        <f>Data!H284</f>
        <v>1.8673689250658265E-2</v>
      </c>
      <c r="E284" s="5">
        <f>Data!I284</f>
        <v>2.4154589371980784E-3</v>
      </c>
    </row>
    <row r="285" spans="1:5" x14ac:dyDescent="0.2">
      <c r="A285" s="2">
        <f>Data!A285</f>
        <v>45714</v>
      </c>
      <c r="B285" s="5">
        <f>Data!F285</f>
        <v>4.1667489484389364E-3</v>
      </c>
      <c r="C285" s="5">
        <f>Data!G285</f>
        <v>1.4580295771713381E-3</v>
      </c>
      <c r="D285" s="5">
        <f>Data!H285</f>
        <v>8.386246555649457E-4</v>
      </c>
      <c r="E285" s="5">
        <f>Data!I285</f>
        <v>0</v>
      </c>
    </row>
    <row r="286" spans="1:5" x14ac:dyDescent="0.2">
      <c r="A286" s="2">
        <f>Data!A286</f>
        <v>45713</v>
      </c>
      <c r="B286" s="5">
        <f>Data!F286</f>
        <v>-2.4702350466074829E-3</v>
      </c>
      <c r="C286" s="5">
        <f>Data!G286</f>
        <v>5.2345058626466212E-3</v>
      </c>
      <c r="D286" s="5">
        <f>Data!H286</f>
        <v>-3.4622731614135649E-3</v>
      </c>
      <c r="E286" s="5">
        <f>Data!I286</f>
        <v>2.8145695364238499E-2</v>
      </c>
    </row>
    <row r="287" spans="1:5" x14ac:dyDescent="0.2">
      <c r="A287" s="2">
        <f>Data!A287</f>
        <v>45712</v>
      </c>
      <c r="B287" s="5">
        <f>Data!F287</f>
        <v>-6.4703004207848913E-3</v>
      </c>
      <c r="C287" s="5">
        <f>Data!G287</f>
        <v>-6.2774639045826142E-4</v>
      </c>
      <c r="D287" s="5">
        <f>Data!H287</f>
        <v>-7.1581961345745793E-4</v>
      </c>
      <c r="E287" s="5">
        <f>Data!I287</f>
        <v>-1.1051985264019626E-2</v>
      </c>
    </row>
    <row r="288" spans="1:5" x14ac:dyDescent="0.2">
      <c r="A288" s="2">
        <f>Data!A288</f>
        <v>45711</v>
      </c>
      <c r="B288" s="5">
        <f>Data!F288</f>
        <v>-1.3000309071240945E-2</v>
      </c>
      <c r="C288" s="5">
        <f>Data!G288</f>
        <v>-1.6868957004731566E-2</v>
      </c>
      <c r="D288" s="5">
        <f>Data!H288</f>
        <v>-1.365027065191815E-2</v>
      </c>
      <c r="E288" s="5">
        <f>Data!I288</f>
        <v>0</v>
      </c>
    </row>
    <row r="289" spans="1:5" x14ac:dyDescent="0.2">
      <c r="A289" s="2">
        <f>Data!A289</f>
        <v>45708</v>
      </c>
      <c r="B289" s="5">
        <f>Data!F289</f>
        <v>-5.4675462897146865E-3</v>
      </c>
      <c r="C289" s="5">
        <f>Data!G289</f>
        <v>-8.1615996735360241E-3</v>
      </c>
      <c r="D289" s="5">
        <f>Data!H289</f>
        <v>-1.0940409683426466E-2</v>
      </c>
      <c r="E289" s="5">
        <f>Data!I289</f>
        <v>0</v>
      </c>
    </row>
    <row r="290" spans="1:5" x14ac:dyDescent="0.2">
      <c r="A290" s="2">
        <f>Data!A290</f>
        <v>45707</v>
      </c>
      <c r="B290" s="5">
        <f>Data!F290</f>
        <v>-2.7053021623257845E-3</v>
      </c>
      <c r="C290" s="5">
        <f>Data!G290</f>
        <v>1.2394133443503375E-2</v>
      </c>
      <c r="D290" s="5">
        <f>Data!H290</f>
        <v>-1.1637379262185998E-4</v>
      </c>
      <c r="E290" s="5">
        <f>Data!I290</f>
        <v>0</v>
      </c>
    </row>
    <row r="291" spans="1:5" x14ac:dyDescent="0.2">
      <c r="A291" s="2">
        <f>Data!A291</f>
        <v>45706</v>
      </c>
      <c r="B291" s="5">
        <f>Data!F291</f>
        <v>1.4965716530349615E-2</v>
      </c>
      <c r="C291" s="5">
        <f>Data!G291</f>
        <v>8.9620675281367745E-3</v>
      </c>
      <c r="D291" s="5">
        <f>Data!H291</f>
        <v>1.7404688609993002E-2</v>
      </c>
      <c r="E291" s="5">
        <f>Data!I291</f>
        <v>0</v>
      </c>
    </row>
    <row r="292" spans="1:5" x14ac:dyDescent="0.2">
      <c r="A292" s="2">
        <f>Data!A292</f>
        <v>45705</v>
      </c>
      <c r="B292" s="5">
        <f>Data!F292</f>
        <v>-4.1866445651078665E-3</v>
      </c>
      <c r="C292" s="5">
        <f>Data!G292</f>
        <v>-7.2418787502586124E-3</v>
      </c>
      <c r="D292" s="5">
        <f>Data!H292</f>
        <v>2.1357380161366457E-3</v>
      </c>
      <c r="E292" s="5">
        <f>Data!I292</f>
        <v>0</v>
      </c>
    </row>
    <row r="293" spans="1:5" x14ac:dyDescent="0.2">
      <c r="A293" s="2">
        <f>Data!A293</f>
        <v>45704</v>
      </c>
      <c r="B293" s="5">
        <f>Data!F293</f>
        <v>3.0768035429860063E-3</v>
      </c>
      <c r="C293" s="5">
        <f>Data!G293</f>
        <v>1.0356255178127771E-3</v>
      </c>
      <c r="D293" s="5">
        <f>Data!H293</f>
        <v>1.9020446980504424E-3</v>
      </c>
      <c r="E293" s="5">
        <f>Data!I293</f>
        <v>8.6705202312138407E-3</v>
      </c>
    </row>
    <row r="294" spans="1:5" x14ac:dyDescent="0.2">
      <c r="A294" s="2">
        <f>Data!A294</f>
        <v>45701</v>
      </c>
      <c r="B294" s="5">
        <f>Data!F294</f>
        <v>1.7310200371497331E-2</v>
      </c>
      <c r="C294" s="5">
        <f>Data!G294</f>
        <v>2.0934658490167068E-2</v>
      </c>
      <c r="D294" s="5">
        <f>Data!H294</f>
        <v>5.0179211469534302E-3</v>
      </c>
      <c r="E294" s="5">
        <f>Data!I294</f>
        <v>8.2644628099171058E-4</v>
      </c>
    </row>
    <row r="295" spans="1:5" x14ac:dyDescent="0.2">
      <c r="A295" s="2">
        <f>Data!A295</f>
        <v>45700</v>
      </c>
      <c r="B295" s="5">
        <f>Data!F295</f>
        <v>-1.485331620237873E-2</v>
      </c>
      <c r="C295" s="5">
        <f>Data!G295</f>
        <v>-2.0708221163801999E-2</v>
      </c>
      <c r="D295" s="5">
        <f>Data!H295</f>
        <v>-1.0521338219647736E-2</v>
      </c>
      <c r="E295" s="5">
        <f>Data!I295</f>
        <v>0</v>
      </c>
    </row>
    <row r="296" spans="1:5" x14ac:dyDescent="0.2">
      <c r="A296" s="2">
        <f>Data!A296</f>
        <v>45699</v>
      </c>
      <c r="B296" s="5">
        <f>Data!F296</f>
        <v>-7.6882956323527374E-3</v>
      </c>
      <c r="C296" s="5">
        <f>Data!G296</f>
        <v>-1.7097496438021609E-2</v>
      </c>
      <c r="D296" s="5">
        <f>Data!H296</f>
        <v>1.0650887573964152E-3</v>
      </c>
      <c r="E296" s="5">
        <f>Data!I296</f>
        <v>0</v>
      </c>
    </row>
    <row r="297" spans="1:5" x14ac:dyDescent="0.2">
      <c r="A297" s="2">
        <f>Data!A297</f>
        <v>45698</v>
      </c>
      <c r="B297" s="5">
        <f>Data!F297</f>
        <v>9.4811313396045982E-3</v>
      </c>
      <c r="C297" s="5">
        <f>Data!G297</f>
        <v>1.007401315789469E-2</v>
      </c>
      <c r="D297" s="5">
        <f>Data!H297</f>
        <v>0</v>
      </c>
      <c r="E297" s="5">
        <f>Data!I297</f>
        <v>0</v>
      </c>
    </row>
    <row r="298" spans="1:5" x14ac:dyDescent="0.2">
      <c r="A298" s="2">
        <f>Data!A298</f>
        <v>45697</v>
      </c>
      <c r="B298" s="5">
        <f>Data!F298</f>
        <v>-3.660441584481644E-3</v>
      </c>
      <c r="C298" s="5">
        <f>Data!G298</f>
        <v>-1.7373737373737375E-2</v>
      </c>
      <c r="D298" s="5">
        <f>Data!H298</f>
        <v>-1.9835285929706514E-2</v>
      </c>
      <c r="E298" s="5">
        <f>Data!I298</f>
        <v>0</v>
      </c>
    </row>
    <row r="299" spans="1:5" x14ac:dyDescent="0.2">
      <c r="A299" s="2">
        <f>Data!A299</f>
        <v>45694</v>
      </c>
      <c r="B299" s="5">
        <f>Data!F299</f>
        <v>-1.8772059108715933E-3</v>
      </c>
      <c r="C299" s="5">
        <f>Data!G299</f>
        <v>-2.7122641509433998E-2</v>
      </c>
      <c r="D299" s="5">
        <f>Data!H299</f>
        <v>-1.6877637130801704E-2</v>
      </c>
      <c r="E299" s="5">
        <f>Data!I299</f>
        <v>0</v>
      </c>
    </row>
    <row r="300" spans="1:5" x14ac:dyDescent="0.2">
      <c r="A300" s="2">
        <f>Data!A300</f>
        <v>45693</v>
      </c>
      <c r="B300" s="5">
        <f>Data!F300</f>
        <v>1.5886650013002601E-2</v>
      </c>
      <c r="C300" s="5">
        <f>Data!G300</f>
        <v>7.5247524752475314E-3</v>
      </c>
      <c r="D300" s="5">
        <f>Data!H300</f>
        <v>8.5106382978723527E-3</v>
      </c>
      <c r="E300" s="5">
        <f>Data!I300</f>
        <v>8.3333333333333037E-3</v>
      </c>
    </row>
    <row r="301" spans="1:5" x14ac:dyDescent="0.2">
      <c r="A301" s="2">
        <f>Data!A301</f>
        <v>45692</v>
      </c>
      <c r="B301" s="5">
        <f>Data!F301</f>
        <v>1.4437258679542486E-2</v>
      </c>
      <c r="C301" s="5">
        <f>Data!G301</f>
        <v>2.746693794506605E-2</v>
      </c>
      <c r="D301" s="5">
        <f>Data!H301</f>
        <v>1.6959064327485285E-2</v>
      </c>
      <c r="E301" s="5">
        <f>Data!I301</f>
        <v>2.2582019599488801E-2</v>
      </c>
    </row>
    <row r="302" spans="1:5" x14ac:dyDescent="0.2">
      <c r="A302" s="2">
        <f>Data!A302</f>
        <v>45691</v>
      </c>
      <c r="B302" s="5">
        <f>Data!F302</f>
        <v>-3.4018483110260789E-3</v>
      </c>
      <c r="C302" s="5">
        <f>Data!G302</f>
        <v>-3.8508309687880216E-3</v>
      </c>
      <c r="D302" s="5">
        <f>Data!H302</f>
        <v>-1.1332099907493065E-2</v>
      </c>
      <c r="E302" s="5">
        <f>Data!I302</f>
        <v>-2.2083333333333344E-2</v>
      </c>
    </row>
    <row r="303" spans="1:5" x14ac:dyDescent="0.2">
      <c r="A303" s="2">
        <f>Data!A303</f>
        <v>45690</v>
      </c>
      <c r="B303" s="5">
        <f>Data!F303</f>
        <v>3.9190594257378919E-3</v>
      </c>
      <c r="C303" s="5">
        <f>Data!G303</f>
        <v>-1.4185814185814216E-2</v>
      </c>
      <c r="D303" s="5">
        <f>Data!H303</f>
        <v>5.5813953488372814E-3</v>
      </c>
      <c r="E303" s="5">
        <f>Data!I303</f>
        <v>-2.0408163265306145E-2</v>
      </c>
    </row>
    <row r="304" spans="1:5" x14ac:dyDescent="0.2">
      <c r="A304" s="2">
        <f>Data!A304</f>
        <v>45687</v>
      </c>
      <c r="B304" s="5">
        <f>Data!F304</f>
        <v>-7.4857310693561274E-3</v>
      </c>
      <c r="C304" s="5">
        <f>Data!G304</f>
        <v>-1.9780650215432849E-2</v>
      </c>
      <c r="D304" s="5">
        <f>Data!H304</f>
        <v>2.6815902996386587E-3</v>
      </c>
      <c r="E304" s="5">
        <f>Data!I304</f>
        <v>-2.0000000000000018E-2</v>
      </c>
    </row>
    <row r="305" spans="1:5" x14ac:dyDescent="0.2">
      <c r="A305" s="2">
        <f>Data!A305</f>
        <v>45686</v>
      </c>
      <c r="B305" s="5">
        <f>Data!F305</f>
        <v>5.2708229426434716E-3</v>
      </c>
      <c r="C305" s="5">
        <f>Data!G305</f>
        <v>2.3246492985971923E-2</v>
      </c>
      <c r="D305" s="5">
        <f>Data!H305</f>
        <v>1.5029585798816525E-2</v>
      </c>
      <c r="E305" s="5">
        <f>Data!I305</f>
        <v>0</v>
      </c>
    </row>
    <row r="306" spans="1:5" x14ac:dyDescent="0.2">
      <c r="A306" s="2">
        <f>Data!A306</f>
        <v>45685</v>
      </c>
      <c r="B306" s="5">
        <f>Data!F306</f>
        <v>1.3024422790344214E-3</v>
      </c>
      <c r="C306" s="5">
        <f>Data!G306</f>
        <v>1.402154033732983E-2</v>
      </c>
      <c r="D306" s="5">
        <f>Data!H306</f>
        <v>-4.1249263406010206E-3</v>
      </c>
      <c r="E306" s="5">
        <f>Data!I306</f>
        <v>0</v>
      </c>
    </row>
    <row r="307" spans="1:5" x14ac:dyDescent="0.2">
      <c r="A307" s="2">
        <f>Data!A307</f>
        <v>45684</v>
      </c>
      <c r="B307" s="5">
        <f>Data!F307</f>
        <v>-2.171542475230126E-2</v>
      </c>
      <c r="C307" s="5">
        <f>Data!G307</f>
        <v>-4.2492917847025691E-3</v>
      </c>
      <c r="D307" s="5">
        <f>Data!H307</f>
        <v>-1.5547047221255328E-2</v>
      </c>
      <c r="E307" s="5">
        <f>Data!I307</f>
        <v>0</v>
      </c>
    </row>
    <row r="308" spans="1:5" x14ac:dyDescent="0.2">
      <c r="A308" s="2">
        <f>Data!A308</f>
        <v>45683</v>
      </c>
      <c r="B308" s="5">
        <f>Data!F308</f>
        <v>2.5411470346781151E-4</v>
      </c>
      <c r="C308" s="5">
        <f>Data!G308</f>
        <v>-4.045307443365509E-4</v>
      </c>
      <c r="D308" s="5">
        <f>Data!H308</f>
        <v>-1.9685039370078705E-3</v>
      </c>
      <c r="E308" s="5">
        <f>Data!I308</f>
        <v>4.4194455604660288E-3</v>
      </c>
    </row>
    <row r="309" spans="1:5" x14ac:dyDescent="0.2">
      <c r="A309" s="2">
        <f>Data!A309</f>
        <v>45680</v>
      </c>
      <c r="B309" s="5">
        <f>Data!F309</f>
        <v>-6.5404662218320198E-3</v>
      </c>
      <c r="C309" s="5">
        <f>Data!G309</f>
        <v>-7.2289156626506035E-3</v>
      </c>
      <c r="D309" s="5">
        <f>Data!H309</f>
        <v>9.1142790371581128E-3</v>
      </c>
      <c r="E309" s="5">
        <f>Data!I309</f>
        <v>-2.659366445052791E-2</v>
      </c>
    </row>
    <row r="310" spans="1:5" x14ac:dyDescent="0.2">
      <c r="A310" s="2">
        <f>Data!A310</f>
        <v>45679</v>
      </c>
      <c r="B310" s="5">
        <f>Data!F310</f>
        <v>-6.9845922440557873E-3</v>
      </c>
      <c r="C310" s="5">
        <f>Data!G310</f>
        <v>-9.9403578528827197E-3</v>
      </c>
      <c r="D310" s="5">
        <f>Data!H310</f>
        <v>-1.0978851265457057E-2</v>
      </c>
      <c r="E310" s="5">
        <f>Data!I310</f>
        <v>-1.1596443757247776E-2</v>
      </c>
    </row>
    <row r="311" spans="1:5" x14ac:dyDescent="0.2">
      <c r="A311" s="2">
        <f>Data!A311</f>
        <v>45678</v>
      </c>
      <c r="B311" s="5">
        <f>Data!F311</f>
        <v>-3.9708853146647183E-4</v>
      </c>
      <c r="C311" s="5">
        <f>Data!G311</f>
        <v>-1.9302008188730735E-2</v>
      </c>
      <c r="D311" s="5">
        <f>Data!H311</f>
        <v>-3.9138943248532287E-3</v>
      </c>
      <c r="E311" s="5">
        <f>Data!I311</f>
        <v>0</v>
      </c>
    </row>
    <row r="312" spans="1:5" x14ac:dyDescent="0.2">
      <c r="A312" s="2">
        <f>Data!A312</f>
        <v>45677</v>
      </c>
      <c r="B312" s="5">
        <f>Data!F312</f>
        <v>-5.9335290627338111E-4</v>
      </c>
      <c r="C312" s="5">
        <f>Data!G312</f>
        <v>9.6456692913384767E-3</v>
      </c>
      <c r="D312" s="5">
        <f>Data!H312</f>
        <v>-7.1999999999999842E-3</v>
      </c>
      <c r="E312" s="5">
        <f>Data!I312</f>
        <v>4.6601941747572706E-3</v>
      </c>
    </row>
    <row r="313" spans="1:5" x14ac:dyDescent="0.2">
      <c r="A313" s="2">
        <f>Data!A313</f>
        <v>45676</v>
      </c>
      <c r="B313" s="5">
        <f>Data!F313</f>
        <v>1.1043719103881022E-2</v>
      </c>
      <c r="C313" s="5">
        <f>Data!G313</f>
        <v>1.9057171514543558E-2</v>
      </c>
      <c r="D313" s="5">
        <f>Data!H313</f>
        <v>2.5911595732207804E-2</v>
      </c>
      <c r="E313" s="5">
        <f>Data!I313</f>
        <v>5.859375E-3</v>
      </c>
    </row>
    <row r="314" spans="1:5" x14ac:dyDescent="0.2">
      <c r="A314" s="2">
        <f>Data!A314</f>
        <v>45673</v>
      </c>
      <c r="B314" s="5">
        <f>Data!F314</f>
        <v>3.3182468400441145E-3</v>
      </c>
      <c r="C314" s="5">
        <f>Data!G314</f>
        <v>-2.4461839530332652E-2</v>
      </c>
      <c r="D314" s="5">
        <f>Data!H314</f>
        <v>5.185621685326991E-3</v>
      </c>
      <c r="E314" s="5">
        <f>Data!I314</f>
        <v>2.2772672792648718E-2</v>
      </c>
    </row>
    <row r="315" spans="1:5" x14ac:dyDescent="0.2">
      <c r="A315" s="2">
        <f>Data!A315</f>
        <v>45672</v>
      </c>
      <c r="B315" s="5">
        <f>Data!F315</f>
        <v>1.263327871577502E-2</v>
      </c>
      <c r="C315" s="5">
        <f>Data!G315</f>
        <v>1.2683313515655881E-2</v>
      </c>
      <c r="D315" s="5">
        <f>Data!H315</f>
        <v>3.0984204131227155E-2</v>
      </c>
      <c r="E315" s="5">
        <f>Data!I315</f>
        <v>-5.1669316375199115E-3</v>
      </c>
    </row>
    <row r="316" spans="1:5" x14ac:dyDescent="0.2">
      <c r="A316" s="2">
        <f>Data!A316</f>
        <v>45671</v>
      </c>
      <c r="B316" s="5">
        <f>Data!F316</f>
        <v>1.3123864743597391E-2</v>
      </c>
      <c r="C316" s="5">
        <f>Data!G316</f>
        <v>1.0817307692307709E-2</v>
      </c>
      <c r="D316" s="5">
        <f>Data!H316</f>
        <v>4.8840048840048667E-3</v>
      </c>
      <c r="E316" s="5">
        <f>Data!I316</f>
        <v>6.6101694915254194E-2</v>
      </c>
    </row>
    <row r="317" spans="1:5" x14ac:dyDescent="0.2">
      <c r="A317" s="2">
        <f>Data!A317</f>
        <v>45670</v>
      </c>
      <c r="B317" s="5">
        <f>Data!F317</f>
        <v>5.8977877277865964E-4</v>
      </c>
      <c r="C317" s="5">
        <f>Data!G317</f>
        <v>8.4848484848485395E-3</v>
      </c>
      <c r="D317" s="5">
        <f>Data!H317</f>
        <v>9.7398594501294511E-3</v>
      </c>
      <c r="E317" s="5">
        <f>Data!I317</f>
        <v>0</v>
      </c>
    </row>
    <row r="318" spans="1:5" x14ac:dyDescent="0.2">
      <c r="A318" s="2">
        <f>Data!A318</f>
        <v>45669</v>
      </c>
      <c r="B318" s="5">
        <f>Data!F318</f>
        <v>1.6476715587776525E-3</v>
      </c>
      <c r="C318" s="5">
        <f>Data!G318</f>
        <v>-7.0210631895687436E-3</v>
      </c>
      <c r="D318" s="5">
        <f>Data!H318</f>
        <v>-1.6001969473166122E-3</v>
      </c>
      <c r="E318" s="5">
        <f>Data!I318</f>
        <v>0</v>
      </c>
    </row>
    <row r="319" spans="1:5" x14ac:dyDescent="0.2">
      <c r="A319" s="2">
        <f>Data!A319</f>
        <v>45666</v>
      </c>
      <c r="B319" s="5">
        <f>Data!F319</f>
        <v>3.1201876950117668E-3</v>
      </c>
      <c r="C319" s="5">
        <f>Data!G319</f>
        <v>4.2304593070103813E-3</v>
      </c>
      <c r="D319" s="5">
        <f>Data!H319</f>
        <v>-1.5153351921445068E-2</v>
      </c>
      <c r="E319" s="5">
        <f>Data!I319</f>
        <v>0</v>
      </c>
    </row>
    <row r="320" spans="1:5" x14ac:dyDescent="0.2">
      <c r="A320" s="2">
        <f>Data!A320</f>
        <v>45665</v>
      </c>
      <c r="B320" s="5">
        <f>Data!F320</f>
        <v>-8.0416518376634771E-3</v>
      </c>
      <c r="C320" s="5">
        <f>Data!G320</f>
        <v>-1.3121272365805181E-2</v>
      </c>
      <c r="D320" s="5">
        <f>Data!H320</f>
        <v>-1.9959605560175842E-2</v>
      </c>
      <c r="E320" s="5">
        <f>Data!I320</f>
        <v>0</v>
      </c>
    </row>
    <row r="321" spans="1:5" x14ac:dyDescent="0.2">
      <c r="A321" s="2">
        <f>Data!A321</f>
        <v>45664</v>
      </c>
      <c r="B321" s="5">
        <f>Data!F321</f>
        <v>-9.5962766446522352E-5</v>
      </c>
      <c r="C321" s="5">
        <f>Data!G321</f>
        <v>-1.6617790811339184E-2</v>
      </c>
      <c r="D321" s="5">
        <f>Data!H321</f>
        <v>-1.3709866416686145E-2</v>
      </c>
      <c r="E321" s="5">
        <f>Data!I321</f>
        <v>0</v>
      </c>
    </row>
    <row r="322" spans="1:5" x14ac:dyDescent="0.2">
      <c r="A322" s="2">
        <f>Data!A322</f>
        <v>45663</v>
      </c>
      <c r="B322" s="5">
        <f>Data!F322</f>
        <v>9.2451353074582965E-3</v>
      </c>
      <c r="C322" s="5">
        <f>Data!G322</f>
        <v>1.2670758265689974E-2</v>
      </c>
      <c r="D322" s="5">
        <f>Data!H322</f>
        <v>-7.5590184905222069E-3</v>
      </c>
      <c r="E322" s="5">
        <f>Data!I322</f>
        <v>3.8281582305401685E-3</v>
      </c>
    </row>
    <row r="323" spans="1:5" x14ac:dyDescent="0.2">
      <c r="A323" s="2">
        <f>Data!A323</f>
        <v>45662</v>
      </c>
      <c r="B323" s="5">
        <f>Data!F323</f>
        <v>9.3478499945012228E-3</v>
      </c>
      <c r="C323" s="5">
        <f>Data!G323</f>
        <v>-1.0577864838393736E-2</v>
      </c>
      <c r="D323" s="5">
        <f>Data!H323</f>
        <v>2.6256116481680358E-2</v>
      </c>
      <c r="E323" s="5">
        <f>Data!I323</f>
        <v>2.1729682746632006E-2</v>
      </c>
    </row>
    <row r="324" spans="1:5" x14ac:dyDescent="0.2">
      <c r="A324" s="2">
        <f>Data!A324</f>
        <v>45659</v>
      </c>
      <c r="B324" s="5">
        <f>Data!F324</f>
        <v>6.5143775469209686E-3</v>
      </c>
      <c r="C324" s="5">
        <f>Data!G324</f>
        <v>-1.7513471901462685E-2</v>
      </c>
      <c r="D324" s="5">
        <f>Data!H324</f>
        <v>-2.0114606478774388E-2</v>
      </c>
      <c r="E324" s="5">
        <f>Data!I324</f>
        <v>-5.5806319244973368E-2</v>
      </c>
    </row>
    <row r="325" spans="1:5" x14ac:dyDescent="0.2">
      <c r="A325" s="2">
        <f>Data!A325</f>
        <v>45658</v>
      </c>
      <c r="B325" s="5">
        <f>Data!F325</f>
        <v>5.0764349581768897E-3</v>
      </c>
      <c r="C325" s="5">
        <f>Data!G325</f>
        <v>-6.5009560229445373E-3</v>
      </c>
      <c r="D325" s="5">
        <f>Data!H325</f>
        <v>-1.8676316096649659E-3</v>
      </c>
      <c r="E325" s="5">
        <f>Data!I325</f>
        <v>0.10022573363431153</v>
      </c>
    </row>
    <row r="326" spans="1:5" x14ac:dyDescent="0.2">
      <c r="A326" s="2">
        <f>Data!A326</f>
        <v>45657</v>
      </c>
      <c r="B326" s="5">
        <f>Data!F326</f>
        <v>1.2871130105256201E-2</v>
      </c>
      <c r="C326" s="5">
        <f>Data!G326</f>
        <v>-1.3207547169811318E-2</v>
      </c>
      <c r="D326" s="5">
        <f>Data!H326</f>
        <v>9.0694935217903172E-3</v>
      </c>
      <c r="E326" s="5">
        <f>Data!I326</f>
        <v>-1.3525698827773214E-3</v>
      </c>
    </row>
    <row r="327" spans="1:5" x14ac:dyDescent="0.2">
      <c r="A327" s="2">
        <f>Data!A327</f>
        <v>45656</v>
      </c>
      <c r="B327" s="5">
        <f>Data!F327</f>
        <v>-1.7123787065083107E-3</v>
      </c>
      <c r="C327" s="5">
        <f>Data!G327</f>
        <v>6.647673314339908E-3</v>
      </c>
      <c r="D327" s="5">
        <f>Data!H327</f>
        <v>-3.5211267605633756E-3</v>
      </c>
      <c r="E327" s="5">
        <f>Data!I327</f>
        <v>-1.3783903957314325E-2</v>
      </c>
    </row>
    <row r="328" spans="1:5" x14ac:dyDescent="0.2">
      <c r="A328" s="2">
        <f>Data!A328</f>
        <v>45655</v>
      </c>
      <c r="B328" s="5">
        <f>Data!F328</f>
        <v>-2.7381209592980404E-3</v>
      </c>
      <c r="C328" s="5">
        <f>Data!G328</f>
        <v>-1.0338345864661647E-2</v>
      </c>
      <c r="D328" s="5">
        <f>Data!H328</f>
        <v>-8.1490104772992122E-3</v>
      </c>
      <c r="E328" s="5">
        <f>Data!I328</f>
        <v>-1.5754923413566768E-2</v>
      </c>
    </row>
    <row r="329" spans="1:5" x14ac:dyDescent="0.2">
      <c r="A329" s="2">
        <f>Data!A329</f>
        <v>45652</v>
      </c>
      <c r="B329" s="5">
        <f>Data!F329</f>
        <v>-6.8213049201704123E-3</v>
      </c>
      <c r="C329" s="5">
        <f>Data!G329</f>
        <v>-3.7453183520599342E-3</v>
      </c>
      <c r="D329" s="5">
        <f>Data!H329</f>
        <v>3.9322444041137272E-2</v>
      </c>
      <c r="E329" s="5">
        <f>Data!I329</f>
        <v>0</v>
      </c>
    </row>
    <row r="330" spans="1:5" x14ac:dyDescent="0.2">
      <c r="A330" s="2">
        <f>Data!A330</f>
        <v>45651</v>
      </c>
      <c r="B330" s="5">
        <f>Data!F330</f>
        <v>-4.4042547072526972E-3</v>
      </c>
      <c r="C330" s="5">
        <f>Data!G330</f>
        <v>-2.323029083592465E-2</v>
      </c>
      <c r="D330" s="5">
        <f>Data!H330</f>
        <v>-2.4203069657615095E-2</v>
      </c>
      <c r="E330" s="5">
        <f>Data!I330</f>
        <v>5.7218309859154992E-3</v>
      </c>
    </row>
    <row r="331" spans="1:5" x14ac:dyDescent="0.2">
      <c r="A331" s="2">
        <f>Data!A331</f>
        <v>45650</v>
      </c>
      <c r="B331" s="5">
        <f>Data!F331</f>
        <v>4.6641983563862066E-3</v>
      </c>
      <c r="C331" s="5">
        <f>Data!G331</f>
        <v>7.9277286135692737E-3</v>
      </c>
      <c r="D331" s="5">
        <f>Data!H331</f>
        <v>-1.6945218198700096E-2</v>
      </c>
      <c r="E331" s="5">
        <f>Data!I331</f>
        <v>7.0921985815601829E-3</v>
      </c>
    </row>
    <row r="332" spans="1:5" x14ac:dyDescent="0.2">
      <c r="A332" s="2">
        <f>Data!A332</f>
        <v>45649</v>
      </c>
      <c r="B332" s="5">
        <f>Data!F332</f>
        <v>-8.4544449759982321E-4</v>
      </c>
      <c r="C332" s="5">
        <f>Data!G332</f>
        <v>1.8439977872031221E-4</v>
      </c>
      <c r="D332" s="5">
        <f>Data!H332</f>
        <v>-1.2153175877092415E-2</v>
      </c>
      <c r="E332" s="5">
        <f>Data!I332</f>
        <v>0</v>
      </c>
    </row>
    <row r="333" spans="1:5" x14ac:dyDescent="0.2">
      <c r="A333" s="2">
        <f>Data!A333</f>
        <v>45648</v>
      </c>
      <c r="B333" s="5">
        <f>Data!F333</f>
        <v>1.045560431225967E-2</v>
      </c>
      <c r="C333" s="5">
        <f>Data!G333</f>
        <v>4.631344942571225E-3</v>
      </c>
      <c r="D333" s="5">
        <f>Data!H333</f>
        <v>-9.1638029782359354E-4</v>
      </c>
      <c r="E333" s="5">
        <f>Data!I333</f>
        <v>0</v>
      </c>
    </row>
    <row r="334" spans="1:5" x14ac:dyDescent="0.2">
      <c r="A334" s="2">
        <f>Data!A334</f>
        <v>45645</v>
      </c>
      <c r="B334" s="5">
        <f>Data!F334</f>
        <v>-9.7675109559534068E-3</v>
      </c>
      <c r="C334" s="5">
        <f>Data!G334</f>
        <v>-1.9614965492190328E-2</v>
      </c>
      <c r="D334" s="5">
        <f>Data!H334</f>
        <v>-4.2203718489791653E-3</v>
      </c>
      <c r="E334" s="5">
        <f>Data!I334</f>
        <v>-4.4306601683652413E-4</v>
      </c>
    </row>
    <row r="335" spans="1:5" x14ac:dyDescent="0.2">
      <c r="A335" s="2">
        <f>Data!A335</f>
        <v>45644</v>
      </c>
      <c r="B335" s="5">
        <f>Data!F335</f>
        <v>5.4434864867110022E-3</v>
      </c>
      <c r="C335" s="5">
        <f>Data!G335</f>
        <v>-1.6785714285714293E-2</v>
      </c>
      <c r="D335" s="5">
        <f>Data!H335</f>
        <v>-1.9353369763205341E-3</v>
      </c>
      <c r="E335" s="5">
        <f>Data!I335</f>
        <v>2.0805065581184889E-2</v>
      </c>
    </row>
    <row r="336" spans="1:5" x14ac:dyDescent="0.2">
      <c r="A336" s="2">
        <f>Data!A336</f>
        <v>45643</v>
      </c>
      <c r="B336" s="5">
        <f>Data!F336</f>
        <v>8.2240144568634932E-3</v>
      </c>
      <c r="C336" s="5">
        <f>Data!G336</f>
        <v>1.4306151645206988E-3</v>
      </c>
      <c r="D336" s="5">
        <f>Data!H336</f>
        <v>1.678435004051404E-2</v>
      </c>
      <c r="E336" s="5">
        <f>Data!I336</f>
        <v>-2.2546419098143256E-2</v>
      </c>
    </row>
    <row r="337" spans="1:5" x14ac:dyDescent="0.2">
      <c r="A337" s="2">
        <f>Data!A337</f>
        <v>45642</v>
      </c>
      <c r="B337" s="5">
        <f>Data!F337</f>
        <v>1.2966321463075525E-2</v>
      </c>
      <c r="C337" s="5">
        <f>Data!G337</f>
        <v>2.025177887246854E-2</v>
      </c>
      <c r="D337" s="5">
        <f>Data!H337</f>
        <v>2.820756962627935E-2</v>
      </c>
      <c r="E337" s="5">
        <f>Data!I337</f>
        <v>-4.5972163644032005E-2</v>
      </c>
    </row>
    <row r="338" spans="1:5" x14ac:dyDescent="0.2">
      <c r="A338" s="2">
        <f>Data!A338</f>
        <v>45641</v>
      </c>
      <c r="B338" s="5">
        <f>Data!F338</f>
        <v>-9.123773454983608E-3</v>
      </c>
      <c r="C338" s="5">
        <f>Data!G338</f>
        <v>-1.0471204188481686E-2</v>
      </c>
      <c r="D338" s="5">
        <f>Data!H338</f>
        <v>-1.1064030131826774E-2</v>
      </c>
      <c r="E338" s="5">
        <f>Data!I338</f>
        <v>-3.2639738882088931E-2</v>
      </c>
    </row>
    <row r="339" spans="1:5" x14ac:dyDescent="0.2">
      <c r="A339" s="2">
        <f>Data!A339</f>
        <v>45638</v>
      </c>
      <c r="B339" s="5">
        <f>Data!F339</f>
        <v>-2.5337767093568386E-3</v>
      </c>
      <c r="C339" s="5">
        <f>Data!G339</f>
        <v>1.1504747991234465E-2</v>
      </c>
      <c r="D339" s="5">
        <f>Data!H339</f>
        <v>-1.2093023255813962E-2</v>
      </c>
      <c r="E339" s="5">
        <f>Data!I339</f>
        <v>0</v>
      </c>
    </row>
    <row r="340" spans="1:5" x14ac:dyDescent="0.2">
      <c r="A340" s="2">
        <f>Data!A340</f>
        <v>45637</v>
      </c>
      <c r="B340" s="5">
        <f>Data!F340</f>
        <v>-5.3942824771212594E-3</v>
      </c>
      <c r="C340" s="5">
        <f>Data!G340</f>
        <v>-3.8202655994178381E-3</v>
      </c>
      <c r="D340" s="5">
        <f>Data!H340</f>
        <v>-9.6729617687701941E-3</v>
      </c>
      <c r="E340" s="5">
        <f>Data!I340</f>
        <v>-1.4475271411338975E-2</v>
      </c>
    </row>
    <row r="341" spans="1:5" x14ac:dyDescent="0.2">
      <c r="A341" s="2">
        <f>Data!A341</f>
        <v>45636</v>
      </c>
      <c r="B341" s="5">
        <f>Data!F341</f>
        <v>-3.151626887239134E-3</v>
      </c>
      <c r="C341" s="5">
        <f>Data!G341</f>
        <v>-2.5403737978588747E-3</v>
      </c>
      <c r="D341" s="5">
        <f>Data!H341</f>
        <v>-1.6095654173373664E-3</v>
      </c>
      <c r="E341" s="5">
        <f>Data!I341</f>
        <v>0</v>
      </c>
    </row>
    <row r="342" spans="1:5" x14ac:dyDescent="0.2">
      <c r="A342" s="2">
        <f>Data!A342</f>
        <v>45635</v>
      </c>
      <c r="B342" s="5">
        <f>Data!F342</f>
        <v>8.5009087178284926E-3</v>
      </c>
      <c r="C342" s="5">
        <f>Data!G342</f>
        <v>2.7213420316868575E-2</v>
      </c>
      <c r="D342" s="5">
        <f>Data!H342</f>
        <v>2.934911242603544E-2</v>
      </c>
      <c r="E342" s="5">
        <f>Data!I342</f>
        <v>0</v>
      </c>
    </row>
    <row r="343" spans="1:5" x14ac:dyDescent="0.2">
      <c r="A343" s="2">
        <f>Data!A343</f>
        <v>45634</v>
      </c>
      <c r="B343" s="5">
        <f>Data!F343</f>
        <v>1.0250661025912322E-2</v>
      </c>
      <c r="C343" s="5">
        <f>Data!G343</f>
        <v>-1.6498625114573784E-2</v>
      </c>
      <c r="D343" s="5">
        <f>Data!H343</f>
        <v>1.0040640688500968E-2</v>
      </c>
      <c r="E343" s="5">
        <f>Data!I343</f>
        <v>3.2271077047196783E-3</v>
      </c>
    </row>
    <row r="344" spans="1:5" x14ac:dyDescent="0.2">
      <c r="A344" s="2">
        <f>Data!A344</f>
        <v>45631</v>
      </c>
      <c r="B344" s="5">
        <f>Data!F344</f>
        <v>-3.6369633893118536E-4</v>
      </c>
      <c r="C344" s="5">
        <f>Data!G344</f>
        <v>1.6775396085740857E-2</v>
      </c>
      <c r="D344" s="5">
        <f>Data!H344</f>
        <v>-1.541720607273156E-2</v>
      </c>
      <c r="E344" s="5">
        <f>Data!I344</f>
        <v>0</v>
      </c>
    </row>
    <row r="345" spans="1:5" x14ac:dyDescent="0.2">
      <c r="A345" s="2">
        <f>Data!A345</f>
        <v>45630</v>
      </c>
      <c r="B345" s="5">
        <f>Data!F345</f>
        <v>2.854258910546692E-3</v>
      </c>
      <c r="C345" s="5">
        <f>Data!G345</f>
        <v>-1.3061074319352439E-2</v>
      </c>
      <c r="D345" s="5">
        <f>Data!H345</f>
        <v>-6.1988304093567592E-3</v>
      </c>
      <c r="E345" s="5">
        <f>Data!I345</f>
        <v>0</v>
      </c>
    </row>
    <row r="346" spans="1:5" x14ac:dyDescent="0.2">
      <c r="A346" s="2">
        <f>Data!A346</f>
        <v>45629</v>
      </c>
      <c r="B346" s="5">
        <f>Data!F346</f>
        <v>1.0352570145518936E-2</v>
      </c>
      <c r="C346" s="5">
        <f>Data!G346</f>
        <v>3.5428571428571365E-2</v>
      </c>
      <c r="D346" s="5">
        <f>Data!H346</f>
        <v>2.7767760548142784E-2</v>
      </c>
      <c r="E346" s="5">
        <f>Data!I346</f>
        <v>3.4641068447412326E-2</v>
      </c>
    </row>
    <row r="347" spans="1:5" x14ac:dyDescent="0.2">
      <c r="A347" s="2">
        <f>Data!A347</f>
        <v>45628</v>
      </c>
      <c r="B347" s="5">
        <f>Data!F347</f>
        <v>-2.1420431664542772E-4</v>
      </c>
      <c r="C347" s="5">
        <f>Data!G347</f>
        <v>1.0781671159029615E-2</v>
      </c>
      <c r="D347" s="5">
        <f>Data!H347</f>
        <v>-1.7595654227680724E-2</v>
      </c>
      <c r="E347" s="5">
        <f>Data!I347</f>
        <v>5.8303886925795023E-2</v>
      </c>
    </row>
    <row r="348" spans="1:5" x14ac:dyDescent="0.2">
      <c r="A348" s="2">
        <f>Data!A348</f>
        <v>45627</v>
      </c>
      <c r="B348" s="5">
        <f>Data!F348</f>
        <v>1.7169102587566654E-2</v>
      </c>
      <c r="C348" s="5">
        <f>Data!G348</f>
        <v>-1.479514415781491E-2</v>
      </c>
      <c r="D348" s="5">
        <f>Data!H348</f>
        <v>-1.5806601580660162E-2</v>
      </c>
      <c r="E348" s="5">
        <f>Data!I348</f>
        <v>0</v>
      </c>
    </row>
    <row r="349" spans="1:5" x14ac:dyDescent="0.2">
      <c r="A349" s="2">
        <f>Data!A349</f>
        <v>45624</v>
      </c>
      <c r="B349" s="5">
        <f>Data!F349</f>
        <v>-5.0725768690493833E-3</v>
      </c>
      <c r="C349" s="5">
        <f>Data!G349</f>
        <v>-5.2830188679244827E-3</v>
      </c>
      <c r="D349" s="5">
        <f>Data!H349</f>
        <v>-5.3179190751445615E-3</v>
      </c>
      <c r="E349" s="5">
        <f>Data!I349</f>
        <v>-4.8351648351648846E-3</v>
      </c>
    </row>
    <row r="350" spans="1:5" x14ac:dyDescent="0.2">
      <c r="A350" s="2">
        <f>Data!A350</f>
        <v>45623</v>
      </c>
      <c r="B350" s="5">
        <f>Data!F350</f>
        <v>-9.5841706600712229E-3</v>
      </c>
      <c r="C350" s="5">
        <f>Data!G350</f>
        <v>1.2223071046600475E-2</v>
      </c>
      <c r="D350" s="5">
        <f>Data!H350</f>
        <v>3.3946928042074997E-2</v>
      </c>
      <c r="E350" s="5">
        <f>Data!I350</f>
        <v>4.4150110375276164E-3</v>
      </c>
    </row>
    <row r="351" spans="1:5" x14ac:dyDescent="0.2">
      <c r="A351" s="2">
        <f>Data!A351</f>
        <v>45622</v>
      </c>
      <c r="B351" s="5">
        <f>Data!F351</f>
        <v>8.5531529736821987E-3</v>
      </c>
      <c r="C351" s="5">
        <f>Data!G351</f>
        <v>3.0708661417322869E-2</v>
      </c>
      <c r="D351" s="5">
        <f>Data!H351</f>
        <v>1.2832929782082392E-2</v>
      </c>
      <c r="E351" s="5">
        <f>Data!I351</f>
        <v>4.4169611307420809E-4</v>
      </c>
    </row>
    <row r="352" spans="1:5" x14ac:dyDescent="0.2">
      <c r="A352" s="2">
        <f>Data!A352</f>
        <v>45621</v>
      </c>
      <c r="B352" s="5">
        <f>Data!F352</f>
        <v>1.7309444275737107E-3</v>
      </c>
      <c r="C352" s="5">
        <f>Data!G352</f>
        <v>1.1347800119450469E-2</v>
      </c>
      <c r="D352" s="5">
        <f>Data!H352</f>
        <v>1.9753086419753041E-2</v>
      </c>
      <c r="E352" s="5">
        <f>Data!I352</f>
        <v>8.9126559714796105E-3</v>
      </c>
    </row>
    <row r="353" spans="1:5" x14ac:dyDescent="0.2">
      <c r="A353" s="2">
        <f>Data!A353</f>
        <v>45620</v>
      </c>
      <c r="B353" s="5">
        <f>Data!F353</f>
        <v>9.967796350253133E-3</v>
      </c>
      <c r="C353" s="5">
        <f>Data!G353</f>
        <v>5.9760956175303193E-4</v>
      </c>
      <c r="D353" s="5">
        <f>Data!H353</f>
        <v>-3.3222591362126463E-3</v>
      </c>
      <c r="E353" s="5">
        <f>Data!I353</f>
        <v>6.2780269058295701E-3</v>
      </c>
    </row>
    <row r="354" spans="1:5" x14ac:dyDescent="0.2">
      <c r="A354" s="2">
        <f>Data!A354</f>
        <v>45617</v>
      </c>
      <c r="B354" s="5">
        <f>Data!F354</f>
        <v>6.5764956047087431E-4</v>
      </c>
      <c r="C354" s="5">
        <f>Data!G354</f>
        <v>-3.7705894026592857E-3</v>
      </c>
      <c r="D354" s="5">
        <f>Data!H354</f>
        <v>-4.0441176470588092E-3</v>
      </c>
      <c r="E354" s="5">
        <f>Data!I354</f>
        <v>0</v>
      </c>
    </row>
    <row r="355" spans="1:5" x14ac:dyDescent="0.2">
      <c r="A355" s="2">
        <f>Data!A355</f>
        <v>45616</v>
      </c>
      <c r="B355" s="5">
        <f>Data!F355</f>
        <v>-1.6807531875222548E-3</v>
      </c>
      <c r="C355" s="5">
        <f>Data!G355</f>
        <v>1.3910969793322625E-3</v>
      </c>
      <c r="D355" s="5">
        <f>Data!H355</f>
        <v>3.1964593066142744E-3</v>
      </c>
      <c r="E355" s="5">
        <f>Data!I355</f>
        <v>1.0879419764279197E-2</v>
      </c>
    </row>
    <row r="356" spans="1:5" x14ac:dyDescent="0.2">
      <c r="A356" s="2">
        <f>Data!A356</f>
        <v>45615</v>
      </c>
      <c r="B356" s="5">
        <f>Data!F356</f>
        <v>2.2636245190894577E-3</v>
      </c>
      <c r="C356" s="5">
        <f>Data!G356</f>
        <v>-2.4238898584448276E-2</v>
      </c>
      <c r="D356" s="5">
        <f>Data!H356</f>
        <v>7.9306071871128037E-3</v>
      </c>
      <c r="E356" s="5">
        <f>Data!I356</f>
        <v>0</v>
      </c>
    </row>
    <row r="357" spans="1:5" x14ac:dyDescent="0.2">
      <c r="A357" s="2">
        <f>Data!A357</f>
        <v>45614</v>
      </c>
      <c r="B357" s="5">
        <f>Data!F357</f>
        <v>-3.0396067317447484E-3</v>
      </c>
      <c r="C357" s="5">
        <f>Data!G357</f>
        <v>2.9135901017760979E-2</v>
      </c>
      <c r="D357" s="5">
        <f>Data!H357</f>
        <v>1.6135037855280476E-3</v>
      </c>
      <c r="E357" s="5">
        <f>Data!I357</f>
        <v>-1.9555555555555548E-2</v>
      </c>
    </row>
    <row r="358" spans="1:5" x14ac:dyDescent="0.2">
      <c r="A358" s="2">
        <f>Data!A358</f>
        <v>45613</v>
      </c>
      <c r="B358" s="5">
        <f>Data!F358</f>
        <v>2.4288232044682445E-3</v>
      </c>
      <c r="C358" s="5">
        <f>Data!G358</f>
        <v>-9.6837944664032172E-3</v>
      </c>
      <c r="D358" s="5">
        <f>Data!H358</f>
        <v>1.61611138736939E-3</v>
      </c>
      <c r="E358" s="5">
        <f>Data!I358</f>
        <v>-1.3590530469092532E-2</v>
      </c>
    </row>
    <row r="359" spans="1:5" x14ac:dyDescent="0.2">
      <c r="A359" s="2">
        <f>Data!A359</f>
        <v>45610</v>
      </c>
      <c r="B359" s="5">
        <f>Data!F359</f>
        <v>-1.0519740238331798E-2</v>
      </c>
      <c r="C359" s="5">
        <f>Data!G359</f>
        <v>1.5248796147672605E-2</v>
      </c>
      <c r="D359" s="5">
        <f>Data!H359</f>
        <v>6.5065065065064154E-3</v>
      </c>
      <c r="E359" s="5">
        <f>Data!I359</f>
        <v>0</v>
      </c>
    </row>
    <row r="360" spans="1:5" x14ac:dyDescent="0.2">
      <c r="A360" s="2">
        <f>Data!A360</f>
        <v>45609</v>
      </c>
      <c r="B360" s="5">
        <f>Data!F360</f>
        <v>4.0507167155221513E-3</v>
      </c>
      <c r="C360" s="5">
        <f>Data!G360</f>
        <v>9.3155123531794004E-3</v>
      </c>
      <c r="D360" s="5">
        <f>Data!H360</f>
        <v>1.2286257124762612E-2</v>
      </c>
      <c r="E360" s="5">
        <f>Data!I360</f>
        <v>0</v>
      </c>
    </row>
    <row r="361" spans="1:5" x14ac:dyDescent="0.2">
      <c r="A361" s="2">
        <f>Data!A361</f>
        <v>45608</v>
      </c>
      <c r="B361" s="5">
        <f>Data!F361</f>
        <v>8.6370885191742186E-3</v>
      </c>
      <c r="C361" s="5">
        <f>Data!G361</f>
        <v>-4.4354838709677047E-3</v>
      </c>
      <c r="D361" s="5">
        <f>Data!H361</f>
        <v>4.8194370685076926E-2</v>
      </c>
      <c r="E361" s="5">
        <f>Data!I361</f>
        <v>-7.8294910830796205E-3</v>
      </c>
    </row>
    <row r="362" spans="1:5" x14ac:dyDescent="0.2">
      <c r="A362" s="2">
        <f>Data!A362</f>
        <v>45607</v>
      </c>
      <c r="B362" s="5">
        <f>Data!F362</f>
        <v>-4.5046424057415546E-3</v>
      </c>
      <c r="C362" s="5">
        <f>Data!G362</f>
        <v>6.9021518473406651E-3</v>
      </c>
      <c r="D362" s="5">
        <f>Data!H362</f>
        <v>-3.5719010451117361E-3</v>
      </c>
      <c r="E362" s="5">
        <f>Data!I362</f>
        <v>-1.0757314974182419E-2</v>
      </c>
    </row>
    <row r="363" spans="1:5" x14ac:dyDescent="0.2">
      <c r="A363" s="2">
        <f>Data!A363</f>
        <v>45606</v>
      </c>
      <c r="B363" s="5">
        <f>Data!F363</f>
        <v>2.4587078676859608E-2</v>
      </c>
      <c r="C363" s="5">
        <f>Data!G363</f>
        <v>3.4439311213775747E-2</v>
      </c>
      <c r="D363" s="5">
        <f>Data!H363</f>
        <v>6.5097928702268604E-2</v>
      </c>
      <c r="E363" s="5">
        <f>Data!I363</f>
        <v>3.8876889848811214E-3</v>
      </c>
    </row>
    <row r="364" spans="1:5" x14ac:dyDescent="0.2">
      <c r="A364" s="2">
        <f>Data!A364</f>
        <v>45603</v>
      </c>
      <c r="B364" s="5">
        <f>Data!F364</f>
        <v>9.7331676751188922E-4</v>
      </c>
      <c r="C364" s="5">
        <f>Data!G364</f>
        <v>-2.6175869120654394E-2</v>
      </c>
      <c r="D364" s="5">
        <f>Data!H364</f>
        <v>-1.1008918617614216E-2</v>
      </c>
      <c r="E364" s="5">
        <f>Data!I364</f>
        <v>0</v>
      </c>
    </row>
    <row r="365" spans="1:5" x14ac:dyDescent="0.2">
      <c r="A365" s="2">
        <f>Data!A365</f>
        <v>45602</v>
      </c>
      <c r="B365" s="5">
        <f>Data!F365</f>
        <v>3.1270528314450985E-3</v>
      </c>
      <c r="C365" s="5">
        <f>Data!G365</f>
        <v>3.9982985963419759E-2</v>
      </c>
      <c r="D365" s="5">
        <f>Data!H365</f>
        <v>4.1823504809701539E-4</v>
      </c>
      <c r="E365" s="5">
        <f>Data!I365</f>
        <v>0</v>
      </c>
    </row>
    <row r="366" spans="1:5" x14ac:dyDescent="0.2">
      <c r="A366" s="2">
        <f>Data!A366</f>
        <v>45601</v>
      </c>
      <c r="B366" s="5">
        <f>Data!F366</f>
        <v>4.5605550407918916E-3</v>
      </c>
      <c r="C366" s="5">
        <f>Data!G366</f>
        <v>3.6286019210245435E-3</v>
      </c>
      <c r="D366" s="5">
        <f>Data!H366</f>
        <v>-2.5936990765888068E-2</v>
      </c>
      <c r="E366" s="5">
        <f>Data!I366</f>
        <v>-2.5850926324859635E-3</v>
      </c>
    </row>
    <row r="367" spans="1:5" x14ac:dyDescent="0.2">
      <c r="A367" s="2">
        <f>Data!A367</f>
        <v>45600</v>
      </c>
      <c r="B367" s="5">
        <f>Data!F367</f>
        <v>-3.6597598113208285E-4</v>
      </c>
      <c r="C367" s="5">
        <f>Data!G367</f>
        <v>-1.0141559264736921E-2</v>
      </c>
      <c r="D367" s="5">
        <f>Data!H367</f>
        <v>-1.8656716417910446E-2</v>
      </c>
      <c r="E367" s="5">
        <f>Data!I367</f>
        <v>0</v>
      </c>
    </row>
    <row r="368" spans="1:5" x14ac:dyDescent="0.2">
      <c r="A368" s="2">
        <f>Data!A368</f>
        <v>45599</v>
      </c>
      <c r="B368" s="5">
        <f>Data!F368</f>
        <v>-1.7166296236048595E-4</v>
      </c>
      <c r="C368" s="5">
        <f>Data!G368</f>
        <v>2.5418343571277369E-3</v>
      </c>
      <c r="D368" s="5">
        <f>Data!H368</f>
        <v>-9.6344199551273713E-3</v>
      </c>
      <c r="E368" s="5">
        <f>Data!I368</f>
        <v>1.2942191544433879E-3</v>
      </c>
    </row>
    <row r="369" spans="1:5" x14ac:dyDescent="0.2">
      <c r="A369" s="2">
        <f>Data!A369</f>
        <v>45596</v>
      </c>
      <c r="B369" s="5">
        <f>Data!F369</f>
        <v>-4.7522491131682942E-3</v>
      </c>
      <c r="C369" s="5">
        <f>Data!G369</f>
        <v>-7.9848707711703826E-3</v>
      </c>
      <c r="D369" s="5">
        <f>Data!H369</f>
        <v>7.177987504984662E-3</v>
      </c>
      <c r="E369" s="5">
        <f>Data!I369</f>
        <v>0</v>
      </c>
    </row>
    <row r="370" spans="1:5" x14ac:dyDescent="0.2">
      <c r="A370" s="2">
        <f>Data!A370</f>
        <v>45595</v>
      </c>
      <c r="B370" s="5">
        <f>Data!F370</f>
        <v>1.5333558535939762E-2</v>
      </c>
      <c r="C370" s="5">
        <f>Data!G370</f>
        <v>5.474290780141855E-2</v>
      </c>
      <c r="D370" s="5">
        <f>Data!H370</f>
        <v>1.2789445341949479E-2</v>
      </c>
      <c r="E370" s="5">
        <f>Data!I370</f>
        <v>0</v>
      </c>
    </row>
    <row r="371" spans="1:5" x14ac:dyDescent="0.2">
      <c r="A371" s="2">
        <f>Data!A371</f>
        <v>45594</v>
      </c>
      <c r="B371" s="5">
        <f>Data!F371</f>
        <v>8.1039663876372181E-3</v>
      </c>
      <c r="C371" s="5">
        <f>Data!G371</f>
        <v>3.4862385321100975E-2</v>
      </c>
      <c r="D371" s="5">
        <f>Data!H371</f>
        <v>9.6506728285985499E-3</v>
      </c>
      <c r="E371" s="5">
        <f>Data!I371</f>
        <v>0</v>
      </c>
    </row>
    <row r="372" spans="1:5" x14ac:dyDescent="0.2">
      <c r="A372" s="2">
        <f>Data!A372</f>
        <v>45593</v>
      </c>
      <c r="B372" s="5">
        <f>Data!F372</f>
        <v>3.3605244259482525E-4</v>
      </c>
      <c r="C372" s="5">
        <f>Data!G372</f>
        <v>2.5158711497766273E-2</v>
      </c>
      <c r="D372" s="5">
        <f>Data!H372</f>
        <v>0</v>
      </c>
      <c r="E372" s="5">
        <f>Data!I372</f>
        <v>-1.3617021276595698E-2</v>
      </c>
    </row>
    <row r="373" spans="1:5" x14ac:dyDescent="0.2">
      <c r="A373" s="2">
        <f>Data!A373</f>
        <v>45592</v>
      </c>
      <c r="B373" s="5">
        <f>Data!F373</f>
        <v>8.9690056062092793E-3</v>
      </c>
      <c r="C373" s="5">
        <f>Data!G373</f>
        <v>1.9904076738609167E-2</v>
      </c>
      <c r="D373" s="5">
        <f>Data!H373</f>
        <v>1.8975069252077592E-2</v>
      </c>
      <c r="E373" s="5">
        <f>Data!I373</f>
        <v>-3.392705682782049E-3</v>
      </c>
    </row>
    <row r="374" spans="1:5" x14ac:dyDescent="0.2">
      <c r="A374" s="2">
        <f>Data!A374</f>
        <v>45587</v>
      </c>
      <c r="B374" s="5">
        <f>Data!F374</f>
        <v>-8.8938401410494361E-3</v>
      </c>
      <c r="C374" s="5">
        <f>Data!G374</f>
        <v>-3.0232558139534849E-2</v>
      </c>
      <c r="D374" s="5">
        <f>Data!H374</f>
        <v>-6.1940812112869503E-3</v>
      </c>
      <c r="E374" s="5">
        <f>Data!I374</f>
        <v>0</v>
      </c>
    </row>
    <row r="375" spans="1:5" x14ac:dyDescent="0.2">
      <c r="A375" s="2">
        <f>Data!A375</f>
        <v>45586</v>
      </c>
      <c r="B375" s="5">
        <f>Data!F375</f>
        <v>-2.2826855772852817E-3</v>
      </c>
      <c r="C375" s="5">
        <f>Data!G375</f>
        <v>-1.6018306636155555E-2</v>
      </c>
      <c r="D375" s="5">
        <f>Data!H375</f>
        <v>0</v>
      </c>
      <c r="E375" s="5">
        <f>Data!I375</f>
        <v>5.5437100213220347E-3</v>
      </c>
    </row>
    <row r="376" spans="1:5" x14ac:dyDescent="0.2">
      <c r="A376" s="2">
        <f>Data!A376</f>
        <v>45585</v>
      </c>
      <c r="B376" s="5">
        <f>Data!F376</f>
        <v>2.1109156993786016E-2</v>
      </c>
      <c r="C376" s="5">
        <f>Data!G376</f>
        <v>6.5074335851815768E-2</v>
      </c>
      <c r="D376" s="5">
        <f>Data!H376</f>
        <v>1.8648345485137385E-2</v>
      </c>
      <c r="E376" s="5">
        <f>Data!I376</f>
        <v>0</v>
      </c>
    </row>
    <row r="377" spans="1:5" x14ac:dyDescent="0.2">
      <c r="A377" s="2">
        <f>Data!A377</f>
        <v>45580</v>
      </c>
      <c r="B377" s="5">
        <f>Data!F377</f>
        <v>6.5189479050622445E-3</v>
      </c>
      <c r="C377" s="5">
        <f>Data!G377</f>
        <v>1.6852540272614513E-2</v>
      </c>
      <c r="D377" s="5">
        <f>Data!H377</f>
        <v>-1.749552279928368E-2</v>
      </c>
      <c r="E377" s="5">
        <f>Data!I377</f>
        <v>-1.9648829431438086E-2</v>
      </c>
    </row>
    <row r="378" spans="1:5" x14ac:dyDescent="0.2">
      <c r="A378" s="2">
        <f>Data!A378</f>
        <v>45579</v>
      </c>
      <c r="B378" s="5">
        <f>Data!F378</f>
        <v>6.2557296688785513E-3</v>
      </c>
      <c r="C378" s="5">
        <f>Data!G378</f>
        <v>4.9590875278937574E-4</v>
      </c>
      <c r="D378" s="5">
        <f>Data!H378</f>
        <v>6.8927488282333194E-4</v>
      </c>
      <c r="E378" s="5">
        <f>Data!I378</f>
        <v>5.0420168067226712E-3</v>
      </c>
    </row>
    <row r="379" spans="1:5" x14ac:dyDescent="0.2">
      <c r="A379" s="2">
        <f>Data!A379</f>
        <v>45578</v>
      </c>
      <c r="B379" s="5">
        <f>Data!F379</f>
        <v>8.8025300685226071E-3</v>
      </c>
      <c r="C379" s="5">
        <f>Data!G379</f>
        <v>-1.9797079930710115E-3</v>
      </c>
      <c r="D379" s="5">
        <f>Data!H379</f>
        <v>1.7391304347825987E-2</v>
      </c>
      <c r="E379" s="5">
        <f>Data!I379</f>
        <v>-1.2589173310952884E-3</v>
      </c>
    </row>
    <row r="380" spans="1:5" x14ac:dyDescent="0.2">
      <c r="A380" s="2">
        <f>Data!A380</f>
        <v>45575</v>
      </c>
      <c r="B380" s="5">
        <f>Data!F380</f>
        <v>-9.6148370318341891E-3</v>
      </c>
      <c r="C380" s="5">
        <f>Data!G380</f>
        <v>-9.073075036782785E-3</v>
      </c>
      <c r="D380" s="5">
        <f>Data!H380</f>
        <v>-7.5167037861915142E-3</v>
      </c>
      <c r="E380" s="5">
        <f>Data!I380</f>
        <v>0</v>
      </c>
    </row>
    <row r="381" spans="1:5" x14ac:dyDescent="0.2">
      <c r="A381" s="2">
        <f>Data!A381</f>
        <v>45574</v>
      </c>
      <c r="B381" s="5">
        <f>Data!F381</f>
        <v>7.0589134912706353E-3</v>
      </c>
      <c r="C381" s="5">
        <f>Data!G381</f>
        <v>1.4175578214374429E-2</v>
      </c>
      <c r="D381" s="5">
        <f>Data!H381</f>
        <v>-1.3728720483250911E-2</v>
      </c>
      <c r="E381" s="5">
        <f>Data!I381</f>
        <v>5.9096665259603665E-3</v>
      </c>
    </row>
    <row r="382" spans="1:5" x14ac:dyDescent="0.2">
      <c r="A382" s="2">
        <f>Data!A382</f>
        <v>45573</v>
      </c>
      <c r="B382" s="5">
        <f>Data!F382</f>
        <v>9.998564799309495E-4</v>
      </c>
      <c r="C382" s="5">
        <f>Data!G382</f>
        <v>-1.2281994595922385E-2</v>
      </c>
      <c r="D382" s="5">
        <f>Data!H382</f>
        <v>-8.8447407810586798E-3</v>
      </c>
      <c r="E382" s="5">
        <f>Data!I382</f>
        <v>-3.3061224489795871E-2</v>
      </c>
    </row>
    <row r="383" spans="1:5" x14ac:dyDescent="0.2">
      <c r="A383" s="2">
        <f>Data!A383</f>
        <v>45572</v>
      </c>
      <c r="B383" s="5">
        <f>Data!F383</f>
        <v>2.4986931019763681E-3</v>
      </c>
      <c r="C383" s="5">
        <f>Data!G383</f>
        <v>-2.2058823529411686E-3</v>
      </c>
      <c r="D383" s="5">
        <f>Data!H383</f>
        <v>9.3393764592775153E-3</v>
      </c>
      <c r="E383" s="5">
        <f>Data!I383</f>
        <v>-4.0650406504064707E-3</v>
      </c>
    </row>
    <row r="384" spans="1:5" x14ac:dyDescent="0.2">
      <c r="A384" s="2">
        <f>Data!A384</f>
        <v>45571</v>
      </c>
      <c r="B384" s="5">
        <f>Data!F384</f>
        <v>-3.5078831788875053E-3</v>
      </c>
      <c r="C384" s="5">
        <f>Data!G384</f>
        <v>-1.7577654707440438E-2</v>
      </c>
      <c r="D384" s="5">
        <f>Data!H384</f>
        <v>-2.6213722081048552E-2</v>
      </c>
      <c r="E384" s="5">
        <f>Data!I384</f>
        <v>0</v>
      </c>
    </row>
    <row r="385" spans="1:5" x14ac:dyDescent="0.2">
      <c r="A385" s="2">
        <f>Data!A385</f>
        <v>45566</v>
      </c>
      <c r="B385" s="5">
        <f>Data!F385</f>
        <v>-1.228256508296155E-2</v>
      </c>
      <c r="C385" s="5">
        <f>Data!G385</f>
        <v>-2.5803424818203191E-2</v>
      </c>
      <c r="D385" s="5">
        <f>Data!H385</f>
        <v>3.0855916286558482E-3</v>
      </c>
      <c r="E385" s="5">
        <f>Data!I385</f>
        <v>0</v>
      </c>
    </row>
    <row r="386" spans="1:5" x14ac:dyDescent="0.2">
      <c r="A386" s="2">
        <f>Data!A386</f>
        <v>45565</v>
      </c>
      <c r="B386" s="5">
        <f>Data!F386</f>
        <v>2.5840160152201808E-3</v>
      </c>
      <c r="C386" s="5">
        <f>Data!G386</f>
        <v>1.0429011614126571E-2</v>
      </c>
      <c r="D386" s="5">
        <f>Data!H386</f>
        <v>9.2066070945031608E-3</v>
      </c>
      <c r="E386" s="5">
        <f>Data!I386</f>
        <v>0</v>
      </c>
    </row>
    <row r="387" spans="1:5" x14ac:dyDescent="0.2">
      <c r="A387" s="2">
        <f>Data!A387</f>
        <v>45564</v>
      </c>
      <c r="B387" s="5">
        <f>Data!F387</f>
        <v>1.0386033367283831E-2</v>
      </c>
      <c r="C387" s="5">
        <f>Data!G387</f>
        <v>3.4068627450980493E-2</v>
      </c>
      <c r="D387" s="5">
        <f>Data!H387</f>
        <v>1.1642240788932945E-2</v>
      </c>
      <c r="E387" s="5">
        <f>Data!I387</f>
        <v>0</v>
      </c>
    </row>
    <row r="388" spans="1:5" x14ac:dyDescent="0.2">
      <c r="A388" s="2">
        <f>Data!A388</f>
        <v>45561</v>
      </c>
      <c r="B388" s="5">
        <f>Data!F388</f>
        <v>1.5012085383965701E-2</v>
      </c>
      <c r="C388" s="5">
        <f>Data!G388</f>
        <v>1.1403073872087166E-2</v>
      </c>
      <c r="D388" s="5">
        <f>Data!H388</f>
        <v>1.290233074361824E-2</v>
      </c>
      <c r="E388" s="5">
        <f>Data!I388</f>
        <v>0</v>
      </c>
    </row>
    <row r="389" spans="1:5" x14ac:dyDescent="0.2">
      <c r="A389" s="2">
        <f>Data!A389</f>
        <v>45560</v>
      </c>
      <c r="B389" s="5">
        <f>Data!F389</f>
        <v>8.8381179949958977E-3</v>
      </c>
      <c r="C389" s="5">
        <f>Data!G389</f>
        <v>3.732271709380397E-3</v>
      </c>
      <c r="D389" s="5">
        <f>Data!H389</f>
        <v>2.8979300499643035E-2</v>
      </c>
      <c r="E389" s="5">
        <f>Data!I389</f>
        <v>0</v>
      </c>
    </row>
    <row r="390" spans="1:5" x14ac:dyDescent="0.2">
      <c r="A390" s="2">
        <f>Data!A390</f>
        <v>45559</v>
      </c>
      <c r="B390" s="5">
        <f>Data!F390</f>
        <v>1.221222709587888E-2</v>
      </c>
      <c r="C390" s="5">
        <f>Data!G390</f>
        <v>2.9947591714498678E-3</v>
      </c>
      <c r="D390" s="5">
        <f>Data!H390</f>
        <v>3.8693035253654084E-3</v>
      </c>
      <c r="E390" s="5">
        <f>Data!I390</f>
        <v>0</v>
      </c>
    </row>
    <row r="391" spans="1:5" x14ac:dyDescent="0.2">
      <c r="A391" s="2">
        <f>Data!A391</f>
        <v>45558</v>
      </c>
      <c r="B391" s="5">
        <f>Data!F391</f>
        <v>5.9931293409052344E-3</v>
      </c>
      <c r="C391" s="5">
        <f>Data!G391</f>
        <v>2.3237997957099132E-2</v>
      </c>
      <c r="D391" s="5">
        <f>Data!H391</f>
        <v>-1.8979333614508653E-2</v>
      </c>
      <c r="E391" s="5">
        <f>Data!I391</f>
        <v>0</v>
      </c>
    </row>
    <row r="392" spans="1:5" x14ac:dyDescent="0.2">
      <c r="A392" s="2">
        <f>Data!A392</f>
        <v>45557</v>
      </c>
      <c r="B392" s="5">
        <f>Data!F392</f>
        <v>7.2064199911614502E-3</v>
      </c>
      <c r="C392" s="5">
        <f>Data!G392</f>
        <v>2.3035577169183696E-3</v>
      </c>
      <c r="D392" s="5">
        <f>Data!H392</f>
        <v>0</v>
      </c>
      <c r="E392" s="5">
        <f>Data!I392</f>
        <v>0</v>
      </c>
    </row>
    <row r="393" spans="1:5" x14ac:dyDescent="0.2">
      <c r="A393" s="2">
        <f>Data!A393</f>
        <v>45554</v>
      </c>
      <c r="B393" s="5">
        <f>Data!F393</f>
        <v>-2.964149809733696E-3</v>
      </c>
      <c r="C393" s="5">
        <f>Data!G393</f>
        <v>9.5607235142118885E-3</v>
      </c>
      <c r="D393" s="5">
        <f>Data!H393</f>
        <v>-1.5501730103806177E-2</v>
      </c>
      <c r="E393" s="5">
        <f>Data!I393</f>
        <v>0</v>
      </c>
    </row>
    <row r="394" spans="1:5" x14ac:dyDescent="0.2">
      <c r="A394" s="2">
        <f>Data!A394</f>
        <v>45553</v>
      </c>
      <c r="B394" s="5">
        <f>Data!F394</f>
        <v>2.8118096003213466E-3</v>
      </c>
      <c r="C394" s="5">
        <f>Data!G394</f>
        <v>2.0714655618849775E-3</v>
      </c>
      <c r="D394" s="5">
        <f>Data!H394</f>
        <v>5.1474680022258745E-3</v>
      </c>
      <c r="E394" s="5">
        <f>Data!I394</f>
        <v>0</v>
      </c>
    </row>
    <row r="395" spans="1:5" x14ac:dyDescent="0.2">
      <c r="A395" s="2">
        <f>Data!A395</f>
        <v>45552</v>
      </c>
      <c r="B395" s="5">
        <f>Data!F395</f>
        <v>-1.2377514182568383E-2</v>
      </c>
      <c r="C395" s="5">
        <f>Data!G395</f>
        <v>-2.1039290240811193E-2</v>
      </c>
      <c r="D395" s="5">
        <f>Data!H395</f>
        <v>-1.2094557449147891E-2</v>
      </c>
      <c r="E395" s="5">
        <f>Data!I395</f>
        <v>0</v>
      </c>
    </row>
    <row r="396" spans="1:5" x14ac:dyDescent="0.2">
      <c r="A396" s="2">
        <f>Data!A396</f>
        <v>45551</v>
      </c>
      <c r="B396" s="5">
        <f>Data!F396</f>
        <v>-1.6062611003766825E-2</v>
      </c>
      <c r="C396" s="5">
        <f>Data!G396</f>
        <v>-2.7606605866403733E-2</v>
      </c>
      <c r="D396" s="5">
        <f>Data!H396</f>
        <v>-3.5397056873922805E-2</v>
      </c>
      <c r="E396" s="5">
        <f>Data!I396</f>
        <v>0</v>
      </c>
    </row>
    <row r="397" spans="1:5" x14ac:dyDescent="0.2">
      <c r="A397" s="2">
        <f>Data!A397</f>
        <v>45550</v>
      </c>
      <c r="B397" s="5">
        <f>Data!F397</f>
        <v>-1.9722137003113094E-3</v>
      </c>
      <c r="C397" s="5">
        <f>Data!G397</f>
        <v>-2.3820981713185807E-2</v>
      </c>
      <c r="D397" s="5">
        <f>Data!H397</f>
        <v>-5.7993936997495776E-3</v>
      </c>
      <c r="E397" s="5">
        <f>Data!I397</f>
        <v>0</v>
      </c>
    </row>
    <row r="398" spans="1:5" x14ac:dyDescent="0.2">
      <c r="A398" s="2">
        <f>Data!A398</f>
        <v>45547</v>
      </c>
      <c r="B398" s="5">
        <f>Data!F398</f>
        <v>9.9592776203967226E-3</v>
      </c>
      <c r="C398" s="5">
        <f>Data!G398</f>
        <v>-1.2826603325415631E-2</v>
      </c>
      <c r="D398" s="5">
        <f>Data!H398</f>
        <v>5.0103806228373626E-2</v>
      </c>
      <c r="E398" s="5">
        <f>Data!I398</f>
        <v>8.1366965012197312E-4</v>
      </c>
    </row>
    <row r="399" spans="1:5" x14ac:dyDescent="0.2">
      <c r="A399" s="2">
        <f>Data!A399</f>
        <v>45546</v>
      </c>
      <c r="B399" s="5">
        <f>Data!F399</f>
        <v>1.0880964220829625E-3</v>
      </c>
      <c r="C399" s="5">
        <f>Data!G399</f>
        <v>1.4272121788772019E-3</v>
      </c>
      <c r="D399" s="5">
        <f>Data!H399</f>
        <v>-1.1492680257217169E-2</v>
      </c>
      <c r="E399" s="5">
        <f>Data!I399</f>
        <v>0</v>
      </c>
    </row>
    <row r="400" spans="1:5" x14ac:dyDescent="0.2">
      <c r="A400" s="2">
        <f>Data!A400</f>
        <v>45545</v>
      </c>
      <c r="B400" s="5">
        <f>Data!F400</f>
        <v>-1.4306925338499754E-3</v>
      </c>
      <c r="C400" s="5">
        <f>Data!G400</f>
        <v>1.5458937198067568E-2</v>
      </c>
      <c r="D400" s="5">
        <f>Data!H400</f>
        <v>-2.5927947598253231E-3</v>
      </c>
      <c r="E400" s="5">
        <f>Data!I400</f>
        <v>9.4455852156056785E-3</v>
      </c>
    </row>
    <row r="401" spans="1:5" x14ac:dyDescent="0.2">
      <c r="A401" s="2">
        <f>Data!A401</f>
        <v>45544</v>
      </c>
      <c r="B401" s="5">
        <f>Data!F401</f>
        <v>-3.312523888393426E-3</v>
      </c>
      <c r="C401" s="5">
        <f>Data!G401</f>
        <v>-2.2201228153046815E-2</v>
      </c>
      <c r="D401" s="5">
        <f>Data!H401</f>
        <v>-7.046070460704601E-3</v>
      </c>
      <c r="E401" s="5">
        <f>Data!I401</f>
        <v>0</v>
      </c>
    </row>
    <row r="402" spans="1:5" x14ac:dyDescent="0.2">
      <c r="A402" s="2">
        <f>Data!A402</f>
        <v>45543</v>
      </c>
      <c r="B402" s="5">
        <f>Data!F402</f>
        <v>-1.5424251342445405E-2</v>
      </c>
      <c r="C402" s="5">
        <f>Data!G402</f>
        <v>-1.6263940520446107E-2</v>
      </c>
      <c r="D402" s="5">
        <f>Data!H402</f>
        <v>-2.8691760989734139E-2</v>
      </c>
      <c r="E402" s="5">
        <f>Data!I402</f>
        <v>0</v>
      </c>
    </row>
    <row r="403" spans="1:5" x14ac:dyDescent="0.2">
      <c r="A403" s="2">
        <f>Data!A403</f>
        <v>45540</v>
      </c>
      <c r="B403" s="5">
        <f>Data!F403</f>
        <v>1.3252835353930514E-2</v>
      </c>
      <c r="C403" s="5">
        <f>Data!G403</f>
        <v>2.8434886499402623E-2</v>
      </c>
      <c r="D403" s="5">
        <f>Data!H403</f>
        <v>6.0911016949152241E-3</v>
      </c>
      <c r="E403" s="5">
        <f>Data!I403</f>
        <v>4.537953795379579E-3</v>
      </c>
    </row>
    <row r="404" spans="1:5" x14ac:dyDescent="0.2">
      <c r="A404" s="2">
        <f>Data!A404</f>
        <v>45539</v>
      </c>
      <c r="B404" s="5">
        <f>Data!F404</f>
        <v>-5.5807260777412937E-3</v>
      </c>
      <c r="C404" s="5">
        <f>Data!G404</f>
        <v>-3.0967127203430644E-3</v>
      </c>
      <c r="D404" s="5">
        <f>Data!H404</f>
        <v>-6.0542247959989304E-3</v>
      </c>
      <c r="E404" s="5">
        <f>Data!I404</f>
        <v>0</v>
      </c>
    </row>
    <row r="405" spans="1:5" x14ac:dyDescent="0.2">
      <c r="A405" s="2">
        <f>Data!A405</f>
        <v>45538</v>
      </c>
      <c r="B405" s="5">
        <f>Data!F405</f>
        <v>-1.2851151228969404E-2</v>
      </c>
      <c r="C405" s="5">
        <f>Data!G405</f>
        <v>-6.8606576768394101E-3</v>
      </c>
      <c r="D405" s="5">
        <f>Data!H405</f>
        <v>4.2294475284165856E-3</v>
      </c>
      <c r="E405" s="5">
        <f>Data!I405</f>
        <v>0</v>
      </c>
    </row>
    <row r="406" spans="1:5" x14ac:dyDescent="0.2">
      <c r="A406" s="2">
        <f>Data!A406</f>
        <v>45537</v>
      </c>
      <c r="B406" s="5">
        <f>Data!F406</f>
        <v>8.6105504653761766E-3</v>
      </c>
      <c r="C406" s="5">
        <f>Data!G406</f>
        <v>4.7539814594723673E-3</v>
      </c>
      <c r="D406" s="5">
        <f>Data!H406</f>
        <v>1.176785236694311E-2</v>
      </c>
      <c r="E406" s="5">
        <f>Data!I406</f>
        <v>-2.8846153846153855E-2</v>
      </c>
    </row>
    <row r="407" spans="1:5" x14ac:dyDescent="0.2">
      <c r="A407" s="2">
        <f>Data!A407</f>
        <v>45536</v>
      </c>
      <c r="B407" s="5">
        <f>Data!F407</f>
        <v>-7.498751008800375E-3</v>
      </c>
      <c r="C407" s="5">
        <f>Data!G407</f>
        <v>-2.389791183294665E-2</v>
      </c>
      <c r="D407" s="5">
        <f>Data!H407</f>
        <v>-1.6052631578947318E-2</v>
      </c>
      <c r="E407" s="5">
        <f>Data!I407</f>
        <v>3.3968516984258512E-2</v>
      </c>
    </row>
    <row r="408" spans="1:5" x14ac:dyDescent="0.2">
      <c r="A408" s="2">
        <f>Data!A408</f>
        <v>45533</v>
      </c>
      <c r="B408" s="5">
        <f>Data!F408</f>
        <v>7.210914440096694E-4</v>
      </c>
      <c r="C408" s="5">
        <f>Data!G408</f>
        <v>1.5551366635249808E-2</v>
      </c>
      <c r="D408" s="5">
        <f>Data!H408</f>
        <v>0</v>
      </c>
      <c r="E408" s="5">
        <f>Data!I408</f>
        <v>5.833333333333357E-3</v>
      </c>
    </row>
    <row r="409" spans="1:5" x14ac:dyDescent="0.2">
      <c r="A409" s="2">
        <f>Data!A409</f>
        <v>45532</v>
      </c>
      <c r="B409" s="5">
        <f>Data!F409</f>
        <v>7.7463799359553942E-3</v>
      </c>
      <c r="C409" s="5">
        <f>Data!G409</f>
        <v>6.4026559165284436E-3</v>
      </c>
      <c r="D409" s="5">
        <f>Data!H409</f>
        <v>3.7401037401037396E-2</v>
      </c>
      <c r="E409" s="5">
        <f>Data!I409</f>
        <v>0</v>
      </c>
    </row>
    <row r="410" spans="1:5" x14ac:dyDescent="0.2">
      <c r="A410" s="2">
        <f>Data!A410</f>
        <v>45531</v>
      </c>
      <c r="B410" s="5">
        <f>Data!F410</f>
        <v>-1.2338271867771144E-3</v>
      </c>
      <c r="C410" s="5">
        <f>Data!G410</f>
        <v>-6.5959952885747963E-3</v>
      </c>
      <c r="D410" s="5">
        <f>Data!H410</f>
        <v>-2.1765255708372289E-2</v>
      </c>
      <c r="E410" s="5">
        <f>Data!I410</f>
        <v>4.1841004184099972E-3</v>
      </c>
    </row>
    <row r="411" spans="1:5" x14ac:dyDescent="0.2">
      <c r="A411" s="2">
        <f>Data!A411</f>
        <v>45530</v>
      </c>
      <c r="B411" s="5">
        <f>Data!F411</f>
        <v>-3.8415007398625578E-3</v>
      </c>
      <c r="C411" s="5">
        <f>Data!G411</f>
        <v>-1.1764705882353343E-3</v>
      </c>
      <c r="D411" s="5">
        <f>Data!H411</f>
        <v>1.9744008714597028E-2</v>
      </c>
      <c r="E411" s="5">
        <f>Data!I411</f>
        <v>0</v>
      </c>
    </row>
    <row r="412" spans="1:5" x14ac:dyDescent="0.2">
      <c r="A412" s="2">
        <f>Data!A412</f>
        <v>45529</v>
      </c>
      <c r="B412" s="5">
        <f>Data!F412</f>
        <v>2.0662071815458205E-2</v>
      </c>
      <c r="C412" s="5">
        <f>Data!G412</f>
        <v>4.0646425073457504E-2</v>
      </c>
      <c r="D412" s="5">
        <f>Data!H412</f>
        <v>1.3944498136131411E-2</v>
      </c>
      <c r="E412" s="5">
        <f>Data!I412</f>
        <v>0</v>
      </c>
    </row>
    <row r="413" spans="1:5" x14ac:dyDescent="0.2">
      <c r="A413" s="2">
        <f>Data!A413</f>
        <v>45526</v>
      </c>
      <c r="B413" s="5">
        <f>Data!F413</f>
        <v>1.8136745144232691E-3</v>
      </c>
      <c r="C413" s="5">
        <f>Data!G413</f>
        <v>3.439803439803546E-3</v>
      </c>
      <c r="D413" s="5">
        <f>Data!H413</f>
        <v>6.9079856313902788E-4</v>
      </c>
      <c r="E413" s="5">
        <f>Data!I413</f>
        <v>2.9374737725555988E-3</v>
      </c>
    </row>
    <row r="414" spans="1:5" x14ac:dyDescent="0.2">
      <c r="A414" s="2">
        <f>Data!A414</f>
        <v>45525</v>
      </c>
      <c r="B414" s="5">
        <f>Data!F414</f>
        <v>-7.1538668558707164E-3</v>
      </c>
      <c r="C414" s="5">
        <f>Data!G414</f>
        <v>-1.998555261256918E-2</v>
      </c>
      <c r="D414" s="5">
        <f>Data!H414</f>
        <v>-2.2056796250344846E-3</v>
      </c>
      <c r="E414" s="5">
        <f>Data!I414</f>
        <v>-7.0833333333333304E-3</v>
      </c>
    </row>
    <row r="415" spans="1:5" x14ac:dyDescent="0.2">
      <c r="A415" s="2">
        <f>Data!A415</f>
        <v>45524</v>
      </c>
      <c r="B415" s="5">
        <f>Data!F415</f>
        <v>1.0580507374515769E-3</v>
      </c>
      <c r="C415" s="5">
        <f>Data!G415</f>
        <v>-2.2363465160075369E-2</v>
      </c>
      <c r="D415" s="5">
        <f>Data!H415</f>
        <v>-2.0920502092050208E-2</v>
      </c>
      <c r="E415" s="5">
        <f>Data!I415</f>
        <v>8.3402835696411159E-4</v>
      </c>
    </row>
    <row r="416" spans="1:5" x14ac:dyDescent="0.2">
      <c r="A416" s="2">
        <f>Data!A416</f>
        <v>45523</v>
      </c>
      <c r="B416" s="5">
        <f>Data!F416</f>
        <v>-4.7435184914342843E-3</v>
      </c>
      <c r="C416" s="5">
        <f>Data!G416</f>
        <v>-1.1863224005582707E-2</v>
      </c>
      <c r="D416" s="5">
        <f>Data!H416</f>
        <v>-2.4874967096604417E-2</v>
      </c>
      <c r="E416" s="5">
        <f>Data!I416</f>
        <v>0</v>
      </c>
    </row>
    <row r="417" spans="1:5" x14ac:dyDescent="0.2">
      <c r="A417" s="2">
        <f>Data!A417</f>
        <v>45522</v>
      </c>
      <c r="B417" s="5">
        <f>Data!F417</f>
        <v>5.8944684189876639E-3</v>
      </c>
      <c r="C417" s="5">
        <f>Data!G417</f>
        <v>2.7977044476327206E-2</v>
      </c>
      <c r="D417" s="5">
        <f>Data!H417</f>
        <v>1.158301158301156E-2</v>
      </c>
      <c r="E417" s="5">
        <f>Data!I417</f>
        <v>-2.9106029106028553E-3</v>
      </c>
    </row>
    <row r="418" spans="1:5" x14ac:dyDescent="0.2">
      <c r="A418" s="2">
        <f>Data!A418</f>
        <v>45519</v>
      </c>
      <c r="B418" s="5">
        <f>Data!F418</f>
        <v>1.5593483706776823E-2</v>
      </c>
      <c r="C418" s="5">
        <f>Data!G418</f>
        <v>3.2592592592592506E-2</v>
      </c>
      <c r="D418" s="5">
        <f>Data!H418</f>
        <v>3.4288074910493016E-2</v>
      </c>
      <c r="E418" s="5">
        <f>Data!I418</f>
        <v>0</v>
      </c>
    </row>
    <row r="419" spans="1:5" x14ac:dyDescent="0.2">
      <c r="A419" s="2">
        <f>Data!A419</f>
        <v>45518</v>
      </c>
      <c r="B419" s="5">
        <f>Data!F419</f>
        <v>1.7817857396311698E-2</v>
      </c>
      <c r="C419" s="5">
        <f>Data!G419</f>
        <v>4.9627791563275903E-3</v>
      </c>
      <c r="D419" s="5">
        <f>Data!H419</f>
        <v>3.2413989195337001E-2</v>
      </c>
      <c r="E419" s="5">
        <f>Data!I419</f>
        <v>0</v>
      </c>
    </row>
    <row r="420" spans="1:5" x14ac:dyDescent="0.2">
      <c r="A420" s="2">
        <f>Data!A420</f>
        <v>45516</v>
      </c>
      <c r="B420" s="5">
        <f>Data!F420</f>
        <v>-1.4507088691064984E-2</v>
      </c>
      <c r="C420" s="5">
        <f>Data!G420</f>
        <v>-2.1131892154481413E-2</v>
      </c>
      <c r="D420" s="5">
        <f>Data!H420</f>
        <v>-2.7378318584070804E-2</v>
      </c>
      <c r="E420" s="5">
        <f>Data!I420</f>
        <v>2.083333333333437E-3</v>
      </c>
    </row>
    <row r="421" spans="1:5" x14ac:dyDescent="0.2">
      <c r="A421" s="2">
        <f>Data!A421</f>
        <v>45515</v>
      </c>
      <c r="B421" s="5">
        <f>Data!F421</f>
        <v>2.8907670803253183E-3</v>
      </c>
      <c r="C421" s="5">
        <f>Data!G421</f>
        <v>-1.0098581389757166E-2</v>
      </c>
      <c r="D421" s="5">
        <f>Data!H421</f>
        <v>-1.4579643003133969E-2</v>
      </c>
      <c r="E421" s="5">
        <f>Data!I421</f>
        <v>-4.9751243781094301E-3</v>
      </c>
    </row>
    <row r="422" spans="1:5" x14ac:dyDescent="0.2">
      <c r="A422" s="2">
        <f>Data!A422</f>
        <v>45512</v>
      </c>
      <c r="B422" s="5">
        <f>Data!F422</f>
        <v>1.3069341102189602E-2</v>
      </c>
      <c r="C422" s="5">
        <f>Data!G422</f>
        <v>2.9710324337707261E-2</v>
      </c>
      <c r="D422" s="5">
        <f>Data!H422</f>
        <v>6.1694543460377727E-3</v>
      </c>
      <c r="E422" s="5">
        <f>Data!I422</f>
        <v>0</v>
      </c>
    </row>
    <row r="423" spans="1:5" x14ac:dyDescent="0.2">
      <c r="A423" s="2">
        <f>Data!A423</f>
        <v>45511</v>
      </c>
      <c r="B423" s="5">
        <f>Data!F423</f>
        <v>1.7801425767124623E-2</v>
      </c>
      <c r="C423" s="5">
        <f>Data!G423</f>
        <v>1.4824120603015079E-2</v>
      </c>
      <c r="D423" s="5">
        <f>Data!H423</f>
        <v>1.207159705841554E-2</v>
      </c>
      <c r="E423" s="5">
        <f>Data!I423</f>
        <v>0</v>
      </c>
    </row>
    <row r="424" spans="1:5" x14ac:dyDescent="0.2">
      <c r="A424" s="2">
        <f>Data!A424</f>
        <v>45510</v>
      </c>
      <c r="B424" s="5">
        <f>Data!F424</f>
        <v>1.5490985012616143E-2</v>
      </c>
      <c r="C424" s="5">
        <f>Data!G424</f>
        <v>1.7618927762397263E-3</v>
      </c>
      <c r="D424" s="5">
        <f>Data!H424</f>
        <v>-2.4763193504736103E-2</v>
      </c>
      <c r="E424" s="5">
        <f>Data!I424</f>
        <v>2.0772746157042832E-3</v>
      </c>
    </row>
    <row r="425" spans="1:5" x14ac:dyDescent="0.2">
      <c r="A425" s="2">
        <f>Data!A425</f>
        <v>45509</v>
      </c>
      <c r="B425" s="5">
        <f>Data!F425</f>
        <v>-8.5040205552838755E-3</v>
      </c>
      <c r="C425" s="5">
        <f>Data!G425</f>
        <v>0</v>
      </c>
      <c r="D425" s="5">
        <f>Data!H425</f>
        <v>-1.6633399866932796E-2</v>
      </c>
      <c r="E425" s="5">
        <f>Data!I425</f>
        <v>-3.7251655629139124E-3</v>
      </c>
    </row>
    <row r="426" spans="1:5" x14ac:dyDescent="0.2">
      <c r="A426" s="2">
        <f>Data!A426</f>
        <v>45508</v>
      </c>
      <c r="B426" s="5">
        <f>Data!F426</f>
        <v>-2.2696427028318422E-2</v>
      </c>
      <c r="C426" s="5">
        <f>Data!G426</f>
        <v>1.871794871794874E-2</v>
      </c>
      <c r="D426" s="5">
        <f>Data!H426</f>
        <v>6.6577896138486636E-4</v>
      </c>
      <c r="E426" s="5">
        <f>Data!I426</f>
        <v>0</v>
      </c>
    </row>
    <row r="427" spans="1:5" x14ac:dyDescent="0.2">
      <c r="A427" s="2">
        <f>Data!A427</f>
        <v>45505</v>
      </c>
      <c r="B427" s="5">
        <f>Data!F427</f>
        <v>-1.5390236333970631E-2</v>
      </c>
      <c r="C427" s="5">
        <f>Data!G427</f>
        <v>-2.5487256371814038E-2</v>
      </c>
      <c r="D427" s="5">
        <f>Data!H427</f>
        <v>-7.6260762607626043E-2</v>
      </c>
      <c r="E427" s="5">
        <f>Data!I427</f>
        <v>1.243265644426117E-3</v>
      </c>
    </row>
    <row r="428" spans="1:5" x14ac:dyDescent="0.2">
      <c r="A428" s="2">
        <f>Data!A428</f>
        <v>45504</v>
      </c>
      <c r="B428" s="5">
        <f>Data!F428</f>
        <v>1.8452219781983636E-3</v>
      </c>
      <c r="C428" s="5">
        <f>Data!G428</f>
        <v>0</v>
      </c>
      <c r="D428" s="5">
        <f>Data!H428</f>
        <v>2.6255995960615897E-2</v>
      </c>
      <c r="E428" s="5">
        <f>Data!I428</f>
        <v>0</v>
      </c>
    </row>
    <row r="429" spans="1:5" x14ac:dyDescent="0.2">
      <c r="A429" s="2">
        <f>Data!A429</f>
        <v>45503</v>
      </c>
      <c r="B429" s="5">
        <f>Data!F429</f>
        <v>-8.4520767249693929E-3</v>
      </c>
      <c r="C429" s="5">
        <f>Data!G429</f>
        <v>-2.989536621823663E-3</v>
      </c>
      <c r="D429" s="5">
        <f>Data!H429</f>
        <v>-1.3326690746045533E-2</v>
      </c>
      <c r="E429" s="5">
        <f>Data!I429</f>
        <v>0</v>
      </c>
    </row>
    <row r="430" spans="1:5" x14ac:dyDescent="0.2">
      <c r="A430" s="2">
        <f>Data!A430</f>
        <v>45502</v>
      </c>
      <c r="B430" s="5">
        <f>Data!F430</f>
        <v>3.4023107776424144E-3</v>
      </c>
      <c r="C430" s="5">
        <f>Data!G430</f>
        <v>-1.1573504063038698E-2</v>
      </c>
      <c r="D430" s="5">
        <f>Data!H430</f>
        <v>-1.3272704928106172E-2</v>
      </c>
      <c r="E430" s="5">
        <f>Data!I430</f>
        <v>0</v>
      </c>
    </row>
    <row r="431" spans="1:5" x14ac:dyDescent="0.2">
      <c r="A431" s="2">
        <f>Data!A431</f>
        <v>45501</v>
      </c>
      <c r="B431" s="5">
        <f>Data!F431</f>
        <v>-2.397553755063897E-2</v>
      </c>
      <c r="C431" s="5">
        <f>Data!G431</f>
        <v>-3.2404098165356165E-2</v>
      </c>
      <c r="D431" s="5">
        <f>Data!H431</f>
        <v>-6.592601635941886E-3</v>
      </c>
      <c r="E431" s="5">
        <f>Data!I431</f>
        <v>0</v>
      </c>
    </row>
    <row r="432" spans="1:5" x14ac:dyDescent="0.2">
      <c r="A432" s="2">
        <f>Data!A432</f>
        <v>45498</v>
      </c>
      <c r="B432" s="5">
        <f>Data!F432</f>
        <v>-5.0624694192934472E-3</v>
      </c>
      <c r="C432" s="5">
        <f>Data!G432</f>
        <v>-8.9728453364816829E-3</v>
      </c>
      <c r="D432" s="5">
        <f>Data!H432</f>
        <v>-3.7703721722208705E-3</v>
      </c>
      <c r="E432" s="5">
        <f>Data!I432</f>
        <v>0</v>
      </c>
    </row>
    <row r="433" spans="1:5" x14ac:dyDescent="0.2">
      <c r="A433" s="2">
        <f>Data!A433</f>
        <v>45497</v>
      </c>
      <c r="B433" s="5">
        <f>Data!F433</f>
        <v>-2.5368936824099464E-3</v>
      </c>
      <c r="C433" s="5">
        <f>Data!G433</f>
        <v>0</v>
      </c>
      <c r="D433" s="5">
        <f>Data!H433</f>
        <v>0</v>
      </c>
      <c r="E433" s="5">
        <f>Data!I433</f>
        <v>-4.1425020712515526E-4</v>
      </c>
    </row>
    <row r="434" spans="1:5" x14ac:dyDescent="0.2">
      <c r="A434" s="2">
        <f>Data!A434</f>
        <v>45496</v>
      </c>
      <c r="B434" s="5">
        <f>Data!F434</f>
        <v>1.452572028061172E-2</v>
      </c>
      <c r="C434" s="5">
        <f>Data!G434</f>
        <v>5.9382422802849444E-3</v>
      </c>
      <c r="D434" s="5">
        <f>Data!H434</f>
        <v>2.6829268292682951E-3</v>
      </c>
      <c r="E434" s="5">
        <f>Data!I434</f>
        <v>0</v>
      </c>
    </row>
    <row r="435" spans="1:5" x14ac:dyDescent="0.2">
      <c r="A435" s="2">
        <f>Data!A435</f>
        <v>45495</v>
      </c>
      <c r="B435" s="5">
        <f>Data!F435</f>
        <v>6.2451595080825761E-3</v>
      </c>
      <c r="C435" s="5">
        <f>Data!G435</f>
        <v>-9.8777046095954724E-3</v>
      </c>
      <c r="D435" s="5">
        <f>Data!H435</f>
        <v>3.5491371925100434E-3</v>
      </c>
      <c r="E435" s="5">
        <f>Data!I435</f>
        <v>1.0887772194304812E-2</v>
      </c>
    </row>
    <row r="436" spans="1:5" x14ac:dyDescent="0.2">
      <c r="A436" s="2">
        <f>Data!A436</f>
        <v>45494</v>
      </c>
      <c r="B436" s="5">
        <f>Data!F436</f>
        <v>-8.8787628402261509E-3</v>
      </c>
      <c r="C436" s="5">
        <f>Data!G436</f>
        <v>-6.077606358111276E-3</v>
      </c>
      <c r="D436" s="5">
        <f>Data!H436</f>
        <v>-1.2448634276045478E-2</v>
      </c>
      <c r="E436" s="5">
        <f>Data!I436</f>
        <v>-9.5396101202820383E-3</v>
      </c>
    </row>
    <row r="437" spans="1:5" x14ac:dyDescent="0.2">
      <c r="A437" s="2">
        <f>Data!A437</f>
        <v>45491</v>
      </c>
      <c r="B437" s="5">
        <f>Data!F437</f>
        <v>-4.0416238562935858E-3</v>
      </c>
      <c r="C437" s="5">
        <f>Data!G437</f>
        <v>-7.6548364648573175E-3</v>
      </c>
      <c r="D437" s="5">
        <f>Data!H437</f>
        <v>-1.02870813397129E-2</v>
      </c>
      <c r="E437" s="5">
        <f>Data!I437</f>
        <v>-4.1459369817575809E-4</v>
      </c>
    </row>
    <row r="438" spans="1:5" x14ac:dyDescent="0.2">
      <c r="A438" s="2">
        <f>Data!A438</f>
        <v>45490</v>
      </c>
      <c r="B438" s="5">
        <f>Data!F438</f>
        <v>-5.4097249128245428E-3</v>
      </c>
      <c r="C438" s="5">
        <f>Data!G438</f>
        <v>2.2533206831119479E-2</v>
      </c>
      <c r="D438" s="5">
        <f>Data!H438</f>
        <v>2.7587861341009656E-3</v>
      </c>
      <c r="E438" s="5">
        <f>Data!I438</f>
        <v>0</v>
      </c>
    </row>
    <row r="439" spans="1:5" x14ac:dyDescent="0.2">
      <c r="A439" s="2">
        <f>Data!A439</f>
        <v>45489</v>
      </c>
      <c r="B439" s="5">
        <f>Data!F439</f>
        <v>8.4340736575772013E-4</v>
      </c>
      <c r="C439" s="5">
        <f>Data!G439</f>
        <v>-3.780718336483968E-3</v>
      </c>
      <c r="D439" s="5">
        <f>Data!H439</f>
        <v>-1.3372781065088768E-2</v>
      </c>
      <c r="E439" s="5">
        <f>Data!I439</f>
        <v>2.0736352094794741E-2</v>
      </c>
    </row>
    <row r="440" spans="1:5" x14ac:dyDescent="0.2">
      <c r="A440" s="2">
        <f>Data!A440</f>
        <v>45488</v>
      </c>
      <c r="B440" s="5">
        <f>Data!F440</f>
        <v>2.322327380142486E-3</v>
      </c>
      <c r="C440" s="5">
        <f>Data!G440</f>
        <v>1.0506208213944657E-2</v>
      </c>
      <c r="D440" s="5">
        <f>Data!H440</f>
        <v>1.1249401627573041E-2</v>
      </c>
      <c r="E440" s="5">
        <f>Data!I440</f>
        <v>0</v>
      </c>
    </row>
    <row r="441" spans="1:5" x14ac:dyDescent="0.2">
      <c r="A441" s="2">
        <f>Data!A441</f>
        <v>45487</v>
      </c>
      <c r="B441" s="5">
        <f>Data!F441</f>
        <v>5.0553168322631237E-4</v>
      </c>
      <c r="C441" s="5">
        <f>Data!G441</f>
        <v>-1.9065776930410339E-3</v>
      </c>
      <c r="D441" s="5">
        <f>Data!H441</f>
        <v>-5.2380952380952639E-3</v>
      </c>
      <c r="E441" s="5">
        <f>Data!I441</f>
        <v>1.0692899914456877E-2</v>
      </c>
    </row>
    <row r="442" spans="1:5" x14ac:dyDescent="0.2">
      <c r="A442" s="2">
        <f>Data!A442</f>
        <v>45484</v>
      </c>
      <c r="B442" s="5">
        <f>Data!F442</f>
        <v>1.5359406155607713E-2</v>
      </c>
      <c r="C442" s="5">
        <f>Data!G442</f>
        <v>2.8179367802009248E-2</v>
      </c>
      <c r="D442" s="5">
        <f>Data!H442</f>
        <v>1.3391241404270726E-2</v>
      </c>
      <c r="E442" s="5">
        <f>Data!I442</f>
        <v>0</v>
      </c>
    </row>
    <row r="443" spans="1:5" x14ac:dyDescent="0.2">
      <c r="A443" s="2">
        <f>Data!A443</f>
        <v>45483</v>
      </c>
      <c r="B443" s="5">
        <f>Data!F443</f>
        <v>-6.0584654176908392E-3</v>
      </c>
      <c r="C443" s="5">
        <f>Data!G443</f>
        <v>-2.1812080536912748E-2</v>
      </c>
      <c r="D443" s="5">
        <f>Data!H443</f>
        <v>-2.4122542515980783E-4</v>
      </c>
      <c r="E443" s="5">
        <f>Data!I443</f>
        <v>3.4334763948498104E-3</v>
      </c>
    </row>
    <row r="444" spans="1:5" x14ac:dyDescent="0.2">
      <c r="A444" s="2">
        <f>Data!A444</f>
        <v>45482</v>
      </c>
      <c r="B444" s="5">
        <f>Data!F444</f>
        <v>5.663570121214212E-3</v>
      </c>
      <c r="C444" s="5">
        <f>Data!G444</f>
        <v>5.7859209257473676E-3</v>
      </c>
      <c r="D444" s="5">
        <f>Data!H444</f>
        <v>-9.6397156283889451E-4</v>
      </c>
      <c r="E444" s="5">
        <f>Data!I444</f>
        <v>0</v>
      </c>
    </row>
    <row r="445" spans="1:5" x14ac:dyDescent="0.2">
      <c r="A445" s="2">
        <f>Data!A445</f>
        <v>45481</v>
      </c>
      <c r="B445" s="5">
        <f>Data!F445</f>
        <v>-9.7027139262768625E-3</v>
      </c>
      <c r="C445" s="5">
        <f>Data!G445</f>
        <v>-3.2649253731343308E-2</v>
      </c>
      <c r="D445" s="5">
        <f>Data!H445</f>
        <v>-1.1317607815106046E-2</v>
      </c>
      <c r="E445" s="5">
        <f>Data!I445</f>
        <v>3.0133448127420692E-3</v>
      </c>
    </row>
    <row r="446" spans="1:5" x14ac:dyDescent="0.2">
      <c r="A446" s="2">
        <f>Data!A446</f>
        <v>45480</v>
      </c>
      <c r="B446" s="5">
        <f>Data!F446</f>
        <v>2.727213414236318E-2</v>
      </c>
      <c r="C446" s="5">
        <f>Data!G446</f>
        <v>6.5076999503228983E-2</v>
      </c>
      <c r="D446" s="5">
        <f>Data!H446</f>
        <v>2.067120622568086E-2</v>
      </c>
      <c r="E446" s="5">
        <f>Data!I446</f>
        <v>2.4250440917107596E-2</v>
      </c>
    </row>
    <row r="447" spans="1:5" x14ac:dyDescent="0.2">
      <c r="A447" s="2">
        <f>Data!A447</f>
        <v>45477</v>
      </c>
      <c r="B447" s="5">
        <f>Data!F447</f>
        <v>1.5840402969247158E-2</v>
      </c>
      <c r="C447" s="5">
        <f>Data!G447</f>
        <v>2.8615227388860465E-2</v>
      </c>
      <c r="D447" s="5">
        <f>Data!H447</f>
        <v>2.902902902902893E-2</v>
      </c>
      <c r="E447" s="5">
        <f>Data!I447</f>
        <v>1.3245033112583293E-3</v>
      </c>
    </row>
    <row r="448" spans="1:5" x14ac:dyDescent="0.2">
      <c r="A448" s="2">
        <f>Data!A448</f>
        <v>45476</v>
      </c>
      <c r="B448" s="5">
        <f>Data!F448</f>
        <v>6.3053125721468373E-3</v>
      </c>
      <c r="C448" s="5">
        <f>Data!G448</f>
        <v>2.7296587926509241E-2</v>
      </c>
      <c r="D448" s="5">
        <f>Data!H448</f>
        <v>1.1273957158963732E-3</v>
      </c>
      <c r="E448" s="5">
        <f>Data!I448</f>
        <v>0</v>
      </c>
    </row>
    <row r="449" spans="1:5" x14ac:dyDescent="0.2">
      <c r="A449" s="2">
        <f>Data!A449</f>
        <v>45475</v>
      </c>
      <c r="B449" s="5">
        <f>Data!F449</f>
        <v>4.6129265024223987E-3</v>
      </c>
      <c r="C449" s="5">
        <f>Data!G449</f>
        <v>1.3297872340425565E-2</v>
      </c>
      <c r="D449" s="5">
        <f>Data!H449</f>
        <v>-1.8754688672167896E-3</v>
      </c>
      <c r="E449" s="5">
        <f>Data!I449</f>
        <v>0</v>
      </c>
    </row>
    <row r="450" spans="1:5" x14ac:dyDescent="0.2">
      <c r="A450" s="2">
        <f>Data!A450</f>
        <v>45474</v>
      </c>
      <c r="B450" s="5">
        <f>Data!F450</f>
        <v>-7.0065356801048972E-3</v>
      </c>
      <c r="C450" s="5">
        <f>Data!G450</f>
        <v>-2.9677419354838697E-2</v>
      </c>
      <c r="D450" s="5">
        <f>Data!H450</f>
        <v>-1.8770702981229292E-2</v>
      </c>
      <c r="E450" s="5">
        <f>Data!I450</f>
        <v>0</v>
      </c>
    </row>
    <row r="451" spans="1:5" x14ac:dyDescent="0.2">
      <c r="A451" s="2">
        <f>Data!A451</f>
        <v>45473</v>
      </c>
      <c r="B451" s="5">
        <f>Data!F451</f>
        <v>3.2914330314046669E-3</v>
      </c>
      <c r="C451" s="5">
        <f>Data!G451</f>
        <v>-5.1586278050042012E-4</v>
      </c>
      <c r="D451" s="5">
        <f>Data!H451</f>
        <v>2.5154068670607543E-2</v>
      </c>
      <c r="E451" s="5">
        <f>Data!I451</f>
        <v>0</v>
      </c>
    </row>
    <row r="452" spans="1:5" x14ac:dyDescent="0.2">
      <c r="A452" s="2">
        <f>Data!A452</f>
        <v>45470</v>
      </c>
      <c r="B452" s="5">
        <f>Data!F452</f>
        <v>-7.699009981707805E-3</v>
      </c>
      <c r="C452" s="5">
        <f>Data!G452</f>
        <v>-4.62130937098848E-3</v>
      </c>
      <c r="D452" s="5">
        <f>Data!H452</f>
        <v>2.237366593802248E-2</v>
      </c>
      <c r="E452" s="5">
        <f>Data!I452</f>
        <v>0</v>
      </c>
    </row>
    <row r="453" spans="1:5" x14ac:dyDescent="0.2">
      <c r="A453" s="2">
        <f>Data!A453</f>
        <v>45469</v>
      </c>
      <c r="B453" s="5">
        <f>Data!F453</f>
        <v>1.1013749156453922E-2</v>
      </c>
      <c r="C453" s="5">
        <f>Data!G453</f>
        <v>3.1788079470198571E-2</v>
      </c>
      <c r="D453" s="5">
        <f>Data!H453</f>
        <v>1.1839708561020013E-2</v>
      </c>
      <c r="E453" s="5">
        <f>Data!I453</f>
        <v>-8.7527352297592786E-3</v>
      </c>
    </row>
    <row r="454" spans="1:5" x14ac:dyDescent="0.2">
      <c r="A454" s="2">
        <f>Data!A454</f>
        <v>45468</v>
      </c>
      <c r="B454" s="5">
        <f>Data!F454</f>
        <v>8.3422071007452914E-3</v>
      </c>
      <c r="C454" s="5">
        <f>Data!G454</f>
        <v>3.9893617021276029E-3</v>
      </c>
      <c r="D454" s="5">
        <f>Data!H454</f>
        <v>6.5479308538500813E-3</v>
      </c>
      <c r="E454" s="5">
        <f>Data!I454</f>
        <v>0</v>
      </c>
    </row>
    <row r="455" spans="1:5" x14ac:dyDescent="0.2">
      <c r="A455" s="2">
        <f>Data!A455</f>
        <v>45467</v>
      </c>
      <c r="B455" s="5">
        <f>Data!F455</f>
        <v>-1.4419610670511895E-3</v>
      </c>
      <c r="C455" s="5">
        <f>Data!G455</f>
        <v>-5.8170280274987274E-3</v>
      </c>
      <c r="D455" s="5">
        <f>Data!H455</f>
        <v>1.0855176065660554E-2</v>
      </c>
      <c r="E455" s="5">
        <f>Data!I455</f>
        <v>4.39560439560438E-3</v>
      </c>
    </row>
    <row r="456" spans="1:5" x14ac:dyDescent="0.2">
      <c r="A456" s="2">
        <f>Data!A456</f>
        <v>45466</v>
      </c>
      <c r="B456" s="5">
        <f>Data!F456</f>
        <v>-5.237141913646437E-3</v>
      </c>
      <c r="C456" s="5">
        <f>Data!G456</f>
        <v>-1.9699326075686918E-2</v>
      </c>
      <c r="D456" s="5">
        <f>Data!H456</f>
        <v>-5.5292259083727924E-3</v>
      </c>
      <c r="E456" s="5">
        <f>Data!I456</f>
        <v>0</v>
      </c>
    </row>
    <row r="457" spans="1:5" x14ac:dyDescent="0.2">
      <c r="A457" s="2">
        <f>Data!A457</f>
        <v>45463</v>
      </c>
      <c r="B457" s="5">
        <f>Data!F457</f>
        <v>-1.7997567896230193E-2</v>
      </c>
      <c r="C457" s="5">
        <f>Data!G457</f>
        <v>-2.5265285497726109E-2</v>
      </c>
      <c r="D457" s="5">
        <f>Data!H457</f>
        <v>-1.8396846254927768E-3</v>
      </c>
      <c r="E457" s="5">
        <f>Data!I457</f>
        <v>0</v>
      </c>
    </row>
    <row r="458" spans="1:5" x14ac:dyDescent="0.2">
      <c r="A458" s="2">
        <f>Data!A458</f>
        <v>45462</v>
      </c>
      <c r="B458" s="5">
        <f>Data!F458</f>
        <v>-1.5704870029542572E-4</v>
      </c>
      <c r="C458" s="5">
        <f>Data!G458</f>
        <v>-1.9326065411298332E-2</v>
      </c>
      <c r="D458" s="5">
        <f>Data!H458</f>
        <v>-1.050144394854291E-3</v>
      </c>
      <c r="E458" s="5">
        <f>Data!I458</f>
        <v>0</v>
      </c>
    </row>
    <row r="459" spans="1:5" x14ac:dyDescent="0.2">
      <c r="A459" s="2">
        <f>Data!A459</f>
        <v>45461</v>
      </c>
      <c r="B459" s="5">
        <f>Data!F459</f>
        <v>-2.1434168288552158E-3</v>
      </c>
      <c r="C459" s="5">
        <f>Data!G459</f>
        <v>-1.151114376683815E-2</v>
      </c>
      <c r="D459" s="5">
        <f>Data!H459</f>
        <v>-3.1405391258833015E-3</v>
      </c>
      <c r="E459" s="5">
        <f>Data!I459</f>
        <v>0</v>
      </c>
    </row>
    <row r="460" spans="1:5" x14ac:dyDescent="0.2">
      <c r="A460" s="2">
        <f>Data!A460</f>
        <v>45460</v>
      </c>
      <c r="B460" s="5">
        <f>Data!F460</f>
        <v>1.491472900034907E-2</v>
      </c>
      <c r="C460" s="5">
        <f>Data!G460</f>
        <v>3.8667005850928415E-2</v>
      </c>
      <c r="D460" s="5">
        <f>Data!H460</f>
        <v>1.8353434714211136E-3</v>
      </c>
      <c r="E460" s="5">
        <f>Data!I460</f>
        <v>0</v>
      </c>
    </row>
    <row r="461" spans="1:5" x14ac:dyDescent="0.2">
      <c r="A461" s="2">
        <f>Data!A461</f>
        <v>45459</v>
      </c>
      <c r="B461" s="5">
        <f>Data!F461</f>
        <v>-8.7373999369361188E-3</v>
      </c>
      <c r="C461" s="5">
        <f>Data!G461</f>
        <v>2.2947475777663762E-3</v>
      </c>
      <c r="D461" s="5">
        <f>Data!H461</f>
        <v>-3.0010172939979651E-2</v>
      </c>
      <c r="E461" s="5">
        <f>Data!I461</f>
        <v>0</v>
      </c>
    </row>
    <row r="462" spans="1:5" x14ac:dyDescent="0.2">
      <c r="A462" s="2">
        <f>Data!A462</f>
        <v>45456</v>
      </c>
      <c r="B462" s="5">
        <f>Data!F462</f>
        <v>3.6188794234293109E-3</v>
      </c>
      <c r="C462" s="5">
        <f>Data!G462</f>
        <v>-1.5809284818067759E-2</v>
      </c>
      <c r="D462" s="5">
        <f>Data!H462</f>
        <v>0</v>
      </c>
      <c r="E462" s="5">
        <f>Data!I462</f>
        <v>0</v>
      </c>
    </row>
    <row r="463" spans="1:5" x14ac:dyDescent="0.2">
      <c r="A463" s="2">
        <f>Data!A463</f>
        <v>45453</v>
      </c>
      <c r="B463" s="5">
        <f>Data!F463</f>
        <v>4.1309818513564078E-3</v>
      </c>
      <c r="C463" s="5">
        <f>Data!G463</f>
        <v>1.0395537525355047E-2</v>
      </c>
      <c r="D463" s="5">
        <f>Data!H463</f>
        <v>1.2358393408856916E-2</v>
      </c>
      <c r="E463" s="5">
        <f>Data!I463</f>
        <v>3.6446469248291535E-2</v>
      </c>
    </row>
    <row r="464" spans="1:5" x14ac:dyDescent="0.2">
      <c r="A464" s="2">
        <f>Data!A464</f>
        <v>45452</v>
      </c>
      <c r="B464" s="5">
        <f>Data!F464</f>
        <v>3.6883854439950792E-3</v>
      </c>
      <c r="C464" s="5">
        <f>Data!G464</f>
        <v>-1.7928286852589626E-2</v>
      </c>
      <c r="D464" s="5">
        <f>Data!H464</f>
        <v>-1.5424164524421302E-3</v>
      </c>
      <c r="E464" s="5">
        <f>Data!I464</f>
        <v>0</v>
      </c>
    </row>
    <row r="465" spans="1:5" x14ac:dyDescent="0.2">
      <c r="A465" s="2">
        <f>Data!A465</f>
        <v>45449</v>
      </c>
      <c r="B465" s="5">
        <f>Data!F465</f>
        <v>-9.9315487104265632E-3</v>
      </c>
      <c r="C465" s="5">
        <f>Data!G465</f>
        <v>-2.6896050399806137E-2</v>
      </c>
      <c r="D465" s="5">
        <f>Data!H465</f>
        <v>-3.5577042270980574E-2</v>
      </c>
      <c r="E465" s="5">
        <f>Data!I465</f>
        <v>2.7409776153495269E-3</v>
      </c>
    </row>
    <row r="466" spans="1:5" x14ac:dyDescent="0.2">
      <c r="A466" s="2">
        <f>Data!A466</f>
        <v>45448</v>
      </c>
      <c r="B466" s="5">
        <f>Data!F466</f>
        <v>-1.5429668891440707E-2</v>
      </c>
      <c r="C466" s="5">
        <f>Data!G466</f>
        <v>-1.9482062247564769E-2</v>
      </c>
      <c r="D466" s="5">
        <f>Data!H466</f>
        <v>-2.0043731778425666E-2</v>
      </c>
      <c r="E466" s="5">
        <f>Data!I466</f>
        <v>2.1465235650956593E-2</v>
      </c>
    </row>
    <row r="467" spans="1:5" x14ac:dyDescent="0.2">
      <c r="A467" s="2">
        <f>Data!A467</f>
        <v>45447</v>
      </c>
      <c r="B467" s="5">
        <f>Data!F467</f>
        <v>-5.0242481090465585E-3</v>
      </c>
      <c r="C467" s="5">
        <f>Data!G467</f>
        <v>1.0564225690276041E-2</v>
      </c>
      <c r="D467" s="5">
        <f>Data!H467</f>
        <v>-1.0921004732434847E-3</v>
      </c>
      <c r="E467" s="5">
        <f>Data!I467</f>
        <v>0</v>
      </c>
    </row>
    <row r="468" spans="1:5" x14ac:dyDescent="0.2">
      <c r="A468" s="2">
        <f>Data!A468</f>
        <v>45446</v>
      </c>
      <c r="B468" s="5">
        <f>Data!F468</f>
        <v>9.1637799081607518E-3</v>
      </c>
      <c r="C468" s="5">
        <f>Data!G468</f>
        <v>-1.4434453383814438E-2</v>
      </c>
      <c r="D468" s="5">
        <f>Data!H468</f>
        <v>8.5668828784726259E-3</v>
      </c>
      <c r="E468" s="5">
        <f>Data!I468</f>
        <v>0</v>
      </c>
    </row>
    <row r="469" spans="1:5" x14ac:dyDescent="0.2">
      <c r="A469" s="2">
        <f>Data!A469</f>
        <v>45445</v>
      </c>
      <c r="B469" s="5">
        <f>Data!F469</f>
        <v>-3.6871121634570736E-3</v>
      </c>
      <c r="C469" s="5">
        <f>Data!G469</f>
        <v>-1.007261653783087E-2</v>
      </c>
      <c r="D469" s="5">
        <f>Data!H469</f>
        <v>-3.6580904767711253E-3</v>
      </c>
      <c r="E469" s="5">
        <f>Data!I469</f>
        <v>-1.6972477064220226E-2</v>
      </c>
    </row>
    <row r="470" spans="1:5" x14ac:dyDescent="0.2">
      <c r="A470" s="2">
        <f>Data!A470</f>
        <v>45442</v>
      </c>
      <c r="B470" s="5">
        <f>Data!F470</f>
        <v>1.794096067060158E-3</v>
      </c>
      <c r="C470" s="5">
        <f>Data!G470</f>
        <v>-1.6359447004608341E-2</v>
      </c>
      <c r="D470" s="5">
        <f>Data!H470</f>
        <v>2.4356732450661944E-2</v>
      </c>
      <c r="E470" s="5">
        <f>Data!I470</f>
        <v>0</v>
      </c>
    </row>
    <row r="471" spans="1:5" x14ac:dyDescent="0.2">
      <c r="A471" s="2">
        <f>Data!A471</f>
        <v>45441</v>
      </c>
      <c r="B471" s="5">
        <f>Data!F471</f>
        <v>2.3574688441350133E-3</v>
      </c>
      <c r="C471" s="5">
        <f>Data!G471</f>
        <v>0</v>
      </c>
      <c r="D471" s="5">
        <f>Data!H471</f>
        <v>-2.9887920298878878E-3</v>
      </c>
      <c r="E471" s="5">
        <f>Data!I471</f>
        <v>0</v>
      </c>
    </row>
    <row r="472" spans="1:5" x14ac:dyDescent="0.2">
      <c r="A472" s="2">
        <f>Data!A472</f>
        <v>45440</v>
      </c>
      <c r="B472" s="5">
        <f>Data!F472</f>
        <v>9.9870265320138873E-3</v>
      </c>
      <c r="C472" s="5">
        <f>Data!G472</f>
        <v>5.327773917072065E-3</v>
      </c>
      <c r="D472" s="5">
        <f>Data!H472</f>
        <v>2.4234693877551061E-2</v>
      </c>
      <c r="E472" s="5">
        <f>Data!I472</f>
        <v>0</v>
      </c>
    </row>
    <row r="473" spans="1:5" x14ac:dyDescent="0.2">
      <c r="A473" s="2">
        <f>Data!A473</f>
        <v>45439</v>
      </c>
      <c r="B473" s="5">
        <f>Data!F473</f>
        <v>-9.9618299271675426E-4</v>
      </c>
      <c r="C473" s="5">
        <f>Data!G473</f>
        <v>-9.1806288730778007E-3</v>
      </c>
      <c r="D473" s="5">
        <f>Data!H473</f>
        <v>-1.5940755616919766E-2</v>
      </c>
      <c r="E473" s="5">
        <f>Data!I473</f>
        <v>-2.7447392497712553E-3</v>
      </c>
    </row>
    <row r="474" spans="1:5" x14ac:dyDescent="0.2">
      <c r="A474" s="2">
        <f>Data!A474</f>
        <v>45438</v>
      </c>
      <c r="B474" s="5">
        <f>Data!F474</f>
        <v>1.3894685410071883E-3</v>
      </c>
      <c r="C474" s="5">
        <f>Data!G474</f>
        <v>4.861612515042113E-2</v>
      </c>
      <c r="D474" s="5">
        <f>Data!H474</f>
        <v>-6.7323276399451348E-3</v>
      </c>
      <c r="E474" s="5">
        <f>Data!I474</f>
        <v>0</v>
      </c>
    </row>
    <row r="475" spans="1:5" x14ac:dyDescent="0.2">
      <c r="A475" s="2">
        <f>Data!A475</f>
        <v>45435</v>
      </c>
      <c r="B475" s="5">
        <f>Data!F475</f>
        <v>-1.8137018314832165E-3</v>
      </c>
      <c r="C475" s="5">
        <f>Data!G475</f>
        <v>-1.189060642092743E-2</v>
      </c>
      <c r="D475" s="5">
        <f>Data!H475</f>
        <v>-4.5917101017621809E-3</v>
      </c>
      <c r="E475" s="5">
        <f>Data!I475</f>
        <v>0</v>
      </c>
    </row>
    <row r="476" spans="1:5" x14ac:dyDescent="0.2">
      <c r="A476" s="2">
        <f>Data!A476</f>
        <v>45434</v>
      </c>
      <c r="B476" s="5">
        <f>Data!F476</f>
        <v>-3.8059184055631023E-3</v>
      </c>
      <c r="C476" s="5">
        <f>Data!G476</f>
        <v>-1.0588235294117676E-2</v>
      </c>
      <c r="D476" s="5">
        <f>Data!H476</f>
        <v>7.3759219902487239E-3</v>
      </c>
      <c r="E476" s="5">
        <f>Data!I476</f>
        <v>-1.752808988764043E-2</v>
      </c>
    </row>
    <row r="477" spans="1:5" x14ac:dyDescent="0.2">
      <c r="A477" s="2">
        <f>Data!A477</f>
        <v>45433</v>
      </c>
      <c r="B477" s="5">
        <f>Data!F477</f>
        <v>-6.3465242470417405E-3</v>
      </c>
      <c r="C477" s="5">
        <f>Data!G477</f>
        <v>-1.3234269793359621E-2</v>
      </c>
      <c r="D477" s="5">
        <f>Data!H477</f>
        <v>5.6575308021120652E-3</v>
      </c>
      <c r="E477" s="5">
        <f>Data!I477</f>
        <v>8.9968511021143449E-4</v>
      </c>
    </row>
    <row r="478" spans="1:5" x14ac:dyDescent="0.2">
      <c r="A478" s="2">
        <f>Data!A478</f>
        <v>45432</v>
      </c>
      <c r="B478" s="5">
        <f>Data!F478</f>
        <v>9.6728003899584358E-3</v>
      </c>
      <c r="C478" s="5">
        <f>Data!G478</f>
        <v>-2.778420930770964E-3</v>
      </c>
      <c r="D478" s="5">
        <f>Data!H478</f>
        <v>1.467023855083549E-2</v>
      </c>
      <c r="E478" s="5">
        <f>Data!I478</f>
        <v>-8.9887640449437534E-4</v>
      </c>
    </row>
    <row r="479" spans="1:5" x14ac:dyDescent="0.2">
      <c r="A479" s="2">
        <f>Data!A479</f>
        <v>45431</v>
      </c>
      <c r="B479" s="5">
        <f>Data!F479</f>
        <v>-1.380070105157738E-2</v>
      </c>
      <c r="C479" s="5">
        <f>Data!G479</f>
        <v>-1.6621129326047313E-2</v>
      </c>
      <c r="D479" s="5">
        <f>Data!H479</f>
        <v>-1.8775816748028529E-2</v>
      </c>
      <c r="E479" s="5">
        <f>Data!I479</f>
        <v>0</v>
      </c>
    </row>
    <row r="480" spans="1:5" x14ac:dyDescent="0.2">
      <c r="A480" s="2">
        <f>Data!A480</f>
        <v>45428</v>
      </c>
      <c r="B480" s="5">
        <f>Data!F480</f>
        <v>-1.7886562701328268E-2</v>
      </c>
      <c r="C480" s="5">
        <f>Data!G480</f>
        <v>-3.3663366336633693E-2</v>
      </c>
      <c r="D480" s="5">
        <f>Data!H480</f>
        <v>-1.3216403162055301E-2</v>
      </c>
      <c r="E480" s="5">
        <f>Data!I480</f>
        <v>0</v>
      </c>
    </row>
    <row r="481" spans="1:5" x14ac:dyDescent="0.2">
      <c r="A481" s="2">
        <f>Data!A481</f>
        <v>45427</v>
      </c>
      <c r="B481" s="5">
        <f>Data!F481</f>
        <v>1.0929768850158617E-3</v>
      </c>
      <c r="C481" s="5">
        <f>Data!G481</f>
        <v>7.0906270773321012E-3</v>
      </c>
      <c r="D481" s="5">
        <f>Data!H481</f>
        <v>-7.356547327121099E-3</v>
      </c>
      <c r="E481" s="5">
        <f>Data!I481</f>
        <v>2.2522522522523403E-3</v>
      </c>
    </row>
    <row r="482" spans="1:5" x14ac:dyDescent="0.2">
      <c r="A482" s="2">
        <f>Data!A482</f>
        <v>45424</v>
      </c>
      <c r="B482" s="5">
        <f>Data!F482</f>
        <v>3.6069866837957765E-3</v>
      </c>
      <c r="C482" s="5">
        <f>Data!G482</f>
        <v>1.9982238010656239E-3</v>
      </c>
      <c r="D482" s="5">
        <f>Data!H482</f>
        <v>-1.3068731848983495E-2</v>
      </c>
      <c r="E482" s="5">
        <f>Data!I482</f>
        <v>-4.1036717062635009E-2</v>
      </c>
    </row>
    <row r="483" spans="1:5" x14ac:dyDescent="0.2">
      <c r="A483" s="2">
        <f>Data!A483</f>
        <v>45421</v>
      </c>
      <c r="B483" s="5">
        <f>Data!F483</f>
        <v>8.4760120388271964E-3</v>
      </c>
      <c r="C483" s="5">
        <f>Data!G483</f>
        <v>6.4804469273742615E-3</v>
      </c>
      <c r="D483" s="5">
        <f>Data!H483</f>
        <v>6.054001695119382E-4</v>
      </c>
      <c r="E483" s="5">
        <f>Data!I483</f>
        <v>0</v>
      </c>
    </row>
    <row r="484" spans="1:5" x14ac:dyDescent="0.2">
      <c r="A484" s="2">
        <f>Data!A484</f>
        <v>45420</v>
      </c>
      <c r="B484" s="5">
        <f>Data!F484</f>
        <v>5.0079125017528092E-3</v>
      </c>
      <c r="C484" s="5">
        <f>Data!G484</f>
        <v>-1.1160714285713969E-3</v>
      </c>
      <c r="D484" s="5">
        <f>Data!H484</f>
        <v>2.2913054248204112E-2</v>
      </c>
      <c r="E484" s="5">
        <f>Data!I484</f>
        <v>0</v>
      </c>
    </row>
    <row r="485" spans="1:5" x14ac:dyDescent="0.2">
      <c r="A485" s="2">
        <f>Data!A485</f>
        <v>45419</v>
      </c>
      <c r="B485" s="5">
        <f>Data!F485</f>
        <v>1.5258054839513369E-2</v>
      </c>
      <c r="C485" s="5">
        <f>Data!G485</f>
        <v>1.4952424105119988E-2</v>
      </c>
      <c r="D485" s="5">
        <f>Data!H485</f>
        <v>4.7287207565953615E-3</v>
      </c>
      <c r="E485" s="5">
        <f>Data!I485</f>
        <v>0</v>
      </c>
    </row>
    <row r="486" spans="1:5" x14ac:dyDescent="0.2">
      <c r="A486" s="2">
        <f>Data!A486</f>
        <v>45418</v>
      </c>
      <c r="B486" s="5">
        <f>Data!F486</f>
        <v>-2.6874496103198586E-3</v>
      </c>
      <c r="C486" s="5">
        <f>Data!G486</f>
        <v>-2.0199778024417303E-2</v>
      </c>
      <c r="D486" s="5">
        <f>Data!H486</f>
        <v>-2.3928094254828114E-2</v>
      </c>
      <c r="E486" s="5">
        <f>Data!I486</f>
        <v>0</v>
      </c>
    </row>
    <row r="487" spans="1:5" x14ac:dyDescent="0.2">
      <c r="A487" s="2">
        <f>Data!A487</f>
        <v>45417</v>
      </c>
      <c r="B487" s="5">
        <f>Data!F487</f>
        <v>5.0862574217058754E-3</v>
      </c>
      <c r="C487" s="5">
        <f>Data!G487</f>
        <v>-1.1411016019310938E-2</v>
      </c>
      <c r="D487" s="5">
        <f>Data!H487</f>
        <v>-4.5943658566074408E-3</v>
      </c>
      <c r="E487" s="5">
        <f>Data!I487</f>
        <v>0</v>
      </c>
    </row>
    <row r="488" spans="1:5" x14ac:dyDescent="0.2">
      <c r="A488" s="2">
        <f>Data!A488</f>
        <v>45414</v>
      </c>
      <c r="B488" s="5">
        <f>Data!F488</f>
        <v>3.4519791347038531E-3</v>
      </c>
      <c r="C488" s="5">
        <f>Data!G488</f>
        <v>0</v>
      </c>
      <c r="D488" s="5">
        <f>Data!H488</f>
        <v>-2.9111398051414494E-2</v>
      </c>
      <c r="E488" s="5">
        <f>Data!I488</f>
        <v>0</v>
      </c>
    </row>
    <row r="489" spans="1:5" x14ac:dyDescent="0.2">
      <c r="A489" s="2">
        <f>Data!A489</f>
        <v>45413</v>
      </c>
      <c r="B489" s="5">
        <f>Data!F489</f>
        <v>-7.7788433727603579E-3</v>
      </c>
      <c r="C489" s="5">
        <f>Data!G489</f>
        <v>1.9788918205805306E-3</v>
      </c>
      <c r="D489" s="5">
        <f>Data!H489</f>
        <v>-1.6054516054516021E-2</v>
      </c>
      <c r="E489" s="5">
        <f>Data!I489</f>
        <v>0</v>
      </c>
    </row>
    <row r="490" spans="1:5" x14ac:dyDescent="0.2">
      <c r="A490" s="2">
        <f>Data!A490</f>
        <v>45412</v>
      </c>
      <c r="B490" s="5">
        <f>Data!F490</f>
        <v>1.1481451066537973E-2</v>
      </c>
      <c r="C490" s="5">
        <f>Data!G490</f>
        <v>-2.6315789473684292E-3</v>
      </c>
      <c r="D490" s="5">
        <f>Data!H490</f>
        <v>1.1551345731786178E-4</v>
      </c>
      <c r="E490" s="5">
        <f>Data!I490</f>
        <v>0</v>
      </c>
    </row>
    <row r="491" spans="1:5" x14ac:dyDescent="0.2">
      <c r="A491" s="2">
        <f>Data!A491</f>
        <v>45407</v>
      </c>
      <c r="B491" s="5">
        <f>Data!F491</f>
        <v>-7.0684884035001616E-3</v>
      </c>
      <c r="C491" s="5">
        <f>Data!G491</f>
        <v>-1.5118790496760237E-2</v>
      </c>
      <c r="D491" s="5">
        <f>Data!H491</f>
        <v>2.4497041420118437E-2</v>
      </c>
      <c r="E491" s="5">
        <f>Data!I491</f>
        <v>0</v>
      </c>
    </row>
    <row r="492" spans="1:5" x14ac:dyDescent="0.2">
      <c r="A492" s="2">
        <f>Data!A492</f>
        <v>45406</v>
      </c>
      <c r="B492" s="5">
        <f>Data!F492</f>
        <v>2.4880451220010702E-3</v>
      </c>
      <c r="C492" s="5">
        <f>Data!G492</f>
        <v>2.6607538802660757E-2</v>
      </c>
      <c r="D492" s="5">
        <f>Data!H492</f>
        <v>-5.1801271485755196E-3</v>
      </c>
      <c r="E492" s="5">
        <f>Data!I492</f>
        <v>0</v>
      </c>
    </row>
    <row r="493" spans="1:5" x14ac:dyDescent="0.2">
      <c r="A493" s="2">
        <f>Data!A493</f>
        <v>45403</v>
      </c>
      <c r="B493" s="5">
        <f>Data!F493</f>
        <v>1.2089059866182694E-2</v>
      </c>
      <c r="C493" s="5">
        <f>Data!G493</f>
        <v>4.5191193511008088E-2</v>
      </c>
      <c r="D493" s="5">
        <f>Data!H493</f>
        <v>-4.45382090951707E-3</v>
      </c>
      <c r="E493" s="5">
        <f>Data!I493</f>
        <v>0</v>
      </c>
    </row>
    <row r="494" spans="1:5" x14ac:dyDescent="0.2">
      <c r="A494" s="2">
        <f>Data!A494</f>
        <v>45400</v>
      </c>
      <c r="B494" s="5">
        <f>Data!F494</f>
        <v>1.1146779877238888E-2</v>
      </c>
      <c r="C494" s="5">
        <f>Data!G494</f>
        <v>-8.2739600091933374E-3</v>
      </c>
      <c r="D494" s="5">
        <f>Data!H494</f>
        <v>-7.7916036748458817E-3</v>
      </c>
      <c r="E494" s="5">
        <f>Data!I494</f>
        <v>0</v>
      </c>
    </row>
    <row r="495" spans="1:5" x14ac:dyDescent="0.2">
      <c r="A495" s="2">
        <f>Data!A495</f>
        <v>45399</v>
      </c>
      <c r="B495" s="5">
        <f>Data!F495</f>
        <v>-1.0153807936737924E-2</v>
      </c>
      <c r="C495" s="5">
        <f>Data!G495</f>
        <v>-1.5833521827640751E-2</v>
      </c>
      <c r="D495" s="5">
        <f>Data!H495</f>
        <v>0</v>
      </c>
      <c r="E495" s="5">
        <f>Data!I495</f>
        <v>0</v>
      </c>
    </row>
    <row r="496" spans="1:5" x14ac:dyDescent="0.2">
      <c r="A496" s="2">
        <f>Data!A496</f>
        <v>45398</v>
      </c>
      <c r="B496" s="5">
        <f>Data!F496</f>
        <v>-3.2960741126649706E-3</v>
      </c>
      <c r="C496" s="5">
        <f>Data!G496</f>
        <v>-1.3169642857142838E-2</v>
      </c>
      <c r="D496" s="5">
        <f>Data!H496</f>
        <v>-1.3536767236434599E-2</v>
      </c>
      <c r="E496" s="5">
        <f>Data!I496</f>
        <v>0</v>
      </c>
    </row>
    <row r="497" spans="1:5" x14ac:dyDescent="0.2">
      <c r="A497" s="2">
        <f>Data!A497</f>
        <v>45397</v>
      </c>
      <c r="B497" s="5">
        <f>Data!F497</f>
        <v>-1.0397950016334478E-2</v>
      </c>
      <c r="C497" s="5">
        <f>Data!G497</f>
        <v>-9.5069644041565482E-3</v>
      </c>
      <c r="D497" s="5">
        <f>Data!H497</f>
        <v>-5.7032052013231693E-3</v>
      </c>
      <c r="E497" s="5">
        <f>Data!I497</f>
        <v>0</v>
      </c>
    </row>
    <row r="498" spans="1:5" x14ac:dyDescent="0.2">
      <c r="A498" s="2">
        <f>Data!A498</f>
        <v>45396</v>
      </c>
      <c r="B498" s="5">
        <f>Data!F498</f>
        <v>3.1132230050794352E-3</v>
      </c>
      <c r="C498" s="5">
        <f>Data!G498</f>
        <v>2.211410880141873E-4</v>
      </c>
      <c r="D498" s="5">
        <f>Data!H498</f>
        <v>-3.7500000000000311E-3</v>
      </c>
      <c r="E498" s="5">
        <f>Data!I498</f>
        <v>0</v>
      </c>
    </row>
    <row r="499" spans="1:5" x14ac:dyDescent="0.2">
      <c r="A499" s="2">
        <f>Data!A499</f>
        <v>45393</v>
      </c>
      <c r="B499" s="5">
        <f>Data!F499</f>
        <v>-1.6423495520178077E-2</v>
      </c>
      <c r="C499" s="5">
        <f>Data!G499</f>
        <v>-7.6804915514593342E-3</v>
      </c>
      <c r="D499" s="5">
        <f>Data!H499</f>
        <v>-6.7720090293453827E-3</v>
      </c>
      <c r="E499" s="5">
        <f>Data!I499</f>
        <v>0</v>
      </c>
    </row>
    <row r="500" spans="1:5" x14ac:dyDescent="0.2">
      <c r="A500" s="2">
        <f>Data!A500</f>
        <v>45392</v>
      </c>
      <c r="B500" s="5">
        <f>Data!F500</f>
        <v>-9.5475156007602813E-3</v>
      </c>
      <c r="C500" s="5">
        <f>Data!G500</f>
        <v>-1.1711125569290881E-2</v>
      </c>
      <c r="D500" s="5">
        <f>Data!H500</f>
        <v>-2.9259509340535672E-3</v>
      </c>
      <c r="E500" s="5">
        <f>Data!I500</f>
        <v>0</v>
      </c>
    </row>
    <row r="501" spans="1:5" x14ac:dyDescent="0.2">
      <c r="A501" s="2">
        <f>Data!A501</f>
        <v>45391</v>
      </c>
      <c r="B501" s="5">
        <f>Data!F501</f>
        <v>-1.0376506247130601E-2</v>
      </c>
      <c r="C501" s="5">
        <f>Data!G501</f>
        <v>-6.6781559672555169E-3</v>
      </c>
      <c r="D501" s="5">
        <f>Data!H501</f>
        <v>1.1254924029269198E-4</v>
      </c>
      <c r="E501" s="5">
        <f>Data!I501</f>
        <v>-2.3618726275832946E-2</v>
      </c>
    </row>
    <row r="502" spans="1:5" x14ac:dyDescent="0.2">
      <c r="A502" s="2">
        <f>Data!A502</f>
        <v>45390</v>
      </c>
      <c r="B502" s="5">
        <f>Data!F502</f>
        <v>1.3057480921375042E-2</v>
      </c>
      <c r="C502" s="5">
        <f>Data!G502</f>
        <v>1.7313171159325069E-2</v>
      </c>
      <c r="D502" s="5">
        <f>Data!H502</f>
        <v>2.1381768019312464E-2</v>
      </c>
      <c r="E502" s="5">
        <f>Data!I502</f>
        <v>0</v>
      </c>
    </row>
    <row r="503" spans="1:5" x14ac:dyDescent="0.2">
      <c r="A503" s="2">
        <f>Data!A503</f>
        <v>45389</v>
      </c>
      <c r="B503" s="5">
        <f>Data!F503</f>
        <v>1.214808515807686E-2</v>
      </c>
      <c r="C503" s="5">
        <f>Data!G503</f>
        <v>2.8571428571428914E-3</v>
      </c>
      <c r="D503" s="5">
        <f>Data!H503</f>
        <v>7.1784184323260281E-3</v>
      </c>
      <c r="E503" s="5">
        <f>Data!I503</f>
        <v>0</v>
      </c>
    </row>
    <row r="504" spans="1:5" x14ac:dyDescent="0.2">
      <c r="A504" s="2">
        <f>Data!A504</f>
        <v>45386</v>
      </c>
      <c r="B504" s="5">
        <f>Data!F504</f>
        <v>-1.5851034152951082E-2</v>
      </c>
      <c r="C504" s="5">
        <f>Data!G504</f>
        <v>-1.6216216216216162E-2</v>
      </c>
      <c r="D504" s="5">
        <f>Data!H504</f>
        <v>9.4670406732118018E-3</v>
      </c>
      <c r="E504" s="5">
        <f>Data!I504</f>
        <v>0</v>
      </c>
    </row>
    <row r="505" spans="1:5" x14ac:dyDescent="0.2">
      <c r="A505" s="2">
        <f>Data!A505</f>
        <v>45385</v>
      </c>
      <c r="B505" s="5">
        <f>Data!F505</f>
        <v>1.4448347158912966E-4</v>
      </c>
      <c r="C505" s="5">
        <f>Data!G505</f>
        <v>-2.0127118644067798E-2</v>
      </c>
      <c r="D505" s="5">
        <f>Data!H505</f>
        <v>-2.5647003963628068E-3</v>
      </c>
      <c r="E505" s="5">
        <f>Data!I505</f>
        <v>-1.2905911740216491E-2</v>
      </c>
    </row>
    <row r="506" spans="1:5" x14ac:dyDescent="0.2">
      <c r="A506" s="2">
        <f>Data!A506</f>
        <v>45384</v>
      </c>
      <c r="B506" s="5">
        <f>Data!F506</f>
        <v>-1.5311328715241546E-2</v>
      </c>
      <c r="C506" s="5">
        <f>Data!G506</f>
        <v>-2.0746887966805017E-2</v>
      </c>
      <c r="D506" s="5">
        <f>Data!H506</f>
        <v>-1.1523392486748052E-2</v>
      </c>
      <c r="E506" s="5">
        <f>Data!I506</f>
        <v>8.3333333333324155E-4</v>
      </c>
    </row>
    <row r="507" spans="1:5" x14ac:dyDescent="0.2">
      <c r="A507" s="2">
        <f>Data!A507</f>
        <v>45383</v>
      </c>
      <c r="B507" s="5">
        <f>Data!F507</f>
        <v>-2.5396980744293307E-3</v>
      </c>
      <c r="C507" s="5">
        <f>Data!G507</f>
        <v>0</v>
      </c>
      <c r="D507" s="5">
        <f>Data!H507</f>
        <v>-1.921338155515373E-2</v>
      </c>
      <c r="E507" s="5">
        <f>Data!I507</f>
        <v>0</v>
      </c>
    </row>
    <row r="508" spans="1:5" x14ac:dyDescent="0.2">
      <c r="A508" s="2">
        <f>Data!A508</f>
        <v>45382</v>
      </c>
      <c r="B508" s="5">
        <f>Data!F508</f>
        <v>5.0114096864304347E-3</v>
      </c>
      <c r="C508" s="5">
        <f>Data!G508</f>
        <v>2.1186440677966045E-2</v>
      </c>
      <c r="D508" s="5">
        <f>Data!H508</f>
        <v>9.009009009008917E-3</v>
      </c>
      <c r="E508" s="5">
        <f>Data!I508</f>
        <v>0</v>
      </c>
    </row>
    <row r="509" spans="1:5" x14ac:dyDescent="0.2">
      <c r="A509" s="2">
        <f>Data!A509</f>
        <v>45379</v>
      </c>
      <c r="B509" s="5">
        <f>Data!F509</f>
        <v>-4.9646819408466492E-4</v>
      </c>
      <c r="C509" s="5">
        <f>Data!G509</f>
        <v>-5.6878028228354305E-3</v>
      </c>
      <c r="D509" s="5">
        <f>Data!H509</f>
        <v>2.8501055594651659E-2</v>
      </c>
      <c r="E509" s="5">
        <f>Data!I509</f>
        <v>-4.1649312786340431E-4</v>
      </c>
    </row>
    <row r="510" spans="1:5" x14ac:dyDescent="0.2">
      <c r="A510" s="2">
        <f>Data!A510</f>
        <v>45378</v>
      </c>
      <c r="B510" s="5">
        <f>Data!F510</f>
        <v>-3.1604943111103179E-3</v>
      </c>
      <c r="C510" s="5">
        <f>Data!G510</f>
        <v>0</v>
      </c>
      <c r="D510" s="5">
        <f>Data!H510</f>
        <v>-2.1067415730336991E-3</v>
      </c>
      <c r="E510" s="5">
        <f>Data!I510</f>
        <v>-8.261049153242439E-3</v>
      </c>
    </row>
    <row r="511" spans="1:5" x14ac:dyDescent="0.2">
      <c r="A511" s="2">
        <f>Data!A511</f>
        <v>45377</v>
      </c>
      <c r="B511" s="5">
        <f>Data!F511</f>
        <v>1.0988040694994705E-3</v>
      </c>
      <c r="C511" s="5">
        <f>Data!G511</f>
        <v>-1.9012192601777222E-2</v>
      </c>
      <c r="D511" s="5">
        <f>Data!H511</f>
        <v>1.9936671748563839E-3</v>
      </c>
      <c r="E511" s="5">
        <f>Data!I511</f>
        <v>8.2678792889634423E-4</v>
      </c>
    </row>
    <row r="512" spans="1:5" x14ac:dyDescent="0.2">
      <c r="A512" s="2">
        <f>Data!A512</f>
        <v>45376</v>
      </c>
      <c r="B512" s="5">
        <f>Data!F512</f>
        <v>7.0741900743975794E-3</v>
      </c>
      <c r="C512" s="5">
        <f>Data!G512</f>
        <v>-3.9110745162618255E-3</v>
      </c>
      <c r="D512" s="5">
        <f>Data!H512</f>
        <v>-1.1726078799245698E-4</v>
      </c>
      <c r="E512" s="5">
        <f>Data!I512</f>
        <v>4.5681063122924304E-3</v>
      </c>
    </row>
    <row r="513" spans="1:5" x14ac:dyDescent="0.2">
      <c r="A513" s="2">
        <f>Data!A513</f>
        <v>45372</v>
      </c>
      <c r="B513" s="5">
        <f>Data!F513</f>
        <v>7.8617056764602733E-3</v>
      </c>
      <c r="C513" s="5">
        <f>Data!G513</f>
        <v>-8.2270670505968369E-4</v>
      </c>
      <c r="D513" s="5">
        <f>Data!H513</f>
        <v>1.0426540284360186E-2</v>
      </c>
      <c r="E513" s="5">
        <f>Data!I513</f>
        <v>3.3333333333334103E-3</v>
      </c>
    </row>
    <row r="514" spans="1:5" x14ac:dyDescent="0.2">
      <c r="A514" s="2">
        <f>Data!A514</f>
        <v>45371</v>
      </c>
      <c r="B514" s="5">
        <f>Data!F514</f>
        <v>1.374391795037444E-2</v>
      </c>
      <c r="C514" s="5">
        <f>Data!G514</f>
        <v>5.3763440860215006E-3</v>
      </c>
      <c r="D514" s="5">
        <f>Data!H514</f>
        <v>-1.3788268286982985E-2</v>
      </c>
      <c r="E514" s="5">
        <f>Data!I514</f>
        <v>0</v>
      </c>
    </row>
    <row r="515" spans="1:5" x14ac:dyDescent="0.2">
      <c r="A515" s="2">
        <f>Data!A515</f>
        <v>45370</v>
      </c>
      <c r="B515" s="5">
        <f>Data!F515</f>
        <v>5.746426250812231E-3</v>
      </c>
      <c r="C515" s="5">
        <f>Data!G515</f>
        <v>-1.0030706243602916E-2</v>
      </c>
      <c r="D515" s="5">
        <f>Data!H515</f>
        <v>1.6389548693586775E-2</v>
      </c>
      <c r="E515" s="5">
        <f>Data!I515</f>
        <v>0</v>
      </c>
    </row>
    <row r="516" spans="1:5" x14ac:dyDescent="0.2">
      <c r="A516" s="2">
        <f>Data!A516</f>
        <v>45369</v>
      </c>
      <c r="B516" s="5">
        <f>Data!F516</f>
        <v>1.2083847102342782E-2</v>
      </c>
      <c r="C516" s="5">
        <f>Data!G516</f>
        <v>2.0512820512821328E-3</v>
      </c>
      <c r="D516" s="5">
        <f>Data!H516</f>
        <v>1.1877895236955816E-4</v>
      </c>
      <c r="E516" s="5">
        <f>Data!I516</f>
        <v>0</v>
      </c>
    </row>
    <row r="517" spans="1:5" x14ac:dyDescent="0.2">
      <c r="A517" s="2">
        <f>Data!A517</f>
        <v>45368</v>
      </c>
      <c r="B517" s="5">
        <f>Data!F517</f>
        <v>1.3185360241948496E-2</v>
      </c>
      <c r="C517" s="5">
        <f>Data!G517</f>
        <v>6.1919504643963563E-3</v>
      </c>
      <c r="D517" s="5">
        <f>Data!H517</f>
        <v>-6.9591884878509314E-3</v>
      </c>
      <c r="E517" s="5">
        <f>Data!I517</f>
        <v>-1.5990159901599021E-2</v>
      </c>
    </row>
    <row r="518" spans="1:5" x14ac:dyDescent="0.2">
      <c r="A518" s="2">
        <f>Data!A518</f>
        <v>45365</v>
      </c>
      <c r="B518" s="5">
        <f>Data!F518</f>
        <v>-6.9269619068789146E-3</v>
      </c>
      <c r="C518" s="5">
        <f>Data!G518</f>
        <v>1.6539177175936004E-3</v>
      </c>
      <c r="D518" s="5">
        <f>Data!H518</f>
        <v>-1.6486104569005677E-3</v>
      </c>
      <c r="E518" s="5">
        <f>Data!I518</f>
        <v>0</v>
      </c>
    </row>
    <row r="519" spans="1:5" x14ac:dyDescent="0.2">
      <c r="A519" s="2">
        <f>Data!A519</f>
        <v>45364</v>
      </c>
      <c r="B519" s="5">
        <f>Data!F519</f>
        <v>3.8785346378999996E-4</v>
      </c>
      <c r="C519" s="5">
        <f>Data!G519</f>
        <v>1.6176470588235237E-2</v>
      </c>
      <c r="D519" s="5">
        <f>Data!H519</f>
        <v>-9.1015169194865742E-3</v>
      </c>
      <c r="E519" s="5">
        <f>Data!I519</f>
        <v>0</v>
      </c>
    </row>
    <row r="520" spans="1:5" x14ac:dyDescent="0.2">
      <c r="A520" s="2">
        <f>Data!A520</f>
        <v>45363</v>
      </c>
      <c r="B520" s="5">
        <f>Data!F520</f>
        <v>-5.6154352476551761E-3</v>
      </c>
      <c r="C520" s="5">
        <f>Data!G520</f>
        <v>-7.0921985815602939E-3</v>
      </c>
      <c r="D520" s="5">
        <f>Data!H520</f>
        <v>-6.3768115942028913E-3</v>
      </c>
      <c r="E520" s="5">
        <f>Data!I520</f>
        <v>0</v>
      </c>
    </row>
    <row r="521" spans="1:5" x14ac:dyDescent="0.2">
      <c r="A521" s="2">
        <f>Data!A521</f>
        <v>45362</v>
      </c>
      <c r="B521" s="5">
        <f>Data!F521</f>
        <v>-1.7043471118503017E-3</v>
      </c>
      <c r="C521" s="5">
        <f>Data!G521</f>
        <v>1.6108520559559025E-2</v>
      </c>
      <c r="D521" s="5">
        <f>Data!H521</f>
        <v>-8.1093605189985762E-4</v>
      </c>
      <c r="E521" s="5">
        <f>Data!I521</f>
        <v>8.2068116536726521E-4</v>
      </c>
    </row>
    <row r="522" spans="1:5" x14ac:dyDescent="0.2">
      <c r="A522" s="2">
        <f>Data!A522</f>
        <v>45361</v>
      </c>
      <c r="B522" s="5">
        <f>Data!F522</f>
        <v>-1.1574156294240301E-2</v>
      </c>
      <c r="C522" s="5">
        <f>Data!G522</f>
        <v>-6.7368421052631522E-3</v>
      </c>
      <c r="D522" s="5">
        <f>Data!H522</f>
        <v>-2.4269039639431833E-3</v>
      </c>
      <c r="E522" s="5">
        <f>Data!I522</f>
        <v>0</v>
      </c>
    </row>
    <row r="523" spans="1:5" x14ac:dyDescent="0.2">
      <c r="A523" s="2">
        <f>Data!A523</f>
        <v>45358</v>
      </c>
      <c r="B523" s="5">
        <f>Data!F523</f>
        <v>-8.4774755738017404E-3</v>
      </c>
      <c r="C523" s="5">
        <f>Data!G523</f>
        <v>-1.5544041450777257E-2</v>
      </c>
      <c r="D523" s="5">
        <f>Data!H523</f>
        <v>-1.0180736673530033E-2</v>
      </c>
      <c r="E523" s="5">
        <f>Data!I523</f>
        <v>0</v>
      </c>
    </row>
    <row r="524" spans="1:5" x14ac:dyDescent="0.2">
      <c r="A524" s="2">
        <f>Data!A524</f>
        <v>45357</v>
      </c>
      <c r="B524" s="5">
        <f>Data!F524</f>
        <v>2.2186141729105824E-3</v>
      </c>
      <c r="C524" s="5">
        <f>Data!G524</f>
        <v>-1.2080262080262028E-2</v>
      </c>
      <c r="D524" s="5">
        <f>Data!H524</f>
        <v>-6.7037836609475931E-3</v>
      </c>
      <c r="E524" s="5">
        <f>Data!I524</f>
        <v>0</v>
      </c>
    </row>
    <row r="525" spans="1:5" x14ac:dyDescent="0.2">
      <c r="A525" s="2">
        <f>Data!A525</f>
        <v>45356</v>
      </c>
      <c r="B525" s="5">
        <f>Data!F525</f>
        <v>-6.6267625034436284E-3</v>
      </c>
      <c r="C525" s="5">
        <f>Data!G525</f>
        <v>4.1118421052630527E-3</v>
      </c>
      <c r="D525" s="5">
        <f>Data!H525</f>
        <v>1.7339035949601289E-2</v>
      </c>
      <c r="E525" s="5">
        <f>Data!I525</f>
        <v>-1.2295081967212962E-3</v>
      </c>
    </row>
    <row r="526" spans="1:5" x14ac:dyDescent="0.2">
      <c r="A526" s="2">
        <f>Data!A526</f>
        <v>45355</v>
      </c>
      <c r="B526" s="5">
        <f>Data!F526</f>
        <v>-5.8569697940547005E-4</v>
      </c>
      <c r="C526" s="5">
        <f>Data!G526</f>
        <v>5.1663566852655496E-3</v>
      </c>
      <c r="D526" s="5">
        <f>Data!H526</f>
        <v>2.3544723142451485E-2</v>
      </c>
      <c r="E526" s="5">
        <f>Data!I526</f>
        <v>-4.4879640962872669E-3</v>
      </c>
    </row>
    <row r="527" spans="1:5" x14ac:dyDescent="0.2">
      <c r="A527" s="2">
        <f>Data!A527</f>
        <v>45354</v>
      </c>
      <c r="B527" s="5">
        <f>Data!F527</f>
        <v>8.3235325294148677E-3</v>
      </c>
      <c r="C527" s="5">
        <f>Data!G527</f>
        <v>-8.4016393442623016E-3</v>
      </c>
      <c r="D527" s="5">
        <f>Data!H527</f>
        <v>-2.8058877644894231E-2</v>
      </c>
      <c r="E527" s="5">
        <f>Data!I527</f>
        <v>4.5081967213114194E-3</v>
      </c>
    </row>
    <row r="528" spans="1:5" x14ac:dyDescent="0.2">
      <c r="A528" s="2">
        <f>Data!A528</f>
        <v>45351</v>
      </c>
      <c r="B528" s="5">
        <f>Data!F528</f>
        <v>8.6244202444774043E-3</v>
      </c>
      <c r="C528" s="5">
        <f>Data!G528</f>
        <v>0</v>
      </c>
      <c r="D528" s="5">
        <f>Data!H528</f>
        <v>5.0876132930513629E-2</v>
      </c>
      <c r="E528" s="5">
        <f>Data!I528</f>
        <v>4.5415595544130216E-2</v>
      </c>
    </row>
    <row r="529" spans="1:5" x14ac:dyDescent="0.2">
      <c r="A529" s="2">
        <f>Data!A529</f>
        <v>45350</v>
      </c>
      <c r="B529" s="5">
        <f>Data!F529</f>
        <v>-5.9062889071087588E-3</v>
      </c>
      <c r="C529" s="5">
        <f>Data!G529</f>
        <v>-2.2490288284604532E-3</v>
      </c>
      <c r="D529" s="5">
        <f>Data!H529</f>
        <v>9.1400685834872153E-2</v>
      </c>
      <c r="E529" s="5">
        <f>Data!I529</f>
        <v>1.3460703430308252E-2</v>
      </c>
    </row>
    <row r="530" spans="1:5" x14ac:dyDescent="0.2">
      <c r="A530" s="2">
        <f>Data!A530</f>
        <v>45348</v>
      </c>
      <c r="B530" s="5">
        <f>Data!F530</f>
        <v>3.0866391170587537E-3</v>
      </c>
      <c r="C530" s="5">
        <f>Data!G530</f>
        <v>1.9595580571190263E-2</v>
      </c>
      <c r="D530" s="5">
        <f>Data!H530</f>
        <v>1.0798560191974449E-2</v>
      </c>
      <c r="E530" s="5">
        <f>Data!I530</f>
        <v>1.3043478260870156E-3</v>
      </c>
    </row>
    <row r="531" spans="1:5" x14ac:dyDescent="0.2">
      <c r="A531" s="2">
        <f>Data!A531</f>
        <v>45347</v>
      </c>
      <c r="B531" s="5">
        <f>Data!F531</f>
        <v>1.248528648309688E-2</v>
      </c>
      <c r="C531" s="5">
        <f>Data!G531</f>
        <v>1.3093980992608278E-2</v>
      </c>
      <c r="D531" s="5">
        <f>Data!H531</f>
        <v>1.4059753954305698E-2</v>
      </c>
      <c r="E531" s="5">
        <f>Data!I531</f>
        <v>0</v>
      </c>
    </row>
    <row r="532" spans="1:5" x14ac:dyDescent="0.2">
      <c r="A532" s="2">
        <f>Data!A532</f>
        <v>45344</v>
      </c>
      <c r="B532" s="5">
        <f>Data!F532</f>
        <v>7.9580131908212337E-3</v>
      </c>
      <c r="C532" s="5">
        <f>Data!G532</f>
        <v>-1.6866961838498673E-3</v>
      </c>
      <c r="D532" s="5">
        <f>Data!H532</f>
        <v>-5.9131837118666652E-3</v>
      </c>
      <c r="E532" s="5">
        <f>Data!I532</f>
        <v>2.2222222222222143E-2</v>
      </c>
    </row>
    <row r="533" spans="1:5" x14ac:dyDescent="0.2">
      <c r="A533" s="2">
        <f>Data!A533</f>
        <v>45343</v>
      </c>
      <c r="B533" s="5">
        <f>Data!F533</f>
        <v>-1.9184627476935834E-3</v>
      </c>
      <c r="C533" s="5">
        <f>Data!G533</f>
        <v>-3.780718336483968E-3</v>
      </c>
      <c r="D533" s="5">
        <f>Data!H533</f>
        <v>-2.6806058169146496E-3</v>
      </c>
      <c r="E533" s="5">
        <f>Data!I533</f>
        <v>4.4464206313921117E-4</v>
      </c>
    </row>
    <row r="534" spans="1:5" x14ac:dyDescent="0.2">
      <c r="A534" s="2">
        <f>Data!A534</f>
        <v>45342</v>
      </c>
      <c r="B534" s="5">
        <f>Data!F534</f>
        <v>-1.5512935202410816E-5</v>
      </c>
      <c r="C534" s="5">
        <f>Data!G534</f>
        <v>6.3411540900444319E-3</v>
      </c>
      <c r="D534" s="5">
        <f>Data!H534</f>
        <v>8.0482897384315244E-4</v>
      </c>
      <c r="E534" s="5">
        <f>Data!I534</f>
        <v>2.9290617848970246E-2</v>
      </c>
    </row>
    <row r="535" spans="1:5" x14ac:dyDescent="0.2">
      <c r="A535" s="2">
        <f>Data!A535</f>
        <v>45341</v>
      </c>
      <c r="B535" s="5">
        <f>Data!F535</f>
        <v>1.0951843255337268E-2</v>
      </c>
      <c r="C535" s="5">
        <f>Data!G535</f>
        <v>1.8295307791648785E-2</v>
      </c>
      <c r="D535" s="5">
        <f>Data!H535</f>
        <v>2.6576700633434314E-2</v>
      </c>
      <c r="E535" s="5">
        <f>Data!I535</f>
        <v>-1.8273184102329809E-3</v>
      </c>
    </row>
    <row r="536" spans="1:5" x14ac:dyDescent="0.2">
      <c r="A536" s="2">
        <f>Data!A536</f>
        <v>45340</v>
      </c>
      <c r="B536" s="5">
        <f>Data!F536</f>
        <v>7.9193209300854051E-3</v>
      </c>
      <c r="C536" s="5">
        <f>Data!G536</f>
        <v>5.6277056277056481E-3</v>
      </c>
      <c r="D536" s="5">
        <f>Data!H536</f>
        <v>1.495457721872806E-2</v>
      </c>
      <c r="E536" s="5">
        <f>Data!I536</f>
        <v>0</v>
      </c>
    </row>
    <row r="537" spans="1:5" x14ac:dyDescent="0.2">
      <c r="A537" s="2">
        <f>Data!A537</f>
        <v>45337</v>
      </c>
      <c r="B537" s="5">
        <f>Data!F537</f>
        <v>6.0643006705718427E-3</v>
      </c>
      <c r="C537" s="5">
        <f>Data!G537</f>
        <v>-7.7319587628865705E-3</v>
      </c>
      <c r="D537" s="5">
        <f>Data!H537</f>
        <v>1.3978194017338907E-4</v>
      </c>
      <c r="E537" s="5">
        <f>Data!I537</f>
        <v>0</v>
      </c>
    </row>
    <row r="538" spans="1:5" x14ac:dyDescent="0.2">
      <c r="A538" s="2">
        <f>Data!A538</f>
        <v>45336</v>
      </c>
      <c r="B538" s="5">
        <f>Data!F538</f>
        <v>-3.9211738086786241E-4</v>
      </c>
      <c r="C538" s="5">
        <f>Data!G538</f>
        <v>-7.0377479206653604E-3</v>
      </c>
      <c r="D538" s="5">
        <f>Data!H538</f>
        <v>-3.0657748049052191E-3</v>
      </c>
      <c r="E538" s="5">
        <f>Data!I538</f>
        <v>0</v>
      </c>
    </row>
    <row r="539" spans="1:5" x14ac:dyDescent="0.2">
      <c r="A539" s="2">
        <f>Data!A539</f>
        <v>45335</v>
      </c>
      <c r="B539" s="5">
        <f>Data!F539</f>
        <v>6.200814690012546E-3</v>
      </c>
      <c r="C539" s="5">
        <f>Data!G539</f>
        <v>5.0403225806451513E-2</v>
      </c>
      <c r="D539" s="5">
        <f>Data!H539</f>
        <v>-5.5710306406686616E-4</v>
      </c>
      <c r="E539" s="5">
        <f>Data!I539</f>
        <v>3.0117647058823582E-2</v>
      </c>
    </row>
    <row r="540" spans="1:5" x14ac:dyDescent="0.2">
      <c r="A540" s="2">
        <f>Data!A540</f>
        <v>45334</v>
      </c>
      <c r="B540" s="5">
        <f>Data!F540</f>
        <v>1.2797943689047742E-2</v>
      </c>
      <c r="C540" s="5">
        <f>Data!G540</f>
        <v>3.3811949976841227E-2</v>
      </c>
      <c r="D540" s="5">
        <f>Data!H540</f>
        <v>-6.2283737024221297E-3</v>
      </c>
      <c r="E540" s="5">
        <f>Data!I540</f>
        <v>0</v>
      </c>
    </row>
    <row r="541" spans="1:5" x14ac:dyDescent="0.2">
      <c r="A541" s="2">
        <f>Data!A541</f>
        <v>45333</v>
      </c>
      <c r="B541" s="5">
        <f>Data!F541</f>
        <v>-7.3596020561860209E-3</v>
      </c>
      <c r="C541" s="5">
        <f>Data!G541</f>
        <v>-1.8190086402910421E-2</v>
      </c>
      <c r="D541" s="5">
        <f>Data!H541</f>
        <v>-1.2033365239983551E-2</v>
      </c>
      <c r="E541" s="5">
        <f>Data!I541</f>
        <v>-2.9680365296803624E-2</v>
      </c>
    </row>
    <row r="542" spans="1:5" x14ac:dyDescent="0.2">
      <c r="A542" s="2">
        <f>Data!A542</f>
        <v>45330</v>
      </c>
      <c r="B542" s="5">
        <f>Data!F542</f>
        <v>-5.8722909928008438E-3</v>
      </c>
      <c r="C542" s="5">
        <f>Data!G542</f>
        <v>0</v>
      </c>
      <c r="D542" s="5">
        <f>Data!H542</f>
        <v>2.0940946530783267E-2</v>
      </c>
      <c r="E542" s="5">
        <f>Data!I542</f>
        <v>0</v>
      </c>
    </row>
    <row r="543" spans="1:5" x14ac:dyDescent="0.2">
      <c r="A543" s="2">
        <f>Data!A543</f>
        <v>45329</v>
      </c>
      <c r="B543" s="5">
        <f>Data!F543</f>
        <v>9.3874176600783343E-4</v>
      </c>
      <c r="C543" s="5">
        <f>Data!G543</f>
        <v>1.1034482758620623E-2</v>
      </c>
      <c r="D543" s="5">
        <f>Data!H543</f>
        <v>1.6780869808419308E-3</v>
      </c>
      <c r="E543" s="5">
        <f>Data!I543</f>
        <v>0</v>
      </c>
    </row>
    <row r="544" spans="1:5" x14ac:dyDescent="0.2">
      <c r="A544" s="2">
        <f>Data!A544</f>
        <v>45328</v>
      </c>
      <c r="B544" s="5">
        <f>Data!F544</f>
        <v>1.4644521293003976E-2</v>
      </c>
      <c r="C544" s="5">
        <f>Data!G544</f>
        <v>4.6189376443417363E-3</v>
      </c>
      <c r="D544" s="5">
        <f>Data!H544</f>
        <v>5.5967538827483843E-4</v>
      </c>
      <c r="E544" s="5">
        <f>Data!I544</f>
        <v>0</v>
      </c>
    </row>
    <row r="545" spans="1:5" x14ac:dyDescent="0.2">
      <c r="A545" s="2">
        <f>Data!A545</f>
        <v>45327</v>
      </c>
      <c r="B545" s="5">
        <f>Data!F545</f>
        <v>-4.0961738502417466E-3</v>
      </c>
      <c r="C545" s="5">
        <f>Data!G545</f>
        <v>9.3240093240092303E-3</v>
      </c>
      <c r="D545" s="5">
        <f>Data!H545</f>
        <v>6.1945656764748058E-3</v>
      </c>
      <c r="E545" s="5">
        <f>Data!I545</f>
        <v>0</v>
      </c>
    </row>
    <row r="546" spans="1:5" x14ac:dyDescent="0.2">
      <c r="A546" s="2">
        <f>Data!A546</f>
        <v>45326</v>
      </c>
      <c r="B546" s="5">
        <f>Data!F546</f>
        <v>3.4070813210822504E-3</v>
      </c>
      <c r="C546" s="5">
        <f>Data!G546</f>
        <v>9.6493292539421294E-3</v>
      </c>
      <c r="D546" s="5">
        <f>Data!H546</f>
        <v>1.1275546159266181E-3</v>
      </c>
      <c r="E546" s="5">
        <f>Data!I546</f>
        <v>0</v>
      </c>
    </row>
    <row r="547" spans="1:5" x14ac:dyDescent="0.2">
      <c r="A547" s="2">
        <f>Data!A547</f>
        <v>45323</v>
      </c>
      <c r="B547" s="5">
        <f>Data!F547</f>
        <v>-6.8907364441007646E-3</v>
      </c>
      <c r="C547" s="5">
        <f>Data!G547</f>
        <v>2.2623345367027703E-2</v>
      </c>
      <c r="D547" s="5">
        <f>Data!H547</f>
        <v>1.3137226902755872E-2</v>
      </c>
      <c r="E547" s="5">
        <f>Data!I547</f>
        <v>0</v>
      </c>
    </row>
    <row r="548" spans="1:5" x14ac:dyDescent="0.2">
      <c r="A548" s="2">
        <f>Data!A548</f>
        <v>45322</v>
      </c>
      <c r="B548" s="5">
        <f>Data!F548</f>
        <v>-4.7200320726981104E-3</v>
      </c>
      <c r="C548" s="5">
        <f>Data!G548</f>
        <v>-1.0007147962830643E-2</v>
      </c>
      <c r="D548" s="5">
        <f>Data!H548</f>
        <v>1.1409589832466871E-2</v>
      </c>
      <c r="E548" s="5">
        <f>Data!I548</f>
        <v>0</v>
      </c>
    </row>
    <row r="549" spans="1:5" x14ac:dyDescent="0.2">
      <c r="A549" s="2">
        <f>Data!A549</f>
        <v>45321</v>
      </c>
      <c r="B549" s="5">
        <f>Data!F549</f>
        <v>-9.9966131114921364E-3</v>
      </c>
      <c r="C549" s="5">
        <f>Data!G549</f>
        <v>-7.1428571428566734E-4</v>
      </c>
      <c r="D549" s="5">
        <f>Data!H549</f>
        <v>-7.7386070507308169E-3</v>
      </c>
      <c r="E549" s="5">
        <f>Data!I549</f>
        <v>0</v>
      </c>
    </row>
    <row r="550" spans="1:5" x14ac:dyDescent="0.2">
      <c r="A550" s="2">
        <f>Data!A550</f>
        <v>45320</v>
      </c>
      <c r="B550" s="5">
        <f>Data!F550</f>
        <v>9.4338614728790571E-3</v>
      </c>
      <c r="C550" s="5">
        <f>Data!G550</f>
        <v>2.2893326838772543E-2</v>
      </c>
      <c r="D550" s="5">
        <f>Data!H550</f>
        <v>1.4834205933682343E-2</v>
      </c>
      <c r="E550" s="5">
        <f>Data!I550</f>
        <v>3.0588235294117583E-2</v>
      </c>
    </row>
    <row r="551" spans="1:5" x14ac:dyDescent="0.2">
      <c r="A551" s="2">
        <f>Data!A551</f>
        <v>45319</v>
      </c>
      <c r="B551" s="5">
        <f>Data!F551</f>
        <v>5.5920540189196011E-3</v>
      </c>
      <c r="C551" s="5">
        <f>Data!G551</f>
        <v>-1.1793020457280368E-2</v>
      </c>
      <c r="D551" s="5">
        <f>Data!H551</f>
        <v>1.1771630370806418E-2</v>
      </c>
      <c r="E551" s="5">
        <f>Data!I551</f>
        <v>0</v>
      </c>
    </row>
    <row r="552" spans="1:5" x14ac:dyDescent="0.2">
      <c r="A552" s="2">
        <f>Data!A552</f>
        <v>45316</v>
      </c>
      <c r="B552" s="5">
        <f>Data!F552</f>
        <v>-3.383496886861681E-3</v>
      </c>
      <c r="C552" s="5">
        <f>Data!G552</f>
        <v>1.3414634146341475E-2</v>
      </c>
      <c r="D552" s="5">
        <f>Data!H552</f>
        <v>-2.4404249210450812E-2</v>
      </c>
      <c r="E552" s="5">
        <f>Data!I552</f>
        <v>-1.5291936978683918E-2</v>
      </c>
    </row>
    <row r="553" spans="1:5" x14ac:dyDescent="0.2">
      <c r="A553" s="2">
        <f>Data!A553</f>
        <v>45315</v>
      </c>
      <c r="B553" s="5">
        <f>Data!F553</f>
        <v>8.0410579657743675E-3</v>
      </c>
      <c r="C553" s="5">
        <f>Data!G553</f>
        <v>1.8380526577247869E-2</v>
      </c>
      <c r="D553" s="5">
        <f>Data!H553</f>
        <v>-3.0055817947617358E-3</v>
      </c>
      <c r="E553" s="5">
        <f>Data!I553</f>
        <v>-2.1315192743764144E-2</v>
      </c>
    </row>
    <row r="554" spans="1:5" x14ac:dyDescent="0.2">
      <c r="A554" s="2">
        <f>Data!A554</f>
        <v>45314</v>
      </c>
      <c r="B554" s="5">
        <f>Data!F554</f>
        <v>-6.285159622675951E-3</v>
      </c>
      <c r="C554" s="5">
        <f>Data!G554</f>
        <v>-1.9483682415976644E-2</v>
      </c>
      <c r="D554" s="5">
        <f>Data!H554</f>
        <v>7.6434958177098444E-3</v>
      </c>
      <c r="E554" s="5">
        <f>Data!I554</f>
        <v>0</v>
      </c>
    </row>
    <row r="555" spans="1:5" x14ac:dyDescent="0.2">
      <c r="A555" s="2">
        <f>Data!A555</f>
        <v>45313</v>
      </c>
      <c r="B555" s="5">
        <f>Data!F555</f>
        <v>5.6340748849037503E-4</v>
      </c>
      <c r="C555" s="5">
        <f>Data!G555</f>
        <v>7.8546882670593732E-3</v>
      </c>
      <c r="D555" s="5">
        <f>Data!H555</f>
        <v>1.1524434719183185E-2</v>
      </c>
      <c r="E555" s="5">
        <f>Data!I555</f>
        <v>0</v>
      </c>
    </row>
    <row r="556" spans="1:5" x14ac:dyDescent="0.2">
      <c r="A556" s="2">
        <f>Data!A556</f>
        <v>45312</v>
      </c>
      <c r="B556" s="5">
        <f>Data!F556</f>
        <v>-1.3771078591598984E-3</v>
      </c>
      <c r="C556" s="5">
        <f>Data!G556</f>
        <v>-2.0673076923076961E-2</v>
      </c>
      <c r="D556" s="5">
        <f>Data!H556</f>
        <v>-1.8330230559931215E-2</v>
      </c>
      <c r="E556" s="5">
        <f>Data!I556</f>
        <v>0</v>
      </c>
    </row>
    <row r="557" spans="1:5" x14ac:dyDescent="0.2">
      <c r="A557" s="2">
        <f>Data!A557</f>
        <v>45309</v>
      </c>
      <c r="B557" s="5">
        <f>Data!F557</f>
        <v>1.9569386093825969E-2</v>
      </c>
      <c r="C557" s="5">
        <f>Data!G557</f>
        <v>2.1360176773876693E-2</v>
      </c>
      <c r="D557" s="5">
        <f>Data!H557</f>
        <v>1.4322543683764621E-4</v>
      </c>
      <c r="E557" s="5">
        <f>Data!I557</f>
        <v>0</v>
      </c>
    </row>
    <row r="558" spans="1:5" x14ac:dyDescent="0.2">
      <c r="A558" s="2">
        <f>Data!A558</f>
        <v>45308</v>
      </c>
      <c r="B558" s="5">
        <f>Data!F558</f>
        <v>-7.2837122526899778E-3</v>
      </c>
      <c r="C558" s="5">
        <f>Data!G558</f>
        <v>-1.0687393733300965E-2</v>
      </c>
      <c r="D558" s="5">
        <f>Data!H558</f>
        <v>4.2986101160624735E-4</v>
      </c>
      <c r="E558" s="5">
        <f>Data!I558</f>
        <v>9.0785292782569194E-4</v>
      </c>
    </row>
    <row r="559" spans="1:5" x14ac:dyDescent="0.2">
      <c r="A559" s="2">
        <f>Data!A559</f>
        <v>45307</v>
      </c>
      <c r="B559" s="5">
        <f>Data!F559</f>
        <v>-1.3751972399775325E-2</v>
      </c>
      <c r="C559" s="5">
        <f>Data!G559</f>
        <v>-1.8827454718779779E-2</v>
      </c>
      <c r="D559" s="5">
        <f>Data!H559</f>
        <v>2.729885057471293E-3</v>
      </c>
      <c r="E559" s="5">
        <f>Data!I559</f>
        <v>0</v>
      </c>
    </row>
    <row r="560" spans="1:5" x14ac:dyDescent="0.2">
      <c r="A560" s="2">
        <f>Data!A560</f>
        <v>45306</v>
      </c>
      <c r="B560" s="5">
        <f>Data!F560</f>
        <v>-4.335113889939235E-3</v>
      </c>
      <c r="C560" s="5">
        <f>Data!G560</f>
        <v>-1.5023474178403773E-2</v>
      </c>
      <c r="D560" s="5">
        <f>Data!H560</f>
        <v>-5.5722246035148082E-3</v>
      </c>
      <c r="E560" s="5">
        <f>Data!I560</f>
        <v>0</v>
      </c>
    </row>
    <row r="561" spans="1:5" x14ac:dyDescent="0.2">
      <c r="A561" s="2">
        <f>Data!A561</f>
        <v>45305</v>
      </c>
      <c r="B561" s="5">
        <f>Data!F561</f>
        <v>-3.6612738049124349E-3</v>
      </c>
      <c r="C561" s="5">
        <f>Data!G561</f>
        <v>-1.388888888888884E-2</v>
      </c>
      <c r="D561" s="5">
        <f>Data!H561</f>
        <v>-1.2842465753424293E-3</v>
      </c>
      <c r="E561" s="5">
        <f>Data!I561</f>
        <v>4.5413260672111377E-4</v>
      </c>
    </row>
    <row r="562" spans="1:5" x14ac:dyDescent="0.2">
      <c r="A562" s="2">
        <f>Data!A562</f>
        <v>45302</v>
      </c>
      <c r="B562" s="5">
        <f>Data!F562</f>
        <v>2.4361572544826515E-3</v>
      </c>
      <c r="C562" s="5">
        <f>Data!G562</f>
        <v>1.3608634443923018E-2</v>
      </c>
      <c r="D562" s="5">
        <f>Data!H562</f>
        <v>-5.110732538330498E-3</v>
      </c>
      <c r="E562" s="5">
        <f>Data!I562</f>
        <v>0</v>
      </c>
    </row>
    <row r="563" spans="1:5" x14ac:dyDescent="0.2">
      <c r="A563" s="2">
        <f>Data!A563</f>
        <v>45301</v>
      </c>
      <c r="B563" s="5">
        <f>Data!F563</f>
        <v>-4.0737405308046704E-3</v>
      </c>
      <c r="C563" s="5">
        <f>Data!G563</f>
        <v>-9.5282361143388394E-3</v>
      </c>
      <c r="D563" s="5">
        <f>Data!H563</f>
        <v>-1.1344299489506326E-3</v>
      </c>
      <c r="E563" s="5">
        <f>Data!I563</f>
        <v>0</v>
      </c>
    </row>
    <row r="564" spans="1:5" x14ac:dyDescent="0.2">
      <c r="A564" s="2">
        <f>Data!A564</f>
        <v>45300</v>
      </c>
      <c r="B564" s="5">
        <f>Data!F564</f>
        <v>-4.3041152827739682E-3</v>
      </c>
      <c r="C564" s="5">
        <f>Data!G564</f>
        <v>2.8687544824288702E-2</v>
      </c>
      <c r="D564" s="5">
        <f>Data!H564</f>
        <v>-1.4160294534126816E-3</v>
      </c>
      <c r="E564" s="5">
        <f>Data!I564</f>
        <v>-1.2113055181695809E-2</v>
      </c>
    </row>
    <row r="565" spans="1:5" x14ac:dyDescent="0.2">
      <c r="A565" s="2">
        <f>Data!A565</f>
        <v>45299</v>
      </c>
      <c r="B565" s="5">
        <f>Data!F565</f>
        <v>-4.797629654623714E-4</v>
      </c>
      <c r="C565" s="5">
        <f>Data!G565</f>
        <v>-1.1578449905482069E-2</v>
      </c>
      <c r="D565" s="5">
        <f>Data!H565</f>
        <v>-9.953736155895121E-3</v>
      </c>
      <c r="E565" s="5">
        <f>Data!I565</f>
        <v>2.6990553306343035E-3</v>
      </c>
    </row>
    <row r="566" spans="1:5" x14ac:dyDescent="0.2">
      <c r="A566" s="2">
        <f>Data!A566</f>
        <v>45298</v>
      </c>
      <c r="B566" s="5">
        <f>Data!F566</f>
        <v>-8.0329266315575243E-3</v>
      </c>
      <c r="C566" s="5">
        <f>Data!G566</f>
        <v>-1.1214953271028061E-2</v>
      </c>
      <c r="D566" s="5">
        <f>Data!H566</f>
        <v>-2.238075255280414E-3</v>
      </c>
      <c r="E566" s="5">
        <f>Data!I566</f>
        <v>0</v>
      </c>
    </row>
    <row r="567" spans="1:5" x14ac:dyDescent="0.2">
      <c r="A567" s="2">
        <f>Data!A567</f>
        <v>45295</v>
      </c>
      <c r="B567" s="5">
        <f>Data!F567</f>
        <v>5.1727128881506879E-3</v>
      </c>
      <c r="C567" s="5">
        <f>Data!G567</f>
        <v>2.7611044417767072E-2</v>
      </c>
      <c r="D567" s="5">
        <f>Data!H567</f>
        <v>-1.8937834499794137E-2</v>
      </c>
      <c r="E567" s="5">
        <f>Data!I567</f>
        <v>4.5004500450041007E-4</v>
      </c>
    </row>
    <row r="568" spans="1:5" x14ac:dyDescent="0.2">
      <c r="A568" s="2">
        <f>Data!A568</f>
        <v>45294</v>
      </c>
      <c r="B568" s="5">
        <f>Data!F568</f>
        <v>-9.3632666239643614E-3</v>
      </c>
      <c r="C568" s="5">
        <f>Data!G568</f>
        <v>2.4067388688326918E-3</v>
      </c>
      <c r="D568" s="5">
        <f>Data!H568</f>
        <v>-5.459260270233357E-3</v>
      </c>
      <c r="E568" s="5">
        <f>Data!I568</f>
        <v>4.5024763619982977E-4</v>
      </c>
    </row>
    <row r="569" spans="1:5" x14ac:dyDescent="0.2">
      <c r="A569" s="2">
        <f>Data!A569</f>
        <v>45293</v>
      </c>
      <c r="B569" s="5">
        <f>Data!F569</f>
        <v>-3.1562280997741166E-3</v>
      </c>
      <c r="C569" s="5">
        <f>Data!G569</f>
        <v>-1.6800757217226736E-2</v>
      </c>
      <c r="D569" s="5">
        <f>Data!H569</f>
        <v>2.1042363433667832E-2</v>
      </c>
      <c r="E569" s="5">
        <f>Data!I569</f>
        <v>4.977375565610842E-3</v>
      </c>
    </row>
    <row r="570" spans="1:5" x14ac:dyDescent="0.2">
      <c r="A570" s="2">
        <f>Data!A570</f>
        <v>45292</v>
      </c>
      <c r="B570" s="5">
        <f>Data!F570</f>
        <v>2.0809928566886349E-2</v>
      </c>
      <c r="C570" s="5">
        <f>Data!G570</f>
        <v>5.9147869674185394E-2</v>
      </c>
      <c r="D570" s="5">
        <f>Data!H570</f>
        <v>2.5142857142857133E-2</v>
      </c>
      <c r="E570" s="5">
        <f>Data!I570</f>
        <v>1.3761467889908285E-2</v>
      </c>
    </row>
    <row r="571" spans="1:5" x14ac:dyDescent="0.2">
      <c r="A571" s="2">
        <f>Data!A571</f>
        <v>45291</v>
      </c>
      <c r="B571" s="5">
        <f>Data!F571</f>
        <v>6.0348871923914249E-3</v>
      </c>
      <c r="C571" s="5">
        <f>Data!G571</f>
        <v>0</v>
      </c>
      <c r="D571" s="5">
        <f>Data!H571</f>
        <v>1.7172295363481194E-3</v>
      </c>
      <c r="E571" s="5">
        <f>Data!I571</f>
        <v>0</v>
      </c>
    </row>
    <row r="572" spans="1:5" x14ac:dyDescent="0.2">
      <c r="A572" s="2">
        <f>Data!A572</f>
        <v>45288</v>
      </c>
      <c r="B572" s="5">
        <f>Data!F572</f>
        <v>-3.9507221750212373E-3</v>
      </c>
      <c r="C572" s="5">
        <f>Data!G572</f>
        <v>-2.4999999999999467E-3</v>
      </c>
      <c r="D572" s="5">
        <f>Data!H572</f>
        <v>2.7647058823529358E-2</v>
      </c>
      <c r="E572" s="5">
        <f>Data!I572</f>
        <v>1.1600928074245953E-2</v>
      </c>
    </row>
    <row r="573" spans="1:5" x14ac:dyDescent="0.2">
      <c r="A573" s="2">
        <f>Data!A573</f>
        <v>45287</v>
      </c>
      <c r="B573" s="5">
        <f>Data!F573</f>
        <v>9.3203488029327541E-3</v>
      </c>
      <c r="C573" s="5">
        <f>Data!G573</f>
        <v>1.0101010101010166E-2</v>
      </c>
      <c r="D573" s="5">
        <f>Data!H573</f>
        <v>0</v>
      </c>
      <c r="E573" s="5">
        <f>Data!I573</f>
        <v>-4.1589648798521228E-3</v>
      </c>
    </row>
    <row r="574" spans="1:5" x14ac:dyDescent="0.2">
      <c r="A574" s="2">
        <f>Data!A574</f>
        <v>45286</v>
      </c>
      <c r="B574" s="5">
        <f>Data!F574</f>
        <v>-1.3889402723971878E-2</v>
      </c>
      <c r="C574" s="5">
        <f>Data!G574</f>
        <v>-1.980198019801982E-2</v>
      </c>
      <c r="D574" s="5">
        <f>Data!H574</f>
        <v>-2.6067029504439954E-2</v>
      </c>
      <c r="E574" s="5">
        <f>Data!I574</f>
        <v>3.4911525585844094E-2</v>
      </c>
    </row>
    <row r="575" spans="1:5" x14ac:dyDescent="0.2">
      <c r="A575" s="2">
        <f>Data!A575</f>
        <v>45285</v>
      </c>
      <c r="B575" s="5">
        <f>Data!F575</f>
        <v>1.0278507507315071E-2</v>
      </c>
      <c r="C575" s="5">
        <f>Data!G575</f>
        <v>-2.4691358024691024E-3</v>
      </c>
      <c r="D575" s="5">
        <f>Data!H575</f>
        <v>2.8653295128933109E-4</v>
      </c>
      <c r="E575" s="5">
        <f>Data!I575</f>
        <v>4.7846889952163352E-4</v>
      </c>
    </row>
    <row r="576" spans="1:5" x14ac:dyDescent="0.2">
      <c r="A576" s="2">
        <f>Data!A576</f>
        <v>45284</v>
      </c>
      <c r="B576" s="5">
        <f>Data!F576</f>
        <v>-3.9992341891977867E-3</v>
      </c>
      <c r="C576" s="5">
        <f>Data!G576</f>
        <v>-2.5036109773712067E-2</v>
      </c>
      <c r="D576" s="5">
        <f>Data!H576</f>
        <v>4.6056419113413849E-3</v>
      </c>
      <c r="E576" s="5">
        <f>Data!I576</f>
        <v>4.3248438250840238E-3</v>
      </c>
    </row>
    <row r="577" spans="1:5" x14ac:dyDescent="0.2">
      <c r="A577" s="2">
        <f>Data!A577</f>
        <v>45281</v>
      </c>
      <c r="B577" s="5">
        <f>Data!F577</f>
        <v>-8.0030387279547144E-3</v>
      </c>
      <c r="C577" s="5">
        <f>Data!G577</f>
        <v>-1.1187812425612953E-2</v>
      </c>
      <c r="D577" s="5">
        <f>Data!H577</f>
        <v>-1.0820045558086577E-2</v>
      </c>
      <c r="E577" s="5">
        <f>Data!I577</f>
        <v>0</v>
      </c>
    </row>
    <row r="578" spans="1:5" x14ac:dyDescent="0.2">
      <c r="A578" s="2">
        <f>Data!A578</f>
        <v>45280</v>
      </c>
      <c r="B578" s="5">
        <f>Data!F578</f>
        <v>1.4292441219593055E-2</v>
      </c>
      <c r="C578" s="5">
        <f>Data!G578</f>
        <v>2.3884962222763928E-2</v>
      </c>
      <c r="D578" s="5">
        <f>Data!H578</f>
        <v>-4.9582093780988767E-3</v>
      </c>
      <c r="E578" s="5">
        <f>Data!I578</f>
        <v>0</v>
      </c>
    </row>
    <row r="579" spans="1:5" x14ac:dyDescent="0.2">
      <c r="A579" s="2">
        <f>Data!A579</f>
        <v>45279</v>
      </c>
      <c r="B579" s="5">
        <f>Data!F579</f>
        <v>8.1077144660397504E-3</v>
      </c>
      <c r="C579" s="5">
        <f>Data!G579</f>
        <v>8.1081081081080253E-3</v>
      </c>
      <c r="D579" s="5">
        <f>Data!H579</f>
        <v>-6.8936409679234423E-3</v>
      </c>
      <c r="E579" s="5">
        <f>Data!I579</f>
        <v>3.8591413410515862E-3</v>
      </c>
    </row>
    <row r="580" spans="1:5" x14ac:dyDescent="0.2">
      <c r="A580" s="2">
        <f>Data!A580</f>
        <v>45278</v>
      </c>
      <c r="B580" s="5">
        <f>Data!F580</f>
        <v>5.4017995151396381E-3</v>
      </c>
      <c r="C580" s="5">
        <f>Data!G580</f>
        <v>6.6782092505566215E-3</v>
      </c>
      <c r="D580" s="5">
        <f>Data!H580</f>
        <v>-3.3651149747616627E-3</v>
      </c>
      <c r="E580" s="5">
        <f>Data!I580</f>
        <v>-8.1339712918659934E-3</v>
      </c>
    </row>
    <row r="581" spans="1:5" x14ac:dyDescent="0.2">
      <c r="A581" s="2">
        <f>Data!A581</f>
        <v>45277</v>
      </c>
      <c r="B581" s="5">
        <f>Data!F581</f>
        <v>-1.2891274557066401E-3</v>
      </c>
      <c r="C581" s="5">
        <f>Data!G581</f>
        <v>-1.7258142926592113E-2</v>
      </c>
      <c r="D581" s="5">
        <f>Data!H581</f>
        <v>-6.2700292601365337E-3</v>
      </c>
      <c r="E581" s="5">
        <f>Data!I581</f>
        <v>3.0064070970921675E-2</v>
      </c>
    </row>
    <row r="582" spans="1:5" x14ac:dyDescent="0.2">
      <c r="A582" s="2">
        <f>Data!A582</f>
        <v>45274</v>
      </c>
      <c r="B582" s="5">
        <f>Data!F582</f>
        <v>2.440310060314177E-2</v>
      </c>
      <c r="C582" s="5">
        <f>Data!G582</f>
        <v>4.6286876907426278E-2</v>
      </c>
      <c r="D582" s="5">
        <f>Data!H582</f>
        <v>1.1129895745280338E-2</v>
      </c>
      <c r="E582" s="5">
        <f>Data!I582</f>
        <v>-2.4582104228122459E-3</v>
      </c>
    </row>
    <row r="583" spans="1:5" x14ac:dyDescent="0.2">
      <c r="A583" s="2">
        <f>Data!A583</f>
        <v>45273</v>
      </c>
      <c r="B583" s="5">
        <f>Data!F583</f>
        <v>5.1629378782003243E-4</v>
      </c>
      <c r="C583" s="5">
        <f>Data!G583</f>
        <v>-4.8089091369273307E-3</v>
      </c>
      <c r="D583" s="5">
        <f>Data!H583</f>
        <v>5.8098342071701836E-3</v>
      </c>
      <c r="E583" s="5">
        <f>Data!I583</f>
        <v>-5.307262569832405E-2</v>
      </c>
    </row>
    <row r="584" spans="1:5" x14ac:dyDescent="0.2">
      <c r="A584" s="2">
        <f>Data!A584</f>
        <v>45272</v>
      </c>
      <c r="B584" s="5">
        <f>Data!F584</f>
        <v>-5.7788792175607062E-3</v>
      </c>
      <c r="C584" s="5">
        <f>Data!G584</f>
        <v>1.2298232129131392E-2</v>
      </c>
      <c r="D584" s="5">
        <f>Data!H584</f>
        <v>3.2698322433892812E-3</v>
      </c>
      <c r="E584" s="5">
        <f>Data!I584</f>
        <v>1.3986013986013734E-3</v>
      </c>
    </row>
    <row r="585" spans="1:5" x14ac:dyDescent="0.2">
      <c r="A585" s="2">
        <f>Data!A585</f>
        <v>45271</v>
      </c>
      <c r="B585" s="5">
        <f>Data!F585</f>
        <v>-1.0615931542532042E-2</v>
      </c>
      <c r="C585" s="5">
        <f>Data!G585</f>
        <v>-1.3147914032869745E-2</v>
      </c>
      <c r="D585" s="5">
        <f>Data!H585</f>
        <v>-1.0689170182841101E-2</v>
      </c>
      <c r="E585" s="5">
        <f>Data!I585</f>
        <v>8.4626234132580969E-3</v>
      </c>
    </row>
    <row r="586" spans="1:5" x14ac:dyDescent="0.2">
      <c r="A586" s="2">
        <f>Data!A586</f>
        <v>45270</v>
      </c>
      <c r="B586" s="5">
        <f>Data!F586</f>
        <v>-3.0571523717493054E-4</v>
      </c>
      <c r="C586" s="5">
        <f>Data!G586</f>
        <v>-1.1249999999999982E-2</v>
      </c>
      <c r="D586" s="5">
        <f>Data!H586</f>
        <v>2.2874406560207117E-2</v>
      </c>
      <c r="E586" s="5">
        <f>Data!I586</f>
        <v>9.4117647058822307E-4</v>
      </c>
    </row>
    <row r="587" spans="1:5" x14ac:dyDescent="0.2">
      <c r="A587" s="2">
        <f>Data!A587</f>
        <v>45267</v>
      </c>
      <c r="B587" s="5">
        <f>Data!F587</f>
        <v>-1.879883610684252E-3</v>
      </c>
      <c r="C587" s="5">
        <f>Data!G587</f>
        <v>-1.7199017199017175E-2</v>
      </c>
      <c r="D587" s="5">
        <f>Data!H587</f>
        <v>2.0554984583761593E-2</v>
      </c>
      <c r="E587" s="5">
        <f>Data!I587</f>
        <v>0</v>
      </c>
    </row>
    <row r="588" spans="1:5" x14ac:dyDescent="0.2">
      <c r="A588" s="2">
        <f>Data!A588</f>
        <v>45266</v>
      </c>
      <c r="B588" s="5">
        <f>Data!F588</f>
        <v>1.2657537236073768E-3</v>
      </c>
      <c r="C588" s="5">
        <f>Data!G588</f>
        <v>3.8265306122448939E-2</v>
      </c>
      <c r="D588" s="5">
        <f>Data!H588</f>
        <v>1.0834075393291842E-2</v>
      </c>
      <c r="E588" s="5">
        <f>Data!I588</f>
        <v>-1.1627906976744207E-2</v>
      </c>
    </row>
    <row r="589" spans="1:5" x14ac:dyDescent="0.2">
      <c r="A589" s="2">
        <f>Data!A589</f>
        <v>45265</v>
      </c>
      <c r="B589" s="5">
        <f>Data!F589</f>
        <v>1.213747708347146E-2</v>
      </c>
      <c r="C589" s="5">
        <f>Data!G589</f>
        <v>3.6488630354309937E-2</v>
      </c>
      <c r="D589" s="5">
        <f>Data!H589</f>
        <v>1.0194902548725571E-2</v>
      </c>
      <c r="E589" s="5">
        <f>Data!I589</f>
        <v>-2.2727272727272707E-2</v>
      </c>
    </row>
    <row r="590" spans="1:5" x14ac:dyDescent="0.2">
      <c r="A590" s="2">
        <f>Data!A590</f>
        <v>45264</v>
      </c>
      <c r="B590" s="5">
        <f>Data!F590</f>
        <v>1.4101096567629146E-3</v>
      </c>
      <c r="C590" s="5">
        <f>Data!G590</f>
        <v>-5.2603892688058984E-3</v>
      </c>
      <c r="D590" s="5">
        <f>Data!H590</f>
        <v>2.018966044661985E-2</v>
      </c>
      <c r="E590" s="5">
        <f>Data!I590</f>
        <v>2.3731968357375566E-2</v>
      </c>
    </row>
    <row r="591" spans="1:5" x14ac:dyDescent="0.2">
      <c r="A591" s="2">
        <f>Data!A591</f>
        <v>45263</v>
      </c>
      <c r="B591" s="5">
        <f>Data!F591</f>
        <v>8.7747679400214107E-3</v>
      </c>
      <c r="C591" s="5">
        <f>Data!G591</f>
        <v>-7.3107049608355235E-3</v>
      </c>
      <c r="D591" s="5">
        <f>Data!H591</f>
        <v>5.8461538461538343E-3</v>
      </c>
      <c r="E591" s="5">
        <f>Data!I591</f>
        <v>0</v>
      </c>
    </row>
    <row r="592" spans="1:5" x14ac:dyDescent="0.2">
      <c r="A592" s="2">
        <f>Data!A592</f>
        <v>45260</v>
      </c>
      <c r="B592" s="5">
        <f>Data!F592</f>
        <v>-1.7747653463230706E-2</v>
      </c>
      <c r="C592" s="5">
        <f>Data!G592</f>
        <v>-1.7696845344960299E-2</v>
      </c>
      <c r="D592" s="5">
        <f>Data!H592</f>
        <v>-2.7237354085603127E-2</v>
      </c>
      <c r="E592" s="5">
        <f>Data!I592</f>
        <v>-5.3303964757709266E-2</v>
      </c>
    </row>
    <row r="593" spans="1:5" x14ac:dyDescent="0.2">
      <c r="A593" s="2">
        <f>Data!A593</f>
        <v>45259</v>
      </c>
      <c r="B593" s="5">
        <f>Data!F593</f>
        <v>9.0062695578136953E-3</v>
      </c>
      <c r="C593" s="5">
        <f>Data!G593</f>
        <v>1.5364583333333348E-2</v>
      </c>
      <c r="D593" s="5">
        <f>Data!H593</f>
        <v>4.1134309753817488E-2</v>
      </c>
      <c r="E593" s="5">
        <f>Data!I593</f>
        <v>0</v>
      </c>
    </row>
    <row r="594" spans="1:5" x14ac:dyDescent="0.2">
      <c r="A594" s="2">
        <f>Data!A594</f>
        <v>45258</v>
      </c>
      <c r="B594" s="5">
        <f>Data!F594</f>
        <v>4.7327548855140567E-3</v>
      </c>
      <c r="C594" s="5">
        <f>Data!G594</f>
        <v>1.1324730050039422E-2</v>
      </c>
      <c r="D594" s="5">
        <f>Data!H594</f>
        <v>-3.7492501499700071E-2</v>
      </c>
      <c r="E594" s="5">
        <f>Data!I594</f>
        <v>8.818342151675207E-4</v>
      </c>
    </row>
    <row r="595" spans="1:5" x14ac:dyDescent="0.2">
      <c r="A595" s="2">
        <f>Data!A595</f>
        <v>45257</v>
      </c>
      <c r="B595" s="5">
        <f>Data!F595</f>
        <v>-9.4585151396767708E-3</v>
      </c>
      <c r="C595" s="5">
        <f>Data!G595</f>
        <v>-2.0634511220015472E-2</v>
      </c>
      <c r="D595" s="5">
        <f>Data!H595</f>
        <v>-1.7243920412674973E-2</v>
      </c>
      <c r="E595" s="5">
        <f>Data!I595</f>
        <v>0</v>
      </c>
    </row>
    <row r="596" spans="1:5" x14ac:dyDescent="0.2">
      <c r="A596" s="2">
        <f>Data!A596</f>
        <v>45256</v>
      </c>
      <c r="B596" s="5">
        <f>Data!F596</f>
        <v>3.2846433263775676E-3</v>
      </c>
      <c r="C596" s="5">
        <f>Data!G596</f>
        <v>2.5390108436921466E-2</v>
      </c>
      <c r="D596" s="5">
        <f>Data!H596</f>
        <v>9.973206311402194E-3</v>
      </c>
      <c r="E596" s="5">
        <f>Data!I596</f>
        <v>3.9840637450199168E-3</v>
      </c>
    </row>
    <row r="597" spans="1:5" x14ac:dyDescent="0.2">
      <c r="A597" s="2">
        <f>Data!A597</f>
        <v>45253</v>
      </c>
      <c r="B597" s="5">
        <f>Data!F597</f>
        <v>2.0910780669145534E-3</v>
      </c>
      <c r="C597" s="5">
        <f>Data!G597</f>
        <v>4.2496679946879556E-3</v>
      </c>
      <c r="D597" s="5">
        <f>Data!H597</f>
        <v>1.4190821256038655E-2</v>
      </c>
      <c r="E597" s="5">
        <f>Data!I597</f>
        <v>-3.8723404255319172E-2</v>
      </c>
    </row>
    <row r="598" spans="1:5" x14ac:dyDescent="0.2">
      <c r="A598" s="2">
        <f>Data!A598</f>
        <v>45252</v>
      </c>
      <c r="B598" s="5">
        <f>Data!F598</f>
        <v>2.2848412833135434E-2</v>
      </c>
      <c r="C598" s="5">
        <f>Data!G598</f>
        <v>5.6089743589744501E-3</v>
      </c>
      <c r="D598" s="5">
        <f>Data!H598</f>
        <v>1.1143336895130584E-2</v>
      </c>
      <c r="E598" s="5">
        <f>Data!I598</f>
        <v>3.524229074889873E-2</v>
      </c>
    </row>
    <row r="599" spans="1:5" x14ac:dyDescent="0.2">
      <c r="A599" s="2">
        <f>Data!A599</f>
        <v>45251</v>
      </c>
      <c r="B599" s="5">
        <f>Data!F599</f>
        <v>6.3777689197654919E-3</v>
      </c>
      <c r="C599" s="5">
        <f>Data!G599</f>
        <v>1.1618481491488808E-2</v>
      </c>
      <c r="D599" s="5">
        <f>Data!H599</f>
        <v>8.6220169361046484E-3</v>
      </c>
      <c r="E599" s="5">
        <f>Data!I599</f>
        <v>0</v>
      </c>
    </row>
    <row r="600" spans="1:5" x14ac:dyDescent="0.2">
      <c r="A600" s="2">
        <f>Data!A600</f>
        <v>45250</v>
      </c>
      <c r="B600" s="5">
        <f>Data!F600</f>
        <v>1.1951410658307182E-2</v>
      </c>
      <c r="C600" s="5">
        <f>Data!G600</f>
        <v>1.3694878115584785E-2</v>
      </c>
      <c r="D600" s="5">
        <f>Data!H600</f>
        <v>-3.0783438510084693E-4</v>
      </c>
      <c r="E600" s="5">
        <f>Data!I600</f>
        <v>4.4072278536799736E-4</v>
      </c>
    </row>
    <row r="601" spans="1:5" x14ac:dyDescent="0.2">
      <c r="A601" s="2">
        <f>Data!A601</f>
        <v>45249</v>
      </c>
      <c r="B601" s="5">
        <f>Data!F601</f>
        <v>-4.5602904818994316E-3</v>
      </c>
      <c r="C601" s="5">
        <f>Data!G601</f>
        <v>-2.7314941272876814E-3</v>
      </c>
      <c r="D601" s="5">
        <f>Data!H601</f>
        <v>-3.068896731625026E-3</v>
      </c>
      <c r="E601" s="5">
        <f>Data!I601</f>
        <v>0</v>
      </c>
    </row>
    <row r="602" spans="1:5" x14ac:dyDescent="0.2">
      <c r="A602" s="2">
        <f>Data!A602</f>
        <v>45246</v>
      </c>
      <c r="B602" s="5">
        <f>Data!F602</f>
        <v>1.1288685210430138E-2</v>
      </c>
      <c r="C602" s="5">
        <f>Data!G602</f>
        <v>-7.8590785907859395E-3</v>
      </c>
      <c r="D602" s="5">
        <f>Data!H602</f>
        <v>7.575757575757569E-3</v>
      </c>
      <c r="E602" s="5">
        <f>Data!I602</f>
        <v>0</v>
      </c>
    </row>
    <row r="603" spans="1:5" x14ac:dyDescent="0.2">
      <c r="A603" s="2">
        <f>Data!A603</f>
        <v>45245</v>
      </c>
      <c r="B603" s="5">
        <f>Data!F603</f>
        <v>2.733909199313489E-3</v>
      </c>
      <c r="C603" s="5">
        <f>Data!G603</f>
        <v>-1.3896312132549493E-2</v>
      </c>
      <c r="D603" s="5">
        <f>Data!H603</f>
        <v>-2.3845457289465744E-2</v>
      </c>
      <c r="E603" s="5">
        <f>Data!I603</f>
        <v>-3.5699107522311979E-2</v>
      </c>
    </row>
    <row r="604" spans="1:5" x14ac:dyDescent="0.2">
      <c r="A604" s="2">
        <f>Data!A604</f>
        <v>45244</v>
      </c>
      <c r="B604" s="5">
        <f>Data!F604</f>
        <v>2.065472939276658E-2</v>
      </c>
      <c r="C604" s="5">
        <f>Data!G604</f>
        <v>6.3370275646490448E-2</v>
      </c>
      <c r="D604" s="5">
        <f>Data!H604</f>
        <v>0</v>
      </c>
      <c r="E604" s="5">
        <f>Data!I604</f>
        <v>6.8463842533161845E-3</v>
      </c>
    </row>
    <row r="605" spans="1:5" x14ac:dyDescent="0.2">
      <c r="A605" s="2">
        <f>Data!A605</f>
        <v>45243</v>
      </c>
      <c r="B605" s="5">
        <f>Data!F605</f>
        <v>-5.7082814353937028E-3</v>
      </c>
      <c r="C605" s="5">
        <f>Data!G605</f>
        <v>-7.3342736248237506E-3</v>
      </c>
      <c r="D605" s="5">
        <f>Data!H605</f>
        <v>-2.2569700545803206E-2</v>
      </c>
      <c r="E605" s="5">
        <f>Data!I605</f>
        <v>0</v>
      </c>
    </row>
    <row r="606" spans="1:5" x14ac:dyDescent="0.2">
      <c r="A606" s="2">
        <f>Data!A606</f>
        <v>45242</v>
      </c>
      <c r="B606" s="5">
        <f>Data!F606</f>
        <v>-1.6762338137221389E-2</v>
      </c>
      <c r="C606" s="5">
        <f>Data!G606</f>
        <v>-1.5277777777777724E-2</v>
      </c>
      <c r="D606" s="5">
        <f>Data!H606</f>
        <v>-7.7576112412177656E-3</v>
      </c>
      <c r="E606" s="5">
        <f>Data!I606</f>
        <v>8.565310492505418E-4</v>
      </c>
    </row>
    <row r="607" spans="1:5" x14ac:dyDescent="0.2">
      <c r="A607" s="2">
        <f>Data!A607</f>
        <v>45239</v>
      </c>
      <c r="B607" s="5">
        <f>Data!F607</f>
        <v>-6.2752697846912842E-3</v>
      </c>
      <c r="C607" s="5">
        <f>Data!G607</f>
        <v>-2.7700831024930483E-3</v>
      </c>
      <c r="D607" s="5">
        <f>Data!H607</f>
        <v>-8.9933275311865346E-3</v>
      </c>
      <c r="E607" s="5">
        <f>Data!I607</f>
        <v>6.4655172413792261E-3</v>
      </c>
    </row>
    <row r="608" spans="1:5" x14ac:dyDescent="0.2">
      <c r="A608" s="2">
        <f>Data!A608</f>
        <v>45238</v>
      </c>
      <c r="B608" s="5">
        <f>Data!F608</f>
        <v>-6.8623014486444145E-3</v>
      </c>
      <c r="C608" s="5">
        <f>Data!G608</f>
        <v>-2.74784482758621E-2</v>
      </c>
      <c r="D608" s="5">
        <f>Data!H608</f>
        <v>2.0348837209303028E-3</v>
      </c>
      <c r="E608" s="5">
        <f>Data!I608</f>
        <v>3.6176864671728426E-2</v>
      </c>
    </row>
    <row r="609" spans="1:5" x14ac:dyDescent="0.2">
      <c r="A609" s="2">
        <f>Data!A609</f>
        <v>45237</v>
      </c>
      <c r="B609" s="5">
        <f>Data!F609</f>
        <v>1.3562392229492293E-2</v>
      </c>
      <c r="C609" s="5">
        <f>Data!G609</f>
        <v>1.6986301369863011E-2</v>
      </c>
      <c r="D609" s="5">
        <f>Data!H609</f>
        <v>2.1226065014101181E-2</v>
      </c>
      <c r="E609" s="5">
        <f>Data!I609</f>
        <v>8.9405453732682716E-4</v>
      </c>
    </row>
    <row r="610" spans="1:5" x14ac:dyDescent="0.2">
      <c r="A610" s="2">
        <f>Data!A610</f>
        <v>45236</v>
      </c>
      <c r="B610" s="5">
        <f>Data!F610</f>
        <v>-1.1041317379022031E-2</v>
      </c>
      <c r="C610" s="5">
        <f>Data!G610</f>
        <v>5.5096418732782926E-3</v>
      </c>
      <c r="D610" s="5">
        <f>Data!H610</f>
        <v>-1.1590375586854496E-2</v>
      </c>
      <c r="E610" s="5">
        <f>Data!I610</f>
        <v>3.9015327450069748E-2</v>
      </c>
    </row>
    <row r="611" spans="1:5" x14ac:dyDescent="0.2">
      <c r="A611" s="2">
        <f>Data!A611</f>
        <v>45235</v>
      </c>
      <c r="B611" s="5">
        <f>Data!F611</f>
        <v>2.3494705170245433E-2</v>
      </c>
      <c r="C611" s="5">
        <f>Data!G611</f>
        <v>-1.2782159369050805E-2</v>
      </c>
      <c r="D611" s="5">
        <f>Data!H611</f>
        <v>1.0376519418914931E-2</v>
      </c>
      <c r="E611" s="5">
        <f>Data!I611</f>
        <v>5.1353874883286466E-3</v>
      </c>
    </row>
    <row r="612" spans="1:5" x14ac:dyDescent="0.2">
      <c r="A612" s="2">
        <f>Data!A612</f>
        <v>45232</v>
      </c>
      <c r="B612" s="5">
        <f>Data!F612</f>
        <v>1.9183891041727685E-2</v>
      </c>
      <c r="C612" s="5">
        <f>Data!G612</f>
        <v>4.847447961220408E-2</v>
      </c>
      <c r="D612" s="5">
        <f>Data!H612</f>
        <v>8.3707025411061675E-3</v>
      </c>
      <c r="E612" s="5">
        <f>Data!I612</f>
        <v>4.2194092827003704E-3</v>
      </c>
    </row>
    <row r="613" spans="1:5" x14ac:dyDescent="0.2">
      <c r="A613" s="2">
        <f>Data!A613</f>
        <v>45231</v>
      </c>
      <c r="B613" s="5">
        <f>Data!F613</f>
        <v>7.0266227578137386E-3</v>
      </c>
      <c r="C613" s="5">
        <f>Data!G613</f>
        <v>4.9057732575531032E-2</v>
      </c>
      <c r="D613" s="5">
        <f>Data!H613</f>
        <v>2.4659212743145975E-2</v>
      </c>
      <c r="E613" s="5">
        <f>Data!I613</f>
        <v>0</v>
      </c>
    </row>
    <row r="614" spans="1:5" x14ac:dyDescent="0.2">
      <c r="A614" s="2">
        <f>Data!A614</f>
        <v>45230</v>
      </c>
      <c r="B614" s="5">
        <f>Data!F614</f>
        <v>6.1558516801851759E-4</v>
      </c>
      <c r="C614" s="5">
        <f>Data!G614</f>
        <v>3.903903903903938E-3</v>
      </c>
      <c r="D614" s="5">
        <f>Data!H614</f>
        <v>8.0284082136792279E-3</v>
      </c>
      <c r="E614" s="5">
        <f>Data!I614</f>
        <v>1.2820512820512775E-2</v>
      </c>
    </row>
    <row r="615" spans="1:5" x14ac:dyDescent="0.2">
      <c r="A615" s="2">
        <f>Data!A615</f>
        <v>45229</v>
      </c>
      <c r="B615" s="5">
        <f>Data!F615</f>
        <v>1.7782446053771217E-2</v>
      </c>
      <c r="C615" s="5">
        <f>Data!G615</f>
        <v>3.0321782178217793E-2</v>
      </c>
      <c r="D615" s="5">
        <f>Data!H615</f>
        <v>1.0137242669993718E-2</v>
      </c>
      <c r="E615" s="5">
        <f>Data!I615</f>
        <v>0</v>
      </c>
    </row>
    <row r="616" spans="1:5" x14ac:dyDescent="0.2">
      <c r="A616" s="2">
        <f>Data!A616</f>
        <v>45228</v>
      </c>
      <c r="B616" s="5">
        <f>Data!F616</f>
        <v>1.2179654567836762E-2</v>
      </c>
      <c r="C616" s="5">
        <f>Data!G616</f>
        <v>3.7267080745342351E-3</v>
      </c>
      <c r="D616" s="5">
        <f>Data!H616</f>
        <v>-1.559332605645114E-4</v>
      </c>
      <c r="E616" s="5">
        <f>Data!I616</f>
        <v>-1.0338345864661647E-2</v>
      </c>
    </row>
    <row r="617" spans="1:5" x14ac:dyDescent="0.2">
      <c r="A617" s="2">
        <f>Data!A617</f>
        <v>45225</v>
      </c>
      <c r="B617" s="5">
        <f>Data!F617</f>
        <v>-1.1875287974197457E-2</v>
      </c>
      <c r="C617" s="5">
        <f>Data!G617</f>
        <v>-2.0085209981740682E-2</v>
      </c>
      <c r="D617" s="5">
        <f>Data!H617</f>
        <v>-1.5958263004449913E-2</v>
      </c>
      <c r="E617" s="5">
        <f>Data!I617</f>
        <v>1.4783023366714332E-2</v>
      </c>
    </row>
    <row r="618" spans="1:5" x14ac:dyDescent="0.2">
      <c r="A618" s="2">
        <f>Data!A618</f>
        <v>45224</v>
      </c>
      <c r="B618" s="5">
        <f>Data!F618</f>
        <v>-3.0440001959919361E-3</v>
      </c>
      <c r="C618" s="5">
        <f>Data!G618</f>
        <v>2.6874999999999982E-2</v>
      </c>
      <c r="D618" s="5">
        <f>Data!H618</f>
        <v>-2.2792022792022748E-2</v>
      </c>
      <c r="E618" s="5">
        <f>Data!I618</f>
        <v>-4.0713632204940509E-2</v>
      </c>
    </row>
    <row r="619" spans="1:5" x14ac:dyDescent="0.2">
      <c r="A619" s="2">
        <f>Data!A619</f>
        <v>45223</v>
      </c>
      <c r="B619" s="5">
        <f>Data!F619</f>
        <v>5.759623499264066E-3</v>
      </c>
      <c r="C619" s="5">
        <f>Data!G619</f>
        <v>1.1058451816745585E-2</v>
      </c>
      <c r="D619" s="5">
        <f>Data!H619</f>
        <v>-1.7961383026493527E-3</v>
      </c>
      <c r="E619" s="5">
        <f>Data!I619</f>
        <v>-2.9738126941855292E-2</v>
      </c>
    </row>
    <row r="620" spans="1:5" x14ac:dyDescent="0.2">
      <c r="A620" s="2">
        <f>Data!A620</f>
        <v>45222</v>
      </c>
      <c r="B620" s="5">
        <f>Data!F620</f>
        <v>-1.0315249132775373E-2</v>
      </c>
      <c r="C620" s="5">
        <f>Data!G620</f>
        <v>1.5822784810126667E-3</v>
      </c>
      <c r="D620" s="5">
        <f>Data!H620</f>
        <v>-1.7929179740027168E-3</v>
      </c>
      <c r="E620" s="5">
        <f>Data!I620</f>
        <v>-2.4252923343438759E-2</v>
      </c>
    </row>
    <row r="621" spans="1:5" x14ac:dyDescent="0.2">
      <c r="A621" s="2">
        <f>Data!A621</f>
        <v>45221</v>
      </c>
      <c r="B621" s="5">
        <f>Data!F621</f>
        <v>-2.5220920765660626E-2</v>
      </c>
      <c r="C621" s="5">
        <f>Data!G621</f>
        <v>-1.3732833957553092E-2</v>
      </c>
      <c r="D621" s="5">
        <f>Data!H621</f>
        <v>1.3783701908512525E-2</v>
      </c>
      <c r="E621" s="5">
        <f>Data!I621</f>
        <v>1.7628911414720116E-2</v>
      </c>
    </row>
    <row r="622" spans="1:5" x14ac:dyDescent="0.2">
      <c r="A622" s="2">
        <f>Data!A622</f>
        <v>45218</v>
      </c>
      <c r="B622" s="5">
        <f>Data!F622</f>
        <v>-1.7888617819748154E-2</v>
      </c>
      <c r="C622" s="5">
        <f>Data!G622</f>
        <v>-5.8951287620229165E-3</v>
      </c>
      <c r="D622" s="5">
        <f>Data!H622</f>
        <v>2.1823247175359883E-2</v>
      </c>
      <c r="E622" s="5">
        <f>Data!I622</f>
        <v>0</v>
      </c>
    </row>
    <row r="623" spans="1:5" x14ac:dyDescent="0.2">
      <c r="A623" s="2">
        <f>Data!A623</f>
        <v>45217</v>
      </c>
      <c r="B623" s="5">
        <f>Data!F623</f>
        <v>5.4869925998957125E-3</v>
      </c>
      <c r="C623" s="5">
        <f>Data!G623</f>
        <v>5.6162246489859236E-3</v>
      </c>
      <c r="D623" s="5">
        <f>Data!H623</f>
        <v>4.664904369460432E-3</v>
      </c>
      <c r="E623" s="5">
        <f>Data!I623</f>
        <v>0</v>
      </c>
    </row>
    <row r="624" spans="1:5" x14ac:dyDescent="0.2">
      <c r="A624" s="2">
        <f>Data!A624</f>
        <v>45216</v>
      </c>
      <c r="B624" s="5">
        <f>Data!F624</f>
        <v>-3.9397464299700813E-3</v>
      </c>
      <c r="C624" s="5">
        <f>Data!G624</f>
        <v>-1.3238916256157585E-2</v>
      </c>
      <c r="D624" s="5">
        <f>Data!H624</f>
        <v>1.7241379310344751E-2</v>
      </c>
      <c r="E624" s="5">
        <f>Data!I624</f>
        <v>-1.3478260869565273E-2</v>
      </c>
    </row>
    <row r="625" spans="1:5" x14ac:dyDescent="0.2">
      <c r="A625" s="2">
        <f>Data!A625</f>
        <v>45215</v>
      </c>
      <c r="B625" s="5">
        <f>Data!F625</f>
        <v>2.359797287190446E-2</v>
      </c>
      <c r="C625" s="5">
        <f>Data!G625</f>
        <v>4.1025641025641102E-2</v>
      </c>
      <c r="D625" s="5">
        <f>Data!H625</f>
        <v>-2.2095959595959114E-3</v>
      </c>
      <c r="E625" s="5">
        <f>Data!I625</f>
        <v>-8.6880973066894018E-4</v>
      </c>
    </row>
    <row r="626" spans="1:5" x14ac:dyDescent="0.2">
      <c r="A626" s="2">
        <f>Data!A626</f>
        <v>45214</v>
      </c>
      <c r="B626" s="5">
        <f>Data!F626</f>
        <v>-3.8614635942155751E-2</v>
      </c>
      <c r="C626" s="5">
        <f>Data!G626</f>
        <v>-3.8224414303329235E-2</v>
      </c>
      <c r="D626" s="5">
        <f>Data!H626</f>
        <v>-2.0559591899829921E-2</v>
      </c>
      <c r="E626" s="5">
        <f>Data!I626</f>
        <v>0</v>
      </c>
    </row>
    <row r="627" spans="1:5" x14ac:dyDescent="0.2">
      <c r="A627" s="2">
        <f>Data!A627</f>
        <v>45211</v>
      </c>
      <c r="B627" s="5">
        <f>Data!F627</f>
        <v>-4.5008933070684876E-3</v>
      </c>
      <c r="C627" s="5">
        <f>Data!G627</f>
        <v>-1.5477996965098662E-2</v>
      </c>
      <c r="D627" s="5">
        <f>Data!H627</f>
        <v>-1.1007491209295228E-2</v>
      </c>
      <c r="E627" s="5">
        <f>Data!I627</f>
        <v>1.3650374284456257E-2</v>
      </c>
    </row>
    <row r="628" spans="1:5" x14ac:dyDescent="0.2">
      <c r="A628" s="2">
        <f>Data!A628</f>
        <v>45210</v>
      </c>
      <c r="B628" s="5">
        <f>Data!F628</f>
        <v>-1.4397543782417088E-2</v>
      </c>
      <c r="C628" s="5">
        <f>Data!G628</f>
        <v>-4.9336410848240031E-2</v>
      </c>
      <c r="D628" s="5">
        <f>Data!H628</f>
        <v>-4.1190266783934337E-2</v>
      </c>
      <c r="E628" s="5">
        <f>Data!I628</f>
        <v>-2.9072253099615253E-2</v>
      </c>
    </row>
    <row r="629" spans="1:5" x14ac:dyDescent="0.2">
      <c r="A629" s="2">
        <f>Data!A629</f>
        <v>45209</v>
      </c>
      <c r="B629" s="5">
        <f>Data!F629</f>
        <v>1.4265188246675553E-2</v>
      </c>
      <c r="C629" s="5">
        <f>Data!G629</f>
        <v>2.6354752739117471E-2</v>
      </c>
      <c r="D629" s="5">
        <f>Data!H629</f>
        <v>5.2940268559962922E-2</v>
      </c>
      <c r="E629" s="5">
        <f>Data!I629</f>
        <v>5.1568543188655891E-3</v>
      </c>
    </row>
    <row r="630" spans="1:5" x14ac:dyDescent="0.2">
      <c r="A630" s="2">
        <f>Data!A630</f>
        <v>45208</v>
      </c>
      <c r="B630" s="5">
        <f>Data!F630</f>
        <v>7.1257674901272772E-3</v>
      </c>
      <c r="C630" s="5">
        <f>Data!G630</f>
        <v>-8.514386376981764E-3</v>
      </c>
      <c r="D630" s="5">
        <f>Data!H630</f>
        <v>2.4756305121460542E-3</v>
      </c>
      <c r="E630" s="5">
        <f>Data!I630</f>
        <v>1.8380743982494563E-2</v>
      </c>
    </row>
    <row r="631" spans="1:5" x14ac:dyDescent="0.2">
      <c r="A631" s="2">
        <f>Data!A631</f>
        <v>45207</v>
      </c>
      <c r="B631" s="5">
        <f>Data!F631</f>
        <v>-6.6934555508935012E-2</v>
      </c>
      <c r="C631" s="5">
        <f>Data!G631</f>
        <v>-8.5146387322052153E-2</v>
      </c>
      <c r="D631" s="5">
        <f>Data!H631</f>
        <v>-6.6040462427745639E-2</v>
      </c>
      <c r="E631" s="5">
        <f>Data!I631</f>
        <v>-5.3438276719138367E-2</v>
      </c>
    </row>
    <row r="632" spans="1:5" x14ac:dyDescent="0.2">
      <c r="A632" s="2">
        <f>Data!A632</f>
        <v>45204</v>
      </c>
      <c r="B632" s="5">
        <f>Data!F632</f>
        <v>-3.1209781209781129E-3</v>
      </c>
      <c r="C632" s="5">
        <f>Data!G632</f>
        <v>-8.5219707057256899E-3</v>
      </c>
      <c r="D632" s="5">
        <f>Data!H632</f>
        <v>5.3755629812581862E-3</v>
      </c>
      <c r="E632" s="5">
        <f>Data!I632</f>
        <v>1.2442969722106234E-3</v>
      </c>
    </row>
    <row r="633" spans="1:5" x14ac:dyDescent="0.2">
      <c r="A633" s="2">
        <f>Data!A633</f>
        <v>45203</v>
      </c>
      <c r="B633" s="5">
        <f>Data!F633</f>
        <v>-1.1534221016029189E-2</v>
      </c>
      <c r="C633" s="5">
        <f>Data!G633</f>
        <v>-1.7015706806282727E-2</v>
      </c>
      <c r="D633" s="5">
        <f>Data!H633</f>
        <v>1.3092813500146239E-3</v>
      </c>
      <c r="E633" s="5">
        <f>Data!I633</f>
        <v>2.9118136439267861E-3</v>
      </c>
    </row>
    <row r="634" spans="1:5" x14ac:dyDescent="0.2">
      <c r="A634" s="2">
        <f>Data!A634</f>
        <v>45202</v>
      </c>
      <c r="B634" s="5">
        <f>Data!F634</f>
        <v>-8.8212887803084117E-3</v>
      </c>
      <c r="C634" s="5">
        <f>Data!G634</f>
        <v>-2.089864158829724E-3</v>
      </c>
      <c r="D634" s="5">
        <f>Data!H634</f>
        <v>-2.3222060957910351E-3</v>
      </c>
      <c r="E634" s="5">
        <f>Data!I634</f>
        <v>0</v>
      </c>
    </row>
    <row r="635" spans="1:5" x14ac:dyDescent="0.2">
      <c r="A635" s="2">
        <f>Data!A635</f>
        <v>45201</v>
      </c>
      <c r="B635" s="5">
        <f>Data!F635</f>
        <v>2.6497113236967351E-3</v>
      </c>
      <c r="C635" s="5">
        <f>Data!G635</f>
        <v>-1.161890007745936E-2</v>
      </c>
      <c r="D635" s="5">
        <f>Data!H635</f>
        <v>-7.2516316171133965E-4</v>
      </c>
      <c r="E635" s="5">
        <f>Data!I635</f>
        <v>0</v>
      </c>
    </row>
    <row r="636" spans="1:5" x14ac:dyDescent="0.2">
      <c r="A636" s="2">
        <f>Data!A636</f>
        <v>45200</v>
      </c>
      <c r="B636" s="5">
        <f>Data!F636</f>
        <v>1.2739804955079759E-2</v>
      </c>
      <c r="C636" s="5">
        <f>Data!G636</f>
        <v>8.5937499999999556E-3</v>
      </c>
      <c r="D636" s="5">
        <f>Data!H636</f>
        <v>0</v>
      </c>
      <c r="E636" s="5">
        <f>Data!I636</f>
        <v>2.5020850708923348E-3</v>
      </c>
    </row>
    <row r="637" spans="1:5" x14ac:dyDescent="0.2">
      <c r="A637" s="2">
        <f>Data!A637</f>
        <v>45197</v>
      </c>
      <c r="B637" s="5">
        <f>Data!F637</f>
        <v>2.2028316010094251E-3</v>
      </c>
      <c r="C637" s="5">
        <f>Data!G637</f>
        <v>1.7488076311605649E-2</v>
      </c>
      <c r="D637" s="5">
        <f>Data!H637</f>
        <v>-8.1990794016110202E-3</v>
      </c>
      <c r="E637" s="5">
        <f>Data!I637</f>
        <v>0</v>
      </c>
    </row>
    <row r="638" spans="1:5" x14ac:dyDescent="0.2">
      <c r="A638" s="2">
        <f>Data!A638</f>
        <v>45196</v>
      </c>
      <c r="B638" s="5">
        <f>Data!F638</f>
        <v>4.6355730545901697E-3</v>
      </c>
      <c r="C638" s="5">
        <f>Data!G638</f>
        <v>3.3689400164338634E-2</v>
      </c>
      <c r="D638" s="5">
        <f>Data!H638</f>
        <v>6.8066618392468303E-3</v>
      </c>
      <c r="E638" s="5">
        <f>Data!I638</f>
        <v>0</v>
      </c>
    </row>
    <row r="639" spans="1:5" x14ac:dyDescent="0.2">
      <c r="A639" s="2">
        <f>Data!A639</f>
        <v>45195</v>
      </c>
      <c r="B639" s="5">
        <f>Data!F639</f>
        <v>-1.1106979708913167E-2</v>
      </c>
      <c r="C639" s="5">
        <f>Data!G639</f>
        <v>-5.1771117166212743E-3</v>
      </c>
      <c r="D639" s="5">
        <f>Data!H639</f>
        <v>-2.4717514124293793E-2</v>
      </c>
      <c r="E639" s="5">
        <f>Data!I639</f>
        <v>-2.6785714285714302E-2</v>
      </c>
    </row>
    <row r="640" spans="1:5" x14ac:dyDescent="0.2">
      <c r="A640" s="2">
        <f>Data!A640</f>
        <v>45190</v>
      </c>
      <c r="B640" s="5">
        <f>Data!F640</f>
        <v>-1.5401855658070396E-4</v>
      </c>
      <c r="C640" s="5">
        <f>Data!G640</f>
        <v>2.732240437158362E-3</v>
      </c>
      <c r="D640" s="5">
        <f>Data!H640</f>
        <v>-2.8240609997176591E-4</v>
      </c>
      <c r="E640" s="5">
        <f>Data!I640</f>
        <v>-1.9498607242339872E-2</v>
      </c>
    </row>
    <row r="641" spans="1:5" x14ac:dyDescent="0.2">
      <c r="A641" s="2">
        <f>Data!A641</f>
        <v>45189</v>
      </c>
      <c r="B641" s="5">
        <f>Data!F641</f>
        <v>1.1333179359648504E-2</v>
      </c>
      <c r="C641" s="5">
        <f>Data!G641</f>
        <v>2.4349286314021779E-2</v>
      </c>
      <c r="D641" s="5">
        <f>Data!H641</f>
        <v>1.272701272701271E-2</v>
      </c>
      <c r="E641" s="5">
        <f>Data!I641</f>
        <v>0</v>
      </c>
    </row>
    <row r="642" spans="1:5" x14ac:dyDescent="0.2">
      <c r="A642" s="2">
        <f>Data!A642</f>
        <v>45188</v>
      </c>
      <c r="B642" s="5">
        <f>Data!F642</f>
        <v>-2.090379430666478E-3</v>
      </c>
      <c r="C642" s="5">
        <f>Data!G642</f>
        <v>-2.5125628140703071E-3</v>
      </c>
      <c r="D642" s="5">
        <f>Data!H642</f>
        <v>6.4766839378238572E-3</v>
      </c>
      <c r="E642" s="5">
        <f>Data!I642</f>
        <v>0</v>
      </c>
    </row>
    <row r="643" spans="1:5" x14ac:dyDescent="0.2">
      <c r="A643" s="2">
        <f>Data!A643</f>
        <v>45187</v>
      </c>
      <c r="B643" s="5">
        <f>Data!F643</f>
        <v>-2.6799018084000537E-5</v>
      </c>
      <c r="C643" s="5">
        <f>Data!G643</f>
        <v>-5.0000000000000044E-3</v>
      </c>
      <c r="D643" s="5">
        <f>Data!H643</f>
        <v>-2.7435610302351643E-2</v>
      </c>
      <c r="E643" s="5">
        <f>Data!I643</f>
        <v>0</v>
      </c>
    </row>
    <row r="644" spans="1:5" x14ac:dyDescent="0.2">
      <c r="A644" s="2">
        <f>Data!A644</f>
        <v>45183</v>
      </c>
      <c r="B644" s="5">
        <f>Data!F644</f>
        <v>4.9771074602746879E-3</v>
      </c>
      <c r="C644" s="5">
        <f>Data!G644</f>
        <v>2.5062656641603454E-3</v>
      </c>
      <c r="D644" s="5">
        <f>Data!H644</f>
        <v>-1.1211072664359834E-2</v>
      </c>
      <c r="E644" s="5">
        <f>Data!I644</f>
        <v>0</v>
      </c>
    </row>
    <row r="645" spans="1:5" x14ac:dyDescent="0.2">
      <c r="A645" s="2">
        <f>Data!A645</f>
        <v>45182</v>
      </c>
      <c r="B645" s="5">
        <f>Data!F645</f>
        <v>-8.4070418322437224E-3</v>
      </c>
      <c r="C645" s="5">
        <f>Data!G645</f>
        <v>-9.3793103448276405E-3</v>
      </c>
      <c r="D645" s="5">
        <f>Data!H645</f>
        <v>5.7071269487749543E-3</v>
      </c>
      <c r="E645" s="5">
        <f>Data!I645</f>
        <v>0</v>
      </c>
    </row>
    <row r="646" spans="1:5" x14ac:dyDescent="0.2">
      <c r="A646" s="2">
        <f>Data!A646</f>
        <v>45181</v>
      </c>
      <c r="B646" s="5">
        <f>Data!F646</f>
        <v>1.9962429957560701E-3</v>
      </c>
      <c r="C646" s="5">
        <f>Data!G646</f>
        <v>2.3433088650479883E-2</v>
      </c>
      <c r="D646" s="5">
        <f>Data!H646</f>
        <v>-3.6061026352288694E-3</v>
      </c>
      <c r="E646" s="5">
        <f>Data!I646</f>
        <v>7.2144288577153937E-3</v>
      </c>
    </row>
    <row r="647" spans="1:5" x14ac:dyDescent="0.2">
      <c r="A647" s="2">
        <f>Data!A647</f>
        <v>45180</v>
      </c>
      <c r="B647" s="5">
        <f>Data!F647</f>
        <v>7.8426296002631624E-3</v>
      </c>
      <c r="C647" s="5">
        <f>Data!G647</f>
        <v>9.1168091168090104E-3</v>
      </c>
      <c r="D647" s="5">
        <f>Data!H647</f>
        <v>3.2803323306116683E-2</v>
      </c>
      <c r="E647" s="5">
        <f>Data!I647</f>
        <v>2.0080321285140812E-3</v>
      </c>
    </row>
    <row r="648" spans="1:5" x14ac:dyDescent="0.2">
      <c r="A648" s="2">
        <f>Data!A648</f>
        <v>45179</v>
      </c>
      <c r="B648" s="5">
        <f>Data!F648</f>
        <v>3.453243620943347E-4</v>
      </c>
      <c r="C648" s="5">
        <f>Data!G648</f>
        <v>-9.5936794582393015E-3</v>
      </c>
      <c r="D648" s="5">
        <f>Data!H648</f>
        <v>-7.1571714858287283E-4</v>
      </c>
      <c r="E648" s="5">
        <f>Data!I648</f>
        <v>1.4669926650366705E-2</v>
      </c>
    </row>
    <row r="649" spans="1:5" x14ac:dyDescent="0.2">
      <c r="A649" s="2">
        <f>Data!A649</f>
        <v>45176</v>
      </c>
      <c r="B649" s="5">
        <f>Data!F649</f>
        <v>-6.9176526063100541E-3</v>
      </c>
      <c r="C649" s="5">
        <f>Data!G649</f>
        <v>-2.8242391006306544E-2</v>
      </c>
      <c r="D649" s="5">
        <f>Data!H649</f>
        <v>-2.3756288429290118E-2</v>
      </c>
      <c r="E649" s="5">
        <f>Data!I649</f>
        <v>0</v>
      </c>
    </row>
    <row r="650" spans="1:5" x14ac:dyDescent="0.2">
      <c r="A650" s="2">
        <f>Data!A650</f>
        <v>45175</v>
      </c>
      <c r="B650" s="5">
        <f>Data!F650</f>
        <v>2.840741594352103E-4</v>
      </c>
      <c r="C650" s="5">
        <f>Data!G650</f>
        <v>-6.5377281394715103E-3</v>
      </c>
      <c r="D650" s="5">
        <f>Data!H650</f>
        <v>-5.4689564068692187E-2</v>
      </c>
      <c r="E650" s="5">
        <f>Data!I650</f>
        <v>0</v>
      </c>
    </row>
    <row r="651" spans="1:5" x14ac:dyDescent="0.2">
      <c r="A651" s="2">
        <f>Data!A651</f>
        <v>45174</v>
      </c>
      <c r="B651" s="5">
        <f>Data!F651</f>
        <v>6.4572162223397456E-3</v>
      </c>
      <c r="C651" s="5">
        <f>Data!G651</f>
        <v>4.6524356869184214E-3</v>
      </c>
      <c r="D651" s="5">
        <f>Data!H651</f>
        <v>-1.6499935039625879E-2</v>
      </c>
      <c r="E651" s="5">
        <f>Data!I651</f>
        <v>0</v>
      </c>
    </row>
    <row r="652" spans="1:5" x14ac:dyDescent="0.2">
      <c r="A652" s="2">
        <f>Data!A652</f>
        <v>45173</v>
      </c>
      <c r="B652" s="5">
        <f>Data!F652</f>
        <v>-8.0798784272596569E-3</v>
      </c>
      <c r="C652" s="5">
        <f>Data!G652</f>
        <v>1.0958904109588108E-3</v>
      </c>
      <c r="D652" s="5">
        <f>Data!H652</f>
        <v>-4.5266425245732433E-3</v>
      </c>
      <c r="E652" s="5">
        <f>Data!I652</f>
        <v>0</v>
      </c>
    </row>
    <row r="653" spans="1:5" x14ac:dyDescent="0.2">
      <c r="A653" s="2">
        <f>Data!A653</f>
        <v>45172</v>
      </c>
      <c r="B653" s="5">
        <f>Data!F653</f>
        <v>-2.6257364870634348E-3</v>
      </c>
      <c r="C653" s="5">
        <f>Data!G653</f>
        <v>-2.1447721179624679E-2</v>
      </c>
      <c r="D653" s="5">
        <f>Data!H653</f>
        <v>1.8574627848768177E-2</v>
      </c>
      <c r="E653" s="5">
        <f>Data!I653</f>
        <v>0</v>
      </c>
    </row>
    <row r="654" spans="1:5" x14ac:dyDescent="0.2">
      <c r="A654" s="2">
        <f>Data!A654</f>
        <v>45169</v>
      </c>
      <c r="B654" s="5">
        <f>Data!F654</f>
        <v>2.2733229562825752E-3</v>
      </c>
      <c r="C654" s="5">
        <f>Data!G654</f>
        <v>1.4138118542686318E-2</v>
      </c>
      <c r="D654" s="5">
        <f>Data!H654</f>
        <v>-3.4134173559143832E-3</v>
      </c>
      <c r="E654" s="5">
        <f>Data!I654</f>
        <v>0</v>
      </c>
    </row>
    <row r="655" spans="1:5" x14ac:dyDescent="0.2">
      <c r="A655" s="2">
        <f>Data!A655</f>
        <v>45168</v>
      </c>
      <c r="B655" s="5">
        <f>Data!F655</f>
        <v>5.8267157337466013E-3</v>
      </c>
      <c r="C655" s="5">
        <f>Data!G655</f>
        <v>-7.5553157042633767E-3</v>
      </c>
      <c r="D655" s="5">
        <f>Data!H655</f>
        <v>-2.74941084053415E-3</v>
      </c>
      <c r="E655" s="5">
        <f>Data!I655</f>
        <v>0</v>
      </c>
    </row>
    <row r="656" spans="1:5" x14ac:dyDescent="0.2">
      <c r="A656" s="2">
        <f>Data!A656</f>
        <v>45167</v>
      </c>
      <c r="B656" s="5">
        <f>Data!F656</f>
        <v>-9.0211132437618691E-3</v>
      </c>
      <c r="C656" s="5">
        <f>Data!G656</f>
        <v>-2.1647307286166817E-2</v>
      </c>
      <c r="D656" s="5">
        <f>Data!H656</f>
        <v>-9.1563113145842756E-4</v>
      </c>
      <c r="E656" s="5">
        <f>Data!I656</f>
        <v>0</v>
      </c>
    </row>
    <row r="657" spans="1:5" x14ac:dyDescent="0.2">
      <c r="A657" s="2">
        <f>Data!A657</f>
        <v>45166</v>
      </c>
      <c r="B657" s="5">
        <f>Data!F657</f>
        <v>2.3942879131215733E-3</v>
      </c>
      <c r="C657" s="5">
        <f>Data!G657</f>
        <v>-1.3284709559781227E-2</v>
      </c>
      <c r="D657" s="5">
        <f>Data!H657</f>
        <v>0</v>
      </c>
      <c r="E657" s="5">
        <f>Data!I657</f>
        <v>0</v>
      </c>
    </row>
    <row r="658" spans="1:5" x14ac:dyDescent="0.2">
      <c r="A658" s="2">
        <f>Data!A658</f>
        <v>45165</v>
      </c>
      <c r="B658" s="5">
        <f>Data!F658</f>
        <v>-4.4872753691327372E-4</v>
      </c>
      <c r="C658" s="5">
        <f>Data!G658</f>
        <v>3.3378196500672974E-2</v>
      </c>
      <c r="D658" s="5">
        <f>Data!H658</f>
        <v>-5.229441757091946E-4</v>
      </c>
      <c r="E658" s="5">
        <f>Data!I658</f>
        <v>0</v>
      </c>
    </row>
    <row r="659" spans="1:5" x14ac:dyDescent="0.2">
      <c r="A659" s="2">
        <f>Data!A659</f>
        <v>45162</v>
      </c>
      <c r="B659" s="5">
        <f>Data!F659</f>
        <v>-2.3024282090092774E-3</v>
      </c>
      <c r="C659" s="5">
        <f>Data!G659</f>
        <v>4.0540540540541237E-3</v>
      </c>
      <c r="D659" s="5">
        <f>Data!H659</f>
        <v>0</v>
      </c>
      <c r="E659" s="5">
        <f>Data!I659</f>
        <v>-8.1433224755700362E-4</v>
      </c>
    </row>
    <row r="660" spans="1:5" x14ac:dyDescent="0.2">
      <c r="A660" s="2">
        <f>Data!A660</f>
        <v>45161</v>
      </c>
      <c r="B660" s="5">
        <f>Data!F660</f>
        <v>4.6923323024405938E-4</v>
      </c>
      <c r="C660" s="5">
        <f>Data!G660</f>
        <v>7.3509392866866197E-3</v>
      </c>
      <c r="D660" s="5">
        <f>Data!H660</f>
        <v>1.2442091330244764E-2</v>
      </c>
      <c r="E660" s="5">
        <f>Data!I660</f>
        <v>1.6313213703098572E-3</v>
      </c>
    </row>
    <row r="661" spans="1:5" x14ac:dyDescent="0.2">
      <c r="A661" s="2">
        <f>Data!A661</f>
        <v>45160</v>
      </c>
      <c r="B661" s="5">
        <f>Data!F661</f>
        <v>6.2454393269519848E-3</v>
      </c>
      <c r="C661" s="5">
        <f>Data!G661</f>
        <v>-2.715177844148764E-3</v>
      </c>
      <c r="D661" s="5">
        <f>Data!H661</f>
        <v>4.5206754420954454E-3</v>
      </c>
      <c r="E661" s="5">
        <f>Data!I661</f>
        <v>0</v>
      </c>
    </row>
    <row r="662" spans="1:5" x14ac:dyDescent="0.2">
      <c r="A662" s="2">
        <f>Data!A662</f>
        <v>45159</v>
      </c>
      <c r="B662" s="5">
        <f>Data!F662</f>
        <v>5.0528745301687827E-3</v>
      </c>
      <c r="C662" s="5">
        <f>Data!G662</f>
        <v>-5.6695464362851444E-3</v>
      </c>
      <c r="D662" s="5">
        <f>Data!H662</f>
        <v>3.4952525113526978E-2</v>
      </c>
      <c r="E662" s="5">
        <f>Data!I662</f>
        <v>6.9815195071869507E-3</v>
      </c>
    </row>
    <row r="663" spans="1:5" x14ac:dyDescent="0.2">
      <c r="A663" s="2">
        <f>Data!A663</f>
        <v>45158</v>
      </c>
      <c r="B663" s="5">
        <f>Data!F663</f>
        <v>2.6168527479657477E-3</v>
      </c>
      <c r="C663" s="5">
        <f>Data!G663</f>
        <v>-4.3010752688171783E-3</v>
      </c>
      <c r="D663" s="5">
        <f>Data!H663</f>
        <v>2.1794150731158535E-2</v>
      </c>
      <c r="E663" s="5">
        <f>Data!I663</f>
        <v>0</v>
      </c>
    </row>
    <row r="664" spans="1:5" x14ac:dyDescent="0.2">
      <c r="A664" s="2">
        <f>Data!A664</f>
        <v>45155</v>
      </c>
      <c r="B664" s="5">
        <f>Data!F664</f>
        <v>-7.8745648337383845E-3</v>
      </c>
      <c r="C664" s="5">
        <f>Data!G664</f>
        <v>-7.7353961056281229E-3</v>
      </c>
      <c r="D664" s="5">
        <f>Data!H664</f>
        <v>-7.9508997070720788E-3</v>
      </c>
      <c r="E664" s="5">
        <f>Data!I664</f>
        <v>0</v>
      </c>
    </row>
    <row r="665" spans="1:5" x14ac:dyDescent="0.2">
      <c r="A665" s="2">
        <f>Data!A665</f>
        <v>45154</v>
      </c>
      <c r="B665" s="5">
        <f>Data!F665</f>
        <v>-3.7621508387352121E-3</v>
      </c>
      <c r="C665" s="5">
        <f>Data!G665</f>
        <v>-8.2010582010582089E-3</v>
      </c>
      <c r="D665" s="5">
        <f>Data!H665</f>
        <v>-1.1990077177508218E-2</v>
      </c>
      <c r="E665" s="5">
        <f>Data!I665</f>
        <v>0</v>
      </c>
    </row>
    <row r="666" spans="1:5" x14ac:dyDescent="0.2">
      <c r="A666" s="2">
        <f>Data!A666</f>
        <v>45153</v>
      </c>
      <c r="B666" s="5">
        <f>Data!F666</f>
        <v>-1.1636285996423634E-3</v>
      </c>
      <c r="C666" s="5">
        <f>Data!G666</f>
        <v>-1.5881280916428042E-2</v>
      </c>
      <c r="D666" s="5">
        <f>Data!H666</f>
        <v>-1.7334777898158182E-2</v>
      </c>
      <c r="E666" s="5">
        <f>Data!I666</f>
        <v>3.7098103874690924E-3</v>
      </c>
    </row>
    <row r="667" spans="1:5" x14ac:dyDescent="0.2">
      <c r="A667" s="2">
        <f>Data!A667</f>
        <v>45152</v>
      </c>
      <c r="B667" s="5">
        <f>Data!F667</f>
        <v>-7.3595642544532769E-3</v>
      </c>
      <c r="C667" s="5">
        <f>Data!G667</f>
        <v>1.4527205493924944E-2</v>
      </c>
      <c r="D667" s="5">
        <f>Data!H667</f>
        <v>0</v>
      </c>
      <c r="E667" s="5">
        <f>Data!I667</f>
        <v>-1.7813765182186247E-2</v>
      </c>
    </row>
    <row r="668" spans="1:5" x14ac:dyDescent="0.2">
      <c r="A668" s="2">
        <f>Data!A668</f>
        <v>45151</v>
      </c>
      <c r="B668" s="5">
        <f>Data!F668</f>
        <v>-1.3263903048554182E-2</v>
      </c>
      <c r="C668" s="5">
        <f>Data!G668</f>
        <v>-2.1452571723959646E-2</v>
      </c>
      <c r="D668" s="5">
        <f>Data!H668</f>
        <v>-3.3634341054835759E-2</v>
      </c>
      <c r="E668" s="5">
        <f>Data!I668</f>
        <v>3.2493907392363575E-3</v>
      </c>
    </row>
    <row r="669" spans="1:5" x14ac:dyDescent="0.2">
      <c r="A669" s="2">
        <f>Data!A669</f>
        <v>45148</v>
      </c>
      <c r="B669" s="5">
        <f>Data!F669</f>
        <v>2.0274093166530172E-3</v>
      </c>
      <c r="C669" s="5">
        <f>Data!G669</f>
        <v>3.3713692946057972E-3</v>
      </c>
      <c r="D669" s="5">
        <f>Data!H669</f>
        <v>6.4541622760800887E-3</v>
      </c>
      <c r="E669" s="5">
        <f>Data!I669</f>
        <v>2.4429967426708998E-3</v>
      </c>
    </row>
    <row r="670" spans="1:5" x14ac:dyDescent="0.2">
      <c r="A670" s="2">
        <f>Data!A670</f>
        <v>45147</v>
      </c>
      <c r="B670" s="5">
        <f>Data!F670</f>
        <v>1.4342269575152056E-2</v>
      </c>
      <c r="C670" s="5">
        <f>Data!G670</f>
        <v>1.2073490813648391E-2</v>
      </c>
      <c r="D670" s="5">
        <f>Data!H670</f>
        <v>-2.103049421661396E-3</v>
      </c>
      <c r="E670" s="5">
        <f>Data!I670</f>
        <v>0</v>
      </c>
    </row>
    <row r="671" spans="1:5" x14ac:dyDescent="0.2">
      <c r="A671" s="2">
        <f>Data!A671</f>
        <v>45146</v>
      </c>
      <c r="B671" s="5">
        <f>Data!F671</f>
        <v>-5.7588165367851163E-3</v>
      </c>
      <c r="C671" s="5">
        <f>Data!G671</f>
        <v>9.004237288135597E-3</v>
      </c>
      <c r="D671" s="5">
        <f>Data!H671</f>
        <v>1.3145786775337065E-4</v>
      </c>
      <c r="E671" s="5">
        <f>Data!I671</f>
        <v>2.039983680130586E-3</v>
      </c>
    </row>
    <row r="672" spans="1:5" x14ac:dyDescent="0.2">
      <c r="A672" s="2">
        <f>Data!A672</f>
        <v>45145</v>
      </c>
      <c r="B672" s="5">
        <f>Data!F672</f>
        <v>6.0220471771321726E-3</v>
      </c>
      <c r="C672" s="5">
        <f>Data!G672</f>
        <v>0</v>
      </c>
      <c r="D672" s="5">
        <f>Data!H672</f>
        <v>-4.9705689993460034E-3</v>
      </c>
      <c r="E672" s="5">
        <f>Data!I672</f>
        <v>5.33223954060702E-3</v>
      </c>
    </row>
    <row r="673" spans="1:5" x14ac:dyDescent="0.2">
      <c r="A673" s="2">
        <f>Data!A673</f>
        <v>45144</v>
      </c>
      <c r="B673" s="5">
        <f>Data!F673</f>
        <v>7.3998714928251719E-3</v>
      </c>
      <c r="C673" s="5">
        <f>Data!G673</f>
        <v>1.6146393972013007E-2</v>
      </c>
      <c r="D673" s="5">
        <f>Data!H673</f>
        <v>4.4672184995402375E-3</v>
      </c>
      <c r="E673" s="5">
        <f>Data!I673</f>
        <v>0</v>
      </c>
    </row>
    <row r="674" spans="1:5" x14ac:dyDescent="0.2">
      <c r="A674" s="2">
        <f>Data!A674</f>
        <v>45141</v>
      </c>
      <c r="B674" s="5">
        <f>Data!F674</f>
        <v>-5.0185933021491547E-3</v>
      </c>
      <c r="C674" s="5">
        <f>Data!G674</f>
        <v>-9.0666666666666673E-3</v>
      </c>
      <c r="D674" s="5">
        <f>Data!H674</f>
        <v>1.0354440461967318E-2</v>
      </c>
      <c r="E674" s="5">
        <f>Data!I674</f>
        <v>5.7755775577557067E-3</v>
      </c>
    </row>
    <row r="675" spans="1:5" x14ac:dyDescent="0.2">
      <c r="A675" s="2">
        <f>Data!A675</f>
        <v>45140</v>
      </c>
      <c r="B675" s="5">
        <f>Data!F675</f>
        <v>-1.1069128838273601E-3</v>
      </c>
      <c r="C675" s="5">
        <f>Data!G675</f>
        <v>-3.0256012412723021E-2</v>
      </c>
      <c r="D675" s="5">
        <f>Data!H675</f>
        <v>-8.4243780439646754E-3</v>
      </c>
      <c r="E675" s="5">
        <f>Data!I675</f>
        <v>3.1928480204342247E-2</v>
      </c>
    </row>
    <row r="676" spans="1:5" x14ac:dyDescent="0.2">
      <c r="A676" s="2">
        <f>Data!A676</f>
        <v>45139</v>
      </c>
      <c r="B676" s="5">
        <f>Data!F676</f>
        <v>-5.2303359485014189E-3</v>
      </c>
      <c r="C676" s="5">
        <f>Data!G676</f>
        <v>-4.1205253669842623E-3</v>
      </c>
      <c r="D676" s="5">
        <f>Data!H676</f>
        <v>3.0367045154475747E-3</v>
      </c>
      <c r="E676" s="5">
        <f>Data!I676</f>
        <v>1.0322580645161228E-2</v>
      </c>
    </row>
    <row r="677" spans="1:5" x14ac:dyDescent="0.2">
      <c r="A677" s="2">
        <f>Data!A677</f>
        <v>45138</v>
      </c>
      <c r="B677" s="5">
        <f>Data!F677</f>
        <v>3.4369007335950386E-3</v>
      </c>
      <c r="C677" s="5">
        <f>Data!G677</f>
        <v>7.7319587628865705E-4</v>
      </c>
      <c r="D677" s="5">
        <f>Data!H677</f>
        <v>1.0136036276340299E-2</v>
      </c>
      <c r="E677" s="5">
        <f>Data!I677</f>
        <v>0</v>
      </c>
    </row>
    <row r="678" spans="1:5" x14ac:dyDescent="0.2">
      <c r="A678" s="2">
        <f>Data!A678</f>
        <v>45137</v>
      </c>
      <c r="B678" s="5">
        <f>Data!F678</f>
        <v>1.1096490050218843E-2</v>
      </c>
      <c r="C678" s="5">
        <f>Data!G678</f>
        <v>1.7038007863696025E-2</v>
      </c>
      <c r="D678" s="5">
        <f>Data!H678</f>
        <v>1.3354700854701917E-3</v>
      </c>
      <c r="E678" s="5">
        <f>Data!I678</f>
        <v>-1.1059123777116153E-2</v>
      </c>
    </row>
    <row r="679" spans="1:5" x14ac:dyDescent="0.2">
      <c r="A679" s="2">
        <f>Data!A679</f>
        <v>45133</v>
      </c>
      <c r="B679" s="5">
        <f>Data!F679</f>
        <v>2.416497975708487E-2</v>
      </c>
      <c r="C679" s="5">
        <f>Data!G679</f>
        <v>1.3280212483399723E-2</v>
      </c>
      <c r="D679" s="5">
        <f>Data!H679</f>
        <v>-5.8417419012214422E-3</v>
      </c>
      <c r="E679" s="5">
        <f>Data!I679</f>
        <v>-2.2859517871986701E-2</v>
      </c>
    </row>
    <row r="680" spans="1:5" x14ac:dyDescent="0.2">
      <c r="A680" s="2">
        <f>Data!A680</f>
        <v>45132</v>
      </c>
      <c r="B680" s="5">
        <f>Data!F680</f>
        <v>-3.055641471400683E-2</v>
      </c>
      <c r="C680" s="5">
        <f>Data!G680</f>
        <v>-3.4615384615384603E-2</v>
      </c>
      <c r="D680" s="5">
        <f>Data!H680</f>
        <v>-9.3384190451137883E-3</v>
      </c>
      <c r="E680" s="5">
        <f>Data!I680</f>
        <v>-5.9788980070339948E-2</v>
      </c>
    </row>
    <row r="681" spans="1:5" x14ac:dyDescent="0.2">
      <c r="A681" s="2">
        <f>Data!A681</f>
        <v>45131</v>
      </c>
      <c r="B681" s="5">
        <f>Data!F681</f>
        <v>-2.3165198547682175E-2</v>
      </c>
      <c r="C681" s="5">
        <f>Data!G681</f>
        <v>-1.8374024666498845E-2</v>
      </c>
      <c r="D681" s="5">
        <f>Data!H681</f>
        <v>-7.0523703800443593E-3</v>
      </c>
      <c r="E681" s="5">
        <f>Data!I681</f>
        <v>1.1462450592885309E-2</v>
      </c>
    </row>
    <row r="682" spans="1:5" x14ac:dyDescent="0.2">
      <c r="A682" s="2">
        <f>Data!A682</f>
        <v>45130</v>
      </c>
      <c r="B682" s="5">
        <f>Data!F682</f>
        <v>8.5477719053073109E-3</v>
      </c>
      <c r="C682" s="5">
        <f>Data!G682</f>
        <v>2.0287621982537196E-2</v>
      </c>
      <c r="D682" s="5">
        <f>Data!H682</f>
        <v>1.5696533682145741E-3</v>
      </c>
      <c r="E682" s="5">
        <f>Data!I682</f>
        <v>2.3771790808240212E-3</v>
      </c>
    </row>
    <row r="683" spans="1:5" x14ac:dyDescent="0.2">
      <c r="A683" s="2">
        <f>Data!A683</f>
        <v>45127</v>
      </c>
      <c r="B683" s="5">
        <f>Data!F683</f>
        <v>-9.1050595811360546E-3</v>
      </c>
      <c r="C683" s="5">
        <f>Data!G683</f>
        <v>1.9371727748691114E-2</v>
      </c>
      <c r="D683" s="5">
        <f>Data!H683</f>
        <v>-3.6491593900690455E-3</v>
      </c>
      <c r="E683" s="5">
        <f>Data!I683</f>
        <v>5.5776892430279279E-3</v>
      </c>
    </row>
    <row r="684" spans="1:5" x14ac:dyDescent="0.2">
      <c r="A684" s="2">
        <f>Data!A684</f>
        <v>45126</v>
      </c>
      <c r="B684" s="5">
        <f>Data!F684</f>
        <v>2.4141221882780783E-2</v>
      </c>
      <c r="C684" s="5">
        <f>Data!G684</f>
        <v>1.8395094641428855E-2</v>
      </c>
      <c r="D684" s="5">
        <f>Data!H684</f>
        <v>-1.3879964014908097E-2</v>
      </c>
      <c r="E684" s="5">
        <f>Data!I684</f>
        <v>2.7846027846027743E-2</v>
      </c>
    </row>
    <row r="685" spans="1:5" x14ac:dyDescent="0.2">
      <c r="A685" s="2">
        <f>Data!A685</f>
        <v>45125</v>
      </c>
      <c r="B685" s="5">
        <f>Data!F685</f>
        <v>2.1479258682380431E-2</v>
      </c>
      <c r="C685" s="5">
        <f>Data!G685</f>
        <v>1.4057853473911974E-2</v>
      </c>
      <c r="D685" s="5">
        <f>Data!H685</f>
        <v>-2.0520713094780429E-3</v>
      </c>
      <c r="E685" s="5">
        <f>Data!I685</f>
        <v>7.8415187783740237E-3</v>
      </c>
    </row>
    <row r="686" spans="1:5" x14ac:dyDescent="0.2">
      <c r="A686" s="2">
        <f>Data!A686</f>
        <v>45124</v>
      </c>
      <c r="B686" s="5">
        <f>Data!F686</f>
        <v>4.9035972482938117E-3</v>
      </c>
      <c r="C686" s="5">
        <f>Data!G686</f>
        <v>1.0825439783490598E-3</v>
      </c>
      <c r="D686" s="5">
        <f>Data!H686</f>
        <v>-6.3718618580349551E-3</v>
      </c>
      <c r="E686" s="5">
        <f>Data!I686</f>
        <v>-1.8631024706358801E-2</v>
      </c>
    </row>
    <row r="687" spans="1:5" x14ac:dyDescent="0.2">
      <c r="A687" s="2">
        <f>Data!A687</f>
        <v>45123</v>
      </c>
      <c r="B687" s="5">
        <f>Data!F687</f>
        <v>-6.1894583408117487E-3</v>
      </c>
      <c r="C687" s="5">
        <f>Data!G687</f>
        <v>-1.6211834639286993E-3</v>
      </c>
      <c r="D687" s="5">
        <f>Data!H687</f>
        <v>2.4271844660195274E-3</v>
      </c>
      <c r="E687" s="5">
        <f>Data!I687</f>
        <v>0</v>
      </c>
    </row>
    <row r="688" spans="1:5" x14ac:dyDescent="0.2">
      <c r="A688" s="2">
        <f>Data!A688</f>
        <v>45120</v>
      </c>
      <c r="B688" s="5">
        <f>Data!F688</f>
        <v>2.6831143759304954E-3</v>
      </c>
      <c r="C688" s="5">
        <f>Data!G688</f>
        <v>-2.7012425715833288E-4</v>
      </c>
      <c r="D688" s="5">
        <f>Data!H688</f>
        <v>-2.1669853409814754E-3</v>
      </c>
      <c r="E688" s="5">
        <f>Data!I688</f>
        <v>0</v>
      </c>
    </row>
    <row r="689" spans="1:5" x14ac:dyDescent="0.2">
      <c r="A689" s="2">
        <f>Data!A689</f>
        <v>45119</v>
      </c>
      <c r="B689" s="5">
        <f>Data!F689</f>
        <v>1.8173640724946649E-2</v>
      </c>
      <c r="C689" s="5">
        <f>Data!G689</f>
        <v>5.9782608695653217E-3</v>
      </c>
      <c r="D689" s="5">
        <f>Data!H689</f>
        <v>2.0436837399413488E-3</v>
      </c>
      <c r="E689" s="5">
        <f>Data!I689</f>
        <v>0</v>
      </c>
    </row>
    <row r="690" spans="1:5" x14ac:dyDescent="0.2">
      <c r="A690" s="2">
        <f>Data!A690</f>
        <v>45118</v>
      </c>
      <c r="B690" s="5">
        <f>Data!F690</f>
        <v>1.0021928225720567E-2</v>
      </c>
      <c r="C690" s="5">
        <f>Data!G690</f>
        <v>1.2101210121012063E-2</v>
      </c>
      <c r="D690" s="5">
        <f>Data!H690</f>
        <v>3.3320517749584333E-3</v>
      </c>
      <c r="E690" s="5">
        <f>Data!I690</f>
        <v>0</v>
      </c>
    </row>
    <row r="691" spans="1:5" x14ac:dyDescent="0.2">
      <c r="A691" s="2">
        <f>Data!A691</f>
        <v>45117</v>
      </c>
      <c r="B691" s="5">
        <f>Data!F691</f>
        <v>8.8831553873225388E-3</v>
      </c>
      <c r="C691" s="5">
        <f>Data!G691</f>
        <v>1.3943112102621225E-2</v>
      </c>
      <c r="D691" s="5">
        <f>Data!H691</f>
        <v>1.3113477018956043E-2</v>
      </c>
      <c r="E691" s="5">
        <f>Data!I691</f>
        <v>0</v>
      </c>
    </row>
    <row r="692" spans="1:5" x14ac:dyDescent="0.2">
      <c r="A692" s="2">
        <f>Data!A692</f>
        <v>45116</v>
      </c>
      <c r="B692" s="5">
        <f>Data!F692</f>
        <v>-1.3507554741877259E-2</v>
      </c>
      <c r="C692" s="5">
        <f>Data!G692</f>
        <v>-3.0810810810810829E-2</v>
      </c>
      <c r="D692" s="5">
        <f>Data!H692</f>
        <v>-1.8228170809432731E-2</v>
      </c>
      <c r="E692" s="5">
        <f>Data!I692</f>
        <v>0</v>
      </c>
    </row>
    <row r="693" spans="1:5" x14ac:dyDescent="0.2">
      <c r="A693" s="2">
        <f>Data!A693</f>
        <v>45113</v>
      </c>
      <c r="B693" s="5">
        <f>Data!F693</f>
        <v>-1.1067320218144938E-2</v>
      </c>
      <c r="C693" s="5">
        <f>Data!G693</f>
        <v>-7.2444325194526149E-3</v>
      </c>
      <c r="D693" s="5">
        <f>Data!H693</f>
        <v>2.3750489364478655E-2</v>
      </c>
      <c r="E693" s="5">
        <f>Data!I693</f>
        <v>-1.5942606616181743E-2</v>
      </c>
    </row>
    <row r="694" spans="1:5" x14ac:dyDescent="0.2">
      <c r="A694" s="2">
        <f>Data!A694</f>
        <v>45112</v>
      </c>
      <c r="B694" s="5">
        <f>Data!F694</f>
        <v>8.0964225497888176E-3</v>
      </c>
      <c r="C694" s="5">
        <f>Data!G694</f>
        <v>2.3619884647074985E-2</v>
      </c>
      <c r="D694" s="5">
        <f>Data!H694</f>
        <v>3.6240703177822908E-2</v>
      </c>
      <c r="E694" s="5">
        <f>Data!I694</f>
        <v>0</v>
      </c>
    </row>
    <row r="695" spans="1:5" x14ac:dyDescent="0.2">
      <c r="A695" s="2">
        <f>Data!A695</f>
        <v>45111</v>
      </c>
      <c r="B695" s="5">
        <f>Data!F695</f>
        <v>4.8703295720147199E-3</v>
      </c>
      <c r="C695" s="5">
        <f>Data!G695</f>
        <v>-9.7905901550177088E-3</v>
      </c>
      <c r="D695" s="5">
        <f>Data!H695</f>
        <v>-3.369272237196741E-3</v>
      </c>
      <c r="E695" s="5">
        <f>Data!I695</f>
        <v>1.9968051118210983E-3</v>
      </c>
    </row>
    <row r="696" spans="1:5" x14ac:dyDescent="0.2">
      <c r="A696" s="2">
        <f>Data!A696</f>
        <v>45110</v>
      </c>
      <c r="B696" s="5">
        <f>Data!F696</f>
        <v>-2.5321821386341536E-3</v>
      </c>
      <c r="C696" s="5">
        <f>Data!G696</f>
        <v>3.3445756042720598E-2</v>
      </c>
      <c r="D696" s="5">
        <f>Data!H696</f>
        <v>6.2381339842689787E-3</v>
      </c>
      <c r="E696" s="5">
        <f>Data!I696</f>
        <v>-1.4948859166010964E-2</v>
      </c>
    </row>
    <row r="697" spans="1:5" x14ac:dyDescent="0.2">
      <c r="A697" s="2">
        <f>Data!A697</f>
        <v>45109</v>
      </c>
      <c r="B697" s="5">
        <f>Data!F697</f>
        <v>9.7260158251908368E-3</v>
      </c>
      <c r="C697" s="5">
        <f>Data!G697</f>
        <v>-1.0292072322670376E-2</v>
      </c>
      <c r="D697" s="5">
        <f>Data!H697</f>
        <v>-5.1268213707501564E-3</v>
      </c>
      <c r="E697" s="5">
        <f>Data!I697</f>
        <v>0</v>
      </c>
    </row>
    <row r="698" spans="1:5" x14ac:dyDescent="0.2">
      <c r="A698" s="2">
        <f>Data!A698</f>
        <v>45106</v>
      </c>
      <c r="B698" s="5">
        <f>Data!F698</f>
        <v>8.5111659733727585E-4</v>
      </c>
      <c r="C698" s="5">
        <f>Data!G698</f>
        <v>-4.1551246537395725E-3</v>
      </c>
      <c r="D698" s="5">
        <f>Data!H698</f>
        <v>7.8868642915419507E-3</v>
      </c>
      <c r="E698" s="5">
        <f>Data!I698</f>
        <v>0</v>
      </c>
    </row>
    <row r="699" spans="1:5" x14ac:dyDescent="0.2">
      <c r="A699" s="2">
        <f>Data!A699</f>
        <v>45105</v>
      </c>
      <c r="B699" s="5">
        <f>Data!F699</f>
        <v>2.1408196119412359E-3</v>
      </c>
      <c r="C699" s="5">
        <f>Data!G699</f>
        <v>-1.3831258644536604E-3</v>
      </c>
      <c r="D699" s="5">
        <f>Data!H699</f>
        <v>-2.847457627118688E-3</v>
      </c>
      <c r="E699" s="5">
        <f>Data!I699</f>
        <v>0</v>
      </c>
    </row>
    <row r="700" spans="1:5" x14ac:dyDescent="0.2">
      <c r="A700" s="2">
        <f>Data!A700</f>
        <v>45104</v>
      </c>
      <c r="B700" s="5">
        <f>Data!F700</f>
        <v>-1.0164772187215232E-2</v>
      </c>
      <c r="C700" s="5">
        <f>Data!G700</f>
        <v>-2.8225806451612878E-2</v>
      </c>
      <c r="D700" s="5">
        <f>Data!H700</f>
        <v>1.7522075055187658E-2</v>
      </c>
      <c r="E700" s="5">
        <f>Data!I700</f>
        <v>0</v>
      </c>
    </row>
    <row r="701" spans="1:5" x14ac:dyDescent="0.2">
      <c r="A701" s="2">
        <f>Data!A701</f>
        <v>45103</v>
      </c>
      <c r="B701" s="5">
        <f>Data!F701</f>
        <v>5.7130968246204006E-3</v>
      </c>
      <c r="C701" s="5">
        <f>Data!G701</f>
        <v>-3.4824537905170372E-3</v>
      </c>
      <c r="D701" s="5">
        <f>Data!H701</f>
        <v>1.2997903563941371E-2</v>
      </c>
      <c r="E701" s="5">
        <f>Data!I701</f>
        <v>0</v>
      </c>
    </row>
    <row r="702" spans="1:5" x14ac:dyDescent="0.2">
      <c r="A702" s="2">
        <f>Data!A702</f>
        <v>45102</v>
      </c>
      <c r="B702" s="5">
        <f>Data!F702</f>
        <v>-1.623047944637146E-2</v>
      </c>
      <c r="C702" s="5">
        <f>Data!G702</f>
        <v>-1.0863804981452008E-2</v>
      </c>
      <c r="D702" s="5">
        <f>Data!H702</f>
        <v>-6.9832402234637492E-4</v>
      </c>
      <c r="E702" s="5">
        <f>Data!I702</f>
        <v>0</v>
      </c>
    </row>
    <row r="703" spans="1:5" x14ac:dyDescent="0.2">
      <c r="A703" s="2">
        <f>Data!A703</f>
        <v>45099</v>
      </c>
      <c r="B703" s="5">
        <f>Data!F703</f>
        <v>-1.4031211158679335E-3</v>
      </c>
      <c r="C703" s="5">
        <f>Data!G703</f>
        <v>1.3266118333774557E-3</v>
      </c>
      <c r="D703" s="5">
        <f>Data!H703</f>
        <v>2.5203024362923099E-3</v>
      </c>
      <c r="E703" s="5">
        <f>Data!I703</f>
        <v>1.9655034095467316E-2</v>
      </c>
    </row>
    <row r="704" spans="1:5" x14ac:dyDescent="0.2">
      <c r="A704" s="2">
        <f>Data!A704</f>
        <v>45098</v>
      </c>
      <c r="B704" s="5">
        <f>Data!F704</f>
        <v>-1.1818330694907009E-2</v>
      </c>
      <c r="C704" s="5">
        <f>Data!G704</f>
        <v>-9.2008412197687184E-3</v>
      </c>
      <c r="D704" s="5">
        <f>Data!H704</f>
        <v>4.2182227221596591E-3</v>
      </c>
      <c r="E704" s="5">
        <f>Data!I704</f>
        <v>1.5892420537897411E-2</v>
      </c>
    </row>
    <row r="705" spans="1:5" x14ac:dyDescent="0.2">
      <c r="A705" s="2">
        <f>Data!A705</f>
        <v>45097</v>
      </c>
      <c r="B705" s="5">
        <f>Data!F705</f>
        <v>-1.2975118302548383E-3</v>
      </c>
      <c r="C705" s="5">
        <f>Data!G705</f>
        <v>2.6357406431207764E-3</v>
      </c>
      <c r="D705" s="5">
        <f>Data!H705</f>
        <v>1.5490775947049062E-3</v>
      </c>
      <c r="E705" s="5">
        <f>Data!I705</f>
        <v>1.6326530612245094E-3</v>
      </c>
    </row>
    <row r="706" spans="1:5" x14ac:dyDescent="0.2">
      <c r="A706" s="2">
        <f>Data!A706</f>
        <v>45096</v>
      </c>
      <c r="B706" s="5">
        <f>Data!F706</f>
        <v>3.2762854908139349E-3</v>
      </c>
      <c r="C706" s="5">
        <f>Data!G706</f>
        <v>-9.3994778067885143E-3</v>
      </c>
      <c r="D706" s="5">
        <f>Data!H706</f>
        <v>1.1106364801366952E-2</v>
      </c>
      <c r="E706" s="5">
        <f>Data!I706</f>
        <v>2.81158203944607E-2</v>
      </c>
    </row>
    <row r="707" spans="1:5" x14ac:dyDescent="0.2">
      <c r="A707" s="2">
        <f>Data!A707</f>
        <v>45095</v>
      </c>
      <c r="B707" s="5">
        <f>Data!F707</f>
        <v>-7.2381924609854487E-3</v>
      </c>
      <c r="C707" s="5">
        <f>Data!G707</f>
        <v>1.403230076780515E-2</v>
      </c>
      <c r="D707" s="5">
        <f>Data!H707</f>
        <v>9.9771949828952877E-4</v>
      </c>
      <c r="E707" s="5">
        <f>Data!I707</f>
        <v>0</v>
      </c>
    </row>
    <row r="708" spans="1:5" x14ac:dyDescent="0.2">
      <c r="A708" s="2">
        <f>Data!A708</f>
        <v>45092</v>
      </c>
      <c r="B708" s="5">
        <f>Data!F708</f>
        <v>9.0515588186947937E-3</v>
      </c>
      <c r="C708" s="5">
        <f>Data!G708</f>
        <v>1.6689098250336487E-2</v>
      </c>
      <c r="D708" s="5">
        <f>Data!H708</f>
        <v>2.572163475278666E-3</v>
      </c>
      <c r="E708" s="5">
        <f>Data!I708</f>
        <v>4.1981528127621459E-4</v>
      </c>
    </row>
    <row r="709" spans="1:5" x14ac:dyDescent="0.2">
      <c r="A709" s="2">
        <f>Data!A709</f>
        <v>45091</v>
      </c>
      <c r="B709" s="5">
        <f>Data!F709</f>
        <v>-3.1133930522175834E-3</v>
      </c>
      <c r="C709" s="5">
        <f>Data!G709</f>
        <v>-2.1853607161664068E-2</v>
      </c>
      <c r="D709" s="5">
        <f>Data!H709</f>
        <v>-1.4643762320473153E-2</v>
      </c>
      <c r="E709" s="5">
        <f>Data!I709</f>
        <v>0</v>
      </c>
    </row>
    <row r="710" spans="1:5" x14ac:dyDescent="0.2">
      <c r="A710" s="2">
        <f>Data!A710</f>
        <v>45090</v>
      </c>
      <c r="B710" s="5">
        <f>Data!F710</f>
        <v>6.3100499087571649E-3</v>
      </c>
      <c r="C710" s="5">
        <f>Data!G710</f>
        <v>7.4270557029176842E-3</v>
      </c>
      <c r="D710" s="5">
        <f>Data!H710</f>
        <v>-6.713286713286748E-3</v>
      </c>
      <c r="E710" s="5">
        <f>Data!I710</f>
        <v>4.1999160016792381E-4</v>
      </c>
    </row>
    <row r="711" spans="1:5" x14ac:dyDescent="0.2">
      <c r="A711" s="2">
        <f>Data!A711</f>
        <v>45089</v>
      </c>
      <c r="B711" s="5">
        <f>Data!F711</f>
        <v>9.9309992616976039E-3</v>
      </c>
      <c r="C711" s="5">
        <f>Data!G711</f>
        <v>6.5272675897146026E-2</v>
      </c>
      <c r="D711" s="5">
        <f>Data!H711</f>
        <v>1.3987970345508138E-4</v>
      </c>
      <c r="E711" s="5">
        <f>Data!I711</f>
        <v>0</v>
      </c>
    </row>
    <row r="712" spans="1:5" x14ac:dyDescent="0.2">
      <c r="A712" s="2">
        <f>Data!A712</f>
        <v>45088</v>
      </c>
      <c r="B712" s="5">
        <f>Data!F712</f>
        <v>2.2764877680425677E-4</v>
      </c>
      <c r="C712" s="5">
        <f>Data!G712</f>
        <v>-8.469791078486999E-4</v>
      </c>
      <c r="D712" s="5">
        <f>Data!H712</f>
        <v>2.4065320154705638E-2</v>
      </c>
      <c r="E712" s="5">
        <f>Data!I712</f>
        <v>2.9486099410278577E-3</v>
      </c>
    </row>
    <row r="713" spans="1:5" x14ac:dyDescent="0.2">
      <c r="A713" s="2">
        <f>Data!A713</f>
        <v>45085</v>
      </c>
      <c r="B713" s="5">
        <f>Data!F713</f>
        <v>5.869835968522974E-3</v>
      </c>
      <c r="C713" s="5">
        <f>Data!G713</f>
        <v>-5.3355798932883669E-3</v>
      </c>
      <c r="D713" s="5">
        <f>Data!H713</f>
        <v>-3.99486374661151E-3</v>
      </c>
      <c r="E713" s="5">
        <f>Data!I713</f>
        <v>0</v>
      </c>
    </row>
    <row r="714" spans="1:5" x14ac:dyDescent="0.2">
      <c r="A714" s="2">
        <f>Data!A714</f>
        <v>45084</v>
      </c>
      <c r="B714" s="5">
        <f>Data!F714</f>
        <v>1.9855893828496507E-2</v>
      </c>
      <c r="C714" s="5">
        <f>Data!G714</f>
        <v>4.092370651856192E-2</v>
      </c>
      <c r="D714" s="5">
        <f>Data!H714</f>
        <v>7.9091170549323575E-3</v>
      </c>
      <c r="E714" s="5">
        <f>Data!I714</f>
        <v>5.0804403048263502E-3</v>
      </c>
    </row>
    <row r="715" spans="1:5" x14ac:dyDescent="0.2">
      <c r="A715" s="2">
        <f>Data!A715</f>
        <v>45083</v>
      </c>
      <c r="B715" s="5">
        <f>Data!F715</f>
        <v>-6.4851650434889496E-3</v>
      </c>
      <c r="C715" s="5">
        <f>Data!G715</f>
        <v>-2.6239067055393583E-3</v>
      </c>
      <c r="D715" s="5">
        <f>Data!H715</f>
        <v>-2.1940928270042237E-2</v>
      </c>
      <c r="E715" s="5">
        <f>Data!I715</f>
        <v>0</v>
      </c>
    </row>
    <row r="716" spans="1:5" x14ac:dyDescent="0.2">
      <c r="A716" s="2">
        <f>Data!A716</f>
        <v>45082</v>
      </c>
      <c r="B716" s="5">
        <f>Data!F716</f>
        <v>2.763528236789492E-3</v>
      </c>
      <c r="C716" s="5">
        <f>Data!G716</f>
        <v>6.7508071617259358E-3</v>
      </c>
      <c r="D716" s="5">
        <f>Data!H716</f>
        <v>5.6290458767249696E-4</v>
      </c>
      <c r="E716" s="5">
        <f>Data!I716</f>
        <v>2.5466893039050031E-3</v>
      </c>
    </row>
    <row r="717" spans="1:5" x14ac:dyDescent="0.2">
      <c r="A717" s="2">
        <f>Data!A717</f>
        <v>45081</v>
      </c>
      <c r="B717" s="5">
        <f>Data!F717</f>
        <v>1.9384172195773708E-2</v>
      </c>
      <c r="C717" s="5">
        <f>Data!G717</f>
        <v>2.7442702050663348E-2</v>
      </c>
      <c r="D717" s="5">
        <f>Data!H717</f>
        <v>-1.1545416608707781E-2</v>
      </c>
      <c r="E717" s="5">
        <f>Data!I717</f>
        <v>7.2680632749038132E-3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18D05-A3C4-7B4C-B43D-B18AED256C8E}">
  <dimension ref="A1:AA63"/>
  <sheetViews>
    <sheetView topLeftCell="B14" zoomScale="69" zoomScaleNormal="91" workbookViewId="0">
      <selection activeCell="N39" sqref="N39"/>
    </sheetView>
  </sheetViews>
  <sheetFormatPr baseColWidth="10" defaultRowHeight="16" x14ac:dyDescent="0.2"/>
  <cols>
    <col min="1" max="1" width="14.1640625" customWidth="1"/>
    <col min="2" max="2" width="35" bestFit="1" customWidth="1"/>
    <col min="3" max="3" width="7.6640625" customWidth="1"/>
    <col min="4" max="4" width="17.83203125" customWidth="1"/>
    <col min="5" max="5" width="10.6640625" customWidth="1"/>
    <col min="6" max="6" width="35" bestFit="1" customWidth="1"/>
    <col min="7" max="7" width="6.33203125" bestFit="1" customWidth="1"/>
    <col min="13" max="13" width="22.5" customWidth="1"/>
    <col min="20" max="20" width="19.1640625" customWidth="1"/>
  </cols>
  <sheetData>
    <row r="1" spans="1:21" ht="18" x14ac:dyDescent="0.25">
      <c r="A1" s="23" t="s">
        <v>158</v>
      </c>
    </row>
    <row r="2" spans="1:21" x14ac:dyDescent="0.2">
      <c r="A2" s="16"/>
      <c r="H2" s="3" t="s">
        <v>148</v>
      </c>
    </row>
    <row r="3" spans="1:21" x14ac:dyDescent="0.2">
      <c r="A3" s="16"/>
    </row>
    <row r="4" spans="1:21" x14ac:dyDescent="0.2">
      <c r="A4" s="16"/>
    </row>
    <row r="5" spans="1:21" x14ac:dyDescent="0.2">
      <c r="A5" s="16"/>
    </row>
    <row r="6" spans="1:21" x14ac:dyDescent="0.2">
      <c r="A6" s="16"/>
    </row>
    <row r="7" spans="1:21" x14ac:dyDescent="0.2">
      <c r="A7" s="16"/>
    </row>
    <row r="8" spans="1:21" x14ac:dyDescent="0.2">
      <c r="A8" s="16"/>
    </row>
    <row r="9" spans="1:21" x14ac:dyDescent="0.2">
      <c r="A9" s="16"/>
    </row>
    <row r="10" spans="1:21" x14ac:dyDescent="0.2">
      <c r="A10" s="16"/>
    </row>
    <row r="11" spans="1:21" x14ac:dyDescent="0.2">
      <c r="A11" s="16"/>
    </row>
    <row r="13" spans="1:21" x14ac:dyDescent="0.2">
      <c r="A13" s="3" t="s">
        <v>149</v>
      </c>
      <c r="F13" s="3"/>
    </row>
    <row r="14" spans="1:21" x14ac:dyDescent="0.2">
      <c r="A14" s="3" t="s">
        <v>14</v>
      </c>
      <c r="B14" s="3" t="s">
        <v>94</v>
      </c>
      <c r="C14" s="3" t="s">
        <v>95</v>
      </c>
      <c r="E14" s="3" t="s">
        <v>96</v>
      </c>
      <c r="M14" s="3" t="s">
        <v>161</v>
      </c>
      <c r="U14" s="3" t="s">
        <v>163</v>
      </c>
    </row>
    <row r="15" spans="1:21" x14ac:dyDescent="0.2">
      <c r="A15">
        <v>1</v>
      </c>
      <c r="B15" t="s">
        <v>20</v>
      </c>
      <c r="C15" s="6">
        <v>-5</v>
      </c>
      <c r="E15" s="7" t="s">
        <v>97</v>
      </c>
      <c r="F15" s="7" t="s">
        <v>94</v>
      </c>
      <c r="G15" s="7" t="s">
        <v>69</v>
      </c>
      <c r="H15" s="7" t="s">
        <v>98</v>
      </c>
      <c r="I15" s="7" t="s">
        <v>99</v>
      </c>
      <c r="J15" s="7" t="s">
        <v>159</v>
      </c>
      <c r="K15" s="7" t="s">
        <v>160</v>
      </c>
    </row>
    <row r="16" spans="1:21" ht="18" x14ac:dyDescent="0.25">
      <c r="A16">
        <v>2</v>
      </c>
      <c r="B16" t="s">
        <v>22</v>
      </c>
      <c r="C16" s="6">
        <v>2</v>
      </c>
      <c r="E16">
        <v>1</v>
      </c>
      <c r="F16" t="str" cm="1">
        <f t="array" ref="F16">INDEX($B$15:$B$26,MOD(E16-1,12)+1)</f>
        <v>Hamas attack; Israel declares war</v>
      </c>
      <c r="G16" t="s">
        <v>2</v>
      </c>
      <c r="H16" s="17">
        <f ca="1">Fattal!I41</f>
        <v>5.0423102214775861E-2</v>
      </c>
      <c r="I16" s="18">
        <f t="shared" ref="I16:I27" si="0">C15</f>
        <v>-5</v>
      </c>
      <c r="J16" s="23" cm="1">
        <f t="array" aca="1" ref="J16" ca="1">CHOOSE(MATCH(G16,{"Fattal","Isrotel","Dan"},0),INDEX(Fattal!$F$25:$F$36,MOD(E16-1,12)+1),INDEX(Isrotel!$F$25:$F$36,MOD(E16-1,12)+1),INDEX(Dan!$F$25:$F$36,MOD(E16-1,12)+1))</f>
        <v>1.4028615278337524</v>
      </c>
      <c r="K16" cm="1">
        <f t="array" aca="1" ref="K16" ca="1">CHOOSE(MATCH(G16,{"Fattal","Isrotel","Dan"},0),INDEX(Fattal!$I$25:$I$36,MOD(E16-1,12)+1),INDEX(Isrotel!$I$25:$I$36,MOD(E16-1,12)+1),INDEX(Dan!$I$25:$I$36,MOD(E16-1,12)+1))</f>
        <v>1.8253548980771618E-2</v>
      </c>
      <c r="M16" s="3" t="s">
        <v>124</v>
      </c>
      <c r="U16" s="3" t="s">
        <v>124</v>
      </c>
    </row>
    <row r="17" spans="1:27" ht="18" x14ac:dyDescent="0.25">
      <c r="A17">
        <v>3</v>
      </c>
      <c r="B17" t="s">
        <v>23</v>
      </c>
      <c r="C17" s="6">
        <v>-4</v>
      </c>
      <c r="E17">
        <v>2</v>
      </c>
      <c r="F17" t="str" cm="1">
        <f t="array" ref="F17">INDEX($B$15:$B$26,MOD(E17-1,12)+1)</f>
        <v>First hostage truce (105 freed)</v>
      </c>
      <c r="G17" t="s">
        <v>2</v>
      </c>
      <c r="H17" s="17">
        <f ca="1">Fattal!I65</f>
        <v>1.1936388455278113E-3</v>
      </c>
      <c r="I17" s="18">
        <f t="shared" si="0"/>
        <v>2</v>
      </c>
      <c r="J17" s="23" cm="1">
        <f t="array" aca="1" ref="J17" ca="1">CHOOSE(MATCH(G17,{"Fattal","Isrotel","Dan"},0),INDEX(Fattal!$F$25:$F$36,MOD(E17-1,12)+1),INDEX(Isrotel!$F$25:$F$36,MOD(E17-1,12)+1),INDEX(Dan!$F$25:$F$36,MOD(E17-1,12)+1))</f>
        <v>1.3515287146880119</v>
      </c>
      <c r="K17" cm="1">
        <f t="array" aca="1" ref="K17" ca="1">CHOOSE(MATCH(G17,{"Fattal","Isrotel","Dan"},0),INDEX(Fattal!$I$25:$I$36,MOD(E17-1,12)+1),INDEX(Isrotel!$I$25:$I$36,MOD(E17-1,12)+1),INDEX(Dan!$I$25:$I$36,MOD(E17-1,12)+1))</f>
        <v>1.7779337991007324E-2</v>
      </c>
      <c r="M17" t="s">
        <v>125</v>
      </c>
      <c r="N17" s="10">
        <f ca="1">SQRT(N18)</f>
        <v>0.30454764322157657</v>
      </c>
      <c r="U17" t="s">
        <v>125</v>
      </c>
      <c r="V17" s="10">
        <f ca="1">SQRT(V18)</f>
        <v>0.37896761424473796</v>
      </c>
    </row>
    <row r="18" spans="1:27" ht="18" x14ac:dyDescent="0.25">
      <c r="A18">
        <v>4</v>
      </c>
      <c r="B18" t="s">
        <v>24</v>
      </c>
      <c r="C18" s="6">
        <v>-2</v>
      </c>
      <c r="E18">
        <v>3</v>
      </c>
      <c r="F18" t="str" cm="1">
        <f t="array" ref="F18">INDEX($B$15:$B$26,MOD(E18-1,12)+1)</f>
        <v>Iran first direct attack</v>
      </c>
      <c r="G18" t="s">
        <v>2</v>
      </c>
      <c r="H18" s="17">
        <f ca="1">Fattal!I89</f>
        <v>-1.9984934573433089E-2</v>
      </c>
      <c r="I18" s="18">
        <f t="shared" si="0"/>
        <v>-4</v>
      </c>
      <c r="J18" s="23" cm="1">
        <f t="array" aca="1" ref="J18" ca="1">CHOOSE(MATCH(G18,{"Fattal","Isrotel","Dan"},0),INDEX(Fattal!$F$25:$F$36,MOD(E18-1,12)+1),INDEX(Isrotel!$F$25:$F$36,MOD(E18-1,12)+1),INDEX(Dan!$F$25:$F$36,MOD(E18-1,12)+1))</f>
        <v>1.1217334273267003</v>
      </c>
      <c r="K18" cm="1">
        <f t="array" aca="1" ref="K18" ca="1">CHOOSE(MATCH(G18,{"Fattal","Isrotel","Dan"},0),INDEX(Fattal!$I$25:$I$36,MOD(E18-1,12)+1),INDEX(Isrotel!$I$25:$I$36,MOD(E18-1,12)+1),INDEX(Dan!$I$25:$I$36,MOD(E18-1,12)+1))</f>
        <v>1.5674184351158579E-2</v>
      </c>
      <c r="M18" s="3" t="s">
        <v>126</v>
      </c>
      <c r="N18" s="10">
        <f ca="1">INDEX(LINEST(H16:H51,I16:J51,TRUE,TRUE),3,1)</f>
        <v>9.2749266991816709E-2</v>
      </c>
      <c r="U18" s="3" t="s">
        <v>126</v>
      </c>
      <c r="V18" s="10">
        <f ca="1">INDEX(LINEST(H16:H51,I16:K51,TRUE,TRUE),3,1)</f>
        <v>0.14361645264634851</v>
      </c>
    </row>
    <row r="19" spans="1:27" ht="18" x14ac:dyDescent="0.25">
      <c r="A19">
        <v>5</v>
      </c>
      <c r="B19" t="s">
        <v>25</v>
      </c>
      <c r="C19" s="6">
        <v>-4</v>
      </c>
      <c r="E19">
        <v>4</v>
      </c>
      <c r="F19" t="str" cm="1">
        <f t="array" ref="F19">INDEX($B$15:$B$26,MOD(E19-1,12)+1)</f>
        <v>Haniyeh assassinated in Tehran</v>
      </c>
      <c r="G19" t="s">
        <v>2</v>
      </c>
      <c r="H19" s="17">
        <f ca="1">Fattal!I113</f>
        <v>4.8051618379838512E-3</v>
      </c>
      <c r="I19" s="18">
        <f t="shared" si="0"/>
        <v>-2</v>
      </c>
      <c r="J19" s="23" cm="1">
        <f t="array" aca="1" ref="J19" ca="1">CHOOSE(MATCH(G19,{"Fattal","Isrotel","Dan"},0),INDEX(Fattal!$F$25:$F$36,MOD(E19-1,12)+1),INDEX(Isrotel!$F$25:$F$36,MOD(E19-1,12)+1),INDEX(Dan!$F$25:$F$36,MOD(E19-1,12)+1))</f>
        <v>1.1850264402160997</v>
      </c>
      <c r="K19" cm="1">
        <f t="array" aca="1" ref="K19" ca="1">CHOOSE(MATCH(G19,{"Fattal","Isrotel","Dan"},0),INDEX(Fattal!$I$25:$I$36,MOD(E19-1,12)+1),INDEX(Isrotel!$I$25:$I$36,MOD(E19-1,12)+1),INDEX(Dan!$I$25:$I$36,MOD(E19-1,12)+1))</f>
        <v>1.4435731031486624E-2</v>
      </c>
      <c r="M19" t="s">
        <v>127</v>
      </c>
      <c r="N19" s="10">
        <f ca="1">1-(1-N18)*(N21-1)/(N21-2-1)</f>
        <v>3.7764374082229879E-2</v>
      </c>
      <c r="U19" t="s">
        <v>127</v>
      </c>
      <c r="V19" s="10">
        <f ca="1">1-(1-V18)*(V21-1)/(V21-3-1)</f>
        <v>6.3330495081943661E-2</v>
      </c>
    </row>
    <row r="20" spans="1:27" ht="18" x14ac:dyDescent="0.25">
      <c r="A20">
        <v>6</v>
      </c>
      <c r="B20" t="s">
        <v>26</v>
      </c>
      <c r="C20" s="6">
        <v>3</v>
      </c>
      <c r="E20">
        <v>5</v>
      </c>
      <c r="F20" t="str" cm="1">
        <f t="array" ref="F20">INDEX($B$15:$B$26,MOD(E20-1,12)+1)</f>
        <v>Iran second attack (~180 missiles)</v>
      </c>
      <c r="G20" t="s">
        <v>2</v>
      </c>
      <c r="H20" s="17">
        <f ca="1">Fattal!I137</f>
        <v>-1.9452504483627009E-2</v>
      </c>
      <c r="I20" s="18">
        <f t="shared" si="0"/>
        <v>-4</v>
      </c>
      <c r="J20" s="23" cm="1">
        <f t="array" aca="1" ref="J20" ca="1">CHOOSE(MATCH(G20,{"Fattal","Isrotel","Dan"},0),INDEX(Fattal!$F$25:$F$36,MOD(E20-1,12)+1),INDEX(Isrotel!$F$25:$F$36,MOD(E20-1,12)+1),INDEX(Dan!$F$25:$F$36,MOD(E20-1,12)+1))</f>
        <v>1.2128881294793152</v>
      </c>
      <c r="K20" cm="1">
        <f t="array" aca="1" ref="K20" ca="1">CHOOSE(MATCH(G20,{"Fattal","Isrotel","Dan"},0),INDEX(Fattal!$I$25:$I$36,MOD(E20-1,12)+1),INDEX(Isrotel!$I$25:$I$36,MOD(E20-1,12)+1),INDEX(Dan!$I$25:$I$36,MOD(E20-1,12)+1))</f>
        <v>1.468459864973683E-2</v>
      </c>
      <c r="M20" s="3" t="s">
        <v>128</v>
      </c>
      <c r="N20" s="10">
        <f ca="1">INDEX(LINEST(H16:H51,I16:J51,TRUE,TRUE),3,2)</f>
        <v>8.3652489661571044E-2</v>
      </c>
      <c r="U20" s="3" t="s">
        <v>128</v>
      </c>
      <c r="V20" s="10">
        <f ca="1">INDEX(LINEST(H16:H51,I16:K51,TRUE,TRUE),3,2)</f>
        <v>8.253370577125263E-2</v>
      </c>
    </row>
    <row r="21" spans="1:27" ht="18" x14ac:dyDescent="0.25">
      <c r="A21">
        <v>7</v>
      </c>
      <c r="B21" t="s">
        <v>27</v>
      </c>
      <c r="C21" s="6">
        <v>4</v>
      </c>
      <c r="E21">
        <v>6</v>
      </c>
      <c r="F21" t="str" cm="1">
        <f t="array" ref="F21">INDEX($B$15:$B$26,MOD(E21-1,12)+1)</f>
        <v>Israel-Lebanon ceasefire</v>
      </c>
      <c r="G21" t="s">
        <v>2</v>
      </c>
      <c r="H21" s="17">
        <f ca="1">Fattal!I161</f>
        <v>5.5939725280277797E-2</v>
      </c>
      <c r="I21" s="18">
        <f t="shared" si="0"/>
        <v>3</v>
      </c>
      <c r="J21" s="23" cm="1">
        <f t="array" aca="1" ref="J21" ca="1">CHOOSE(MATCH(G21,{"Fattal","Isrotel","Dan"},0),INDEX(Fattal!$F$25:$F$36,MOD(E21-1,12)+1),INDEX(Isrotel!$F$25:$F$36,MOD(E21-1,12)+1),INDEX(Dan!$F$25:$F$36,MOD(E21-1,12)+1))</f>
        <v>1.285762114103892</v>
      </c>
      <c r="K21" cm="1">
        <f t="array" aca="1" ref="K21" ca="1">CHOOSE(MATCH(G21,{"Fattal","Isrotel","Dan"},0),INDEX(Fattal!$I$25:$I$36,MOD(E21-1,12)+1),INDEX(Isrotel!$I$25:$I$36,MOD(E21-1,12)+1),INDEX(Dan!$I$25:$I$36,MOD(E21-1,12)+1))</f>
        <v>1.4930031897311267E-2</v>
      </c>
      <c r="M21" t="s">
        <v>129</v>
      </c>
      <c r="N21">
        <f ca="1">COUNT(H16:H51)</f>
        <v>36</v>
      </c>
      <c r="U21" t="s">
        <v>129</v>
      </c>
      <c r="V21">
        <f ca="1">COUNT(H16:H51)</f>
        <v>36</v>
      </c>
    </row>
    <row r="22" spans="1:27" ht="18" x14ac:dyDescent="0.25">
      <c r="A22">
        <v>8</v>
      </c>
      <c r="B22" t="s">
        <v>28</v>
      </c>
      <c r="C22" s="6">
        <v>1</v>
      </c>
      <c r="E22">
        <v>7</v>
      </c>
      <c r="F22" t="str" cm="1">
        <f t="array" ref="F22">INDEX($B$15:$B$26,MOD(E22-1,12)+1)</f>
        <v>Gaza ceasefire (33 hostages)</v>
      </c>
      <c r="G22" t="s">
        <v>2</v>
      </c>
      <c r="H22" s="17">
        <f ca="1">Fattal!I185</f>
        <v>-6.387440041331971E-2</v>
      </c>
      <c r="I22" s="18">
        <f t="shared" si="0"/>
        <v>4</v>
      </c>
      <c r="J22" s="23" cm="1">
        <f t="array" aca="1" ref="J22" ca="1">CHOOSE(MATCH(G22,{"Fattal","Isrotel","Dan"},0),INDEX(Fattal!$F$25:$F$36,MOD(E22-1,12)+1),INDEX(Isrotel!$F$25:$F$36,MOD(E22-1,12)+1),INDEX(Dan!$F$25:$F$36,MOD(E22-1,12)+1))</f>
        <v>1.2085726701151118</v>
      </c>
      <c r="K22" cm="1">
        <f t="array" aca="1" ref="K22" ca="1">CHOOSE(MATCH(G22,{"Fattal","Isrotel","Dan"},0),INDEX(Fattal!$I$25:$I$36,MOD(E22-1,12)+1),INDEX(Isrotel!$I$25:$I$36,MOD(E22-1,12)+1),INDEX(Dan!$I$25:$I$36,MOD(E22-1,12)+1))</f>
        <v>1.4935076407362935E-2</v>
      </c>
    </row>
    <row r="23" spans="1:27" ht="18" x14ac:dyDescent="0.25">
      <c r="A23">
        <v>9</v>
      </c>
      <c r="B23" t="s">
        <v>29</v>
      </c>
      <c r="C23" s="6">
        <v>-4</v>
      </c>
      <c r="E23">
        <v>8</v>
      </c>
      <c r="F23" t="str" cm="1">
        <f t="array" ref="F23">INDEX($B$15:$B$26,MOD(E23-1,12)+1)</f>
        <v>Edan Alexander released</v>
      </c>
      <c r="G23" t="s">
        <v>2</v>
      </c>
      <c r="H23" s="17">
        <f ca="1">Fattal!I209</f>
        <v>3.6388015330041767E-2</v>
      </c>
      <c r="I23" s="18">
        <f t="shared" si="0"/>
        <v>1</v>
      </c>
      <c r="J23" s="23" cm="1">
        <f t="array" aca="1" ref="J23" ca="1">CHOOSE(MATCH(G23,{"Fattal","Isrotel","Dan"},0),INDEX(Fattal!$F$25:$F$36,MOD(E23-1,12)+1),INDEX(Isrotel!$F$25:$F$36,MOD(E23-1,12)+1),INDEX(Dan!$F$25:$F$36,MOD(E23-1,12)+1))</f>
        <v>1.1120020118193856</v>
      </c>
      <c r="K23" cm="1">
        <f t="array" aca="1" ref="K23" ca="1">CHOOSE(MATCH(G23,{"Fattal","Isrotel","Dan"},0),INDEX(Fattal!$I$25:$I$36,MOD(E23-1,12)+1),INDEX(Isrotel!$I$25:$I$36,MOD(E23-1,12)+1),INDEX(Dan!$I$25:$I$36,MOD(E23-1,12)+1))</f>
        <v>1.6032162879685855E-2</v>
      </c>
      <c r="M23" s="3" t="s">
        <v>130</v>
      </c>
      <c r="U23" s="3" t="s">
        <v>130</v>
      </c>
    </row>
    <row r="24" spans="1:27" ht="18" x14ac:dyDescent="0.25">
      <c r="A24">
        <v>10</v>
      </c>
      <c r="B24" t="s">
        <v>30</v>
      </c>
      <c r="C24" s="6">
        <v>5</v>
      </c>
      <c r="E24">
        <v>9</v>
      </c>
      <c r="F24" t="str" cm="1">
        <f t="array" ref="F24">INDEX($B$15:$B$26,MOD(E24-1,12)+1)</f>
        <v>12-Day War begins</v>
      </c>
      <c r="G24" t="s">
        <v>2</v>
      </c>
      <c r="H24" s="17">
        <f ca="1">Fattal!I233</f>
        <v>-4.3536586039195635E-3</v>
      </c>
      <c r="I24" s="18">
        <f t="shared" si="0"/>
        <v>-4</v>
      </c>
      <c r="J24" s="23" cm="1">
        <f t="array" aca="1" ref="J24" ca="1">CHOOSE(MATCH(G24,{"Fattal","Isrotel","Dan"},0),INDEX(Fattal!$F$25:$F$36,MOD(E24-1,12)+1),INDEX(Isrotel!$F$25:$F$36,MOD(E24-1,12)+1),INDEX(Dan!$F$25:$F$36,MOD(E24-1,12)+1))</f>
        <v>1.119146081869578</v>
      </c>
      <c r="K24" cm="1">
        <f t="array" aca="1" ref="K24" ca="1">CHOOSE(MATCH(G24,{"Fattal","Isrotel","Dan"},0),INDEX(Fattal!$I$25:$I$36,MOD(E24-1,12)+1),INDEX(Isrotel!$I$25:$I$36,MOD(E24-1,12)+1),INDEX(Dan!$I$25:$I$36,MOD(E24-1,12)+1))</f>
        <v>1.5880047433680058E-2</v>
      </c>
      <c r="N24" s="3" t="s">
        <v>131</v>
      </c>
      <c r="O24" s="3" t="s">
        <v>132</v>
      </c>
      <c r="P24" s="3" t="s">
        <v>133</v>
      </c>
      <c r="Q24" s="3" t="s">
        <v>134</v>
      </c>
      <c r="R24" s="3" t="s">
        <v>135</v>
      </c>
      <c r="V24" s="3" t="s">
        <v>131</v>
      </c>
      <c r="W24" s="3" t="s">
        <v>132</v>
      </c>
      <c r="X24" s="3" t="s">
        <v>133</v>
      </c>
      <c r="Y24" s="3" t="s">
        <v>134</v>
      </c>
      <c r="Z24" s="3" t="s">
        <v>135</v>
      </c>
    </row>
    <row r="25" spans="1:27" ht="18" x14ac:dyDescent="0.25">
      <c r="A25">
        <v>11</v>
      </c>
      <c r="B25" t="s">
        <v>31</v>
      </c>
      <c r="C25" s="6">
        <v>-5</v>
      </c>
      <c r="E25">
        <v>10</v>
      </c>
      <c r="F25" t="str" cm="1">
        <f t="array" ref="F25">INDEX($B$15:$B$26,MOD(E25-1,12)+1)</f>
        <v>Sharm el-Sheikh deal</v>
      </c>
      <c r="G25" t="s">
        <v>2</v>
      </c>
      <c r="H25" s="17">
        <f ca="1">Fattal!I257</f>
        <v>5.1303875214586903E-2</v>
      </c>
      <c r="I25" s="18">
        <f t="shared" si="0"/>
        <v>5</v>
      </c>
      <c r="J25" s="23" cm="1">
        <f t="array" aca="1" ref="J25" ca="1">CHOOSE(MATCH(G25,{"Fattal","Isrotel","Dan"},0),INDEX(Fattal!$F$25:$F$36,MOD(E25-1,12)+1),INDEX(Isrotel!$F$25:$F$36,MOD(E25-1,12)+1),INDEX(Dan!$F$25:$F$36,MOD(E25-1,12)+1))</f>
        <v>1.0944115020309486</v>
      </c>
      <c r="K25" cm="1">
        <f t="array" aca="1" ref="K25" ca="1">CHOOSE(MATCH(G25,{"Fattal","Isrotel","Dan"},0),INDEX(Fattal!$I$25:$I$36,MOD(E25-1,12)+1),INDEX(Isrotel!$I$25:$I$36,MOD(E25-1,12)+1),INDEX(Dan!$I$25:$I$36,MOD(E25-1,12)+1))</f>
        <v>1.5956257674465752E-2</v>
      </c>
      <c r="M25" t="s">
        <v>136</v>
      </c>
      <c r="N25">
        <v>2</v>
      </c>
      <c r="O25" s="25">
        <f ca="1">INDEX(LINEST(H16:H51,I16:J51,TRUE,TRUE),5,1)</f>
        <v>2.3607763186243913E-2</v>
      </c>
      <c r="P25" s="25">
        <f ca="1">O25/N25</f>
        <v>1.1803881593121957E-2</v>
      </c>
      <c r="Q25" s="22">
        <f ca="1">INDEX(LINEST(H16:H51,I16:J51,TRUE,TRUE),4,1)</f>
        <v>1.6868136334161241</v>
      </c>
      <c r="R25" s="10">
        <f ca="1">_xlfn.F.DIST.RT(Q25,N25,N26)</f>
        <v>0.20067852857686852</v>
      </c>
      <c r="U25" t="s">
        <v>136</v>
      </c>
      <c r="V25">
        <v>3</v>
      </c>
      <c r="W25" s="25">
        <f ca="1">INDEX(LINEST(H16:H51,I16:K51,TRUE,TRUE),5,1)</f>
        <v>3.6555148236616791E-2</v>
      </c>
      <c r="X25" s="25">
        <f ca="1">W25/V25</f>
        <v>1.2185049412205598E-2</v>
      </c>
      <c r="Y25" s="22">
        <f ca="1">INDEX(LINEST(H16:H51,I16:K51,TRUE,TRUE),4,1)</f>
        <v>1.7888116054559156</v>
      </c>
      <c r="Z25" s="10">
        <f ca="1">_xlfn.F.DIST.RT(Y25,V25,V26)</f>
        <v>0.16912899766599995</v>
      </c>
    </row>
    <row r="26" spans="1:27" ht="18" x14ac:dyDescent="0.25">
      <c r="A26">
        <v>12</v>
      </c>
      <c r="B26" t="s">
        <v>32</v>
      </c>
      <c r="C26" s="6">
        <v>4</v>
      </c>
      <c r="E26">
        <v>11</v>
      </c>
      <c r="F26" t="str" cm="1">
        <f t="array" ref="F26">INDEX($B$15:$B$26,MOD(E26-1,12)+1)</f>
        <v>2026 Israel-Iran war begins</v>
      </c>
      <c r="G26" t="s">
        <v>2</v>
      </c>
      <c r="H26" s="17">
        <f ca="1">Fattal!I281</f>
        <v>-4.100080399855599E-2</v>
      </c>
      <c r="I26" s="18">
        <f t="shared" si="0"/>
        <v>-5</v>
      </c>
      <c r="J26" s="23" cm="1">
        <f t="array" aca="1" ref="J26" ca="1">CHOOSE(MATCH(G26,{"Fattal","Isrotel","Dan"},0),INDEX(Fattal!$F$25:$F$36,MOD(E26-1,12)+1),INDEX(Isrotel!$F$25:$F$36,MOD(E26-1,12)+1),INDEX(Dan!$F$25:$F$36,MOD(E26-1,12)+1))</f>
        <v>1.0400682269413126</v>
      </c>
      <c r="K26" cm="1">
        <f t="array" aca="1" ref="K26" ca="1">CHOOSE(MATCH(G26,{"Fattal","Isrotel","Dan"},0),INDEX(Fattal!$I$25:$I$36,MOD(E26-1,12)+1),INDEX(Isrotel!$I$25:$I$36,MOD(E26-1,12)+1),INDEX(Dan!$I$25:$I$36,MOD(E26-1,12)+1))</f>
        <v>1.5699861196723314E-2</v>
      </c>
      <c r="M26" t="s">
        <v>137</v>
      </c>
      <c r="N26">
        <f ca="1">INDEX(LINEST(H16:H51,I16:J51,TRUE,TRUE),4,2)</f>
        <v>33</v>
      </c>
      <c r="O26" s="25">
        <f ca="1">INDEX(LINEST(H16:H51,I16:J51,TRUE,TRUE),5,2)</f>
        <v>0.23092538787711525</v>
      </c>
      <c r="P26" s="25">
        <f ca="1">O26/N26</f>
        <v>6.9977390265792503E-3</v>
      </c>
      <c r="U26" t="s">
        <v>137</v>
      </c>
      <c r="V26">
        <f ca="1">INDEX(LINEST(H16:H51,I16:K51,TRUE,TRUE),4,2)</f>
        <v>32</v>
      </c>
      <c r="W26" s="25">
        <f ca="1">INDEX(LINEST(H16:H51,I16:K51,TRUE,TRUE),5,2)</f>
        <v>0.21797800282674237</v>
      </c>
      <c r="X26" s="25">
        <f ca="1">W26/V26</f>
        <v>6.8118125883356992E-3</v>
      </c>
    </row>
    <row r="27" spans="1:27" ht="18" x14ac:dyDescent="0.25">
      <c r="E27">
        <v>12</v>
      </c>
      <c r="F27" t="str" cm="1">
        <f t="array" ref="F27">INDEX($B$15:$B$26,MOD(E27-1,12)+1)</f>
        <v>Pakistan-brokered ceasefire</v>
      </c>
      <c r="G27" t="s">
        <v>2</v>
      </c>
      <c r="H27" s="17">
        <f ca="1">Fattal!I305</f>
        <v>0.22754047072433825</v>
      </c>
      <c r="I27" s="18">
        <f t="shared" si="0"/>
        <v>4</v>
      </c>
      <c r="J27" s="23" cm="1">
        <f t="array" aca="1" ref="J27" ca="1">CHOOSE(MATCH(G27,{"Fattal","Isrotel","Dan"},0),INDEX(Fattal!$F$25:$F$36,MOD(E27-1,12)+1),INDEX(Isrotel!$F$25:$F$36,MOD(E27-1,12)+1),INDEX(Dan!$F$25:$F$36,MOD(E27-1,12)+1))</f>
        <v>1.0115584922531848</v>
      </c>
      <c r="K27" cm="1">
        <f t="array" aca="1" ref="K27" ca="1">CHOOSE(MATCH(G27,{"Fattal","Isrotel","Dan"},0),INDEX(Fattal!$I$25:$I$36,MOD(E27-1,12)+1),INDEX(Isrotel!$I$25:$I$36,MOD(E27-1,12)+1),INDEX(Dan!$I$25:$I$36,MOD(E27-1,12)+1))</f>
        <v>1.6206938647354605E-2</v>
      </c>
      <c r="M27" t="s">
        <v>138</v>
      </c>
      <c r="N27">
        <f ca="1">N25+N26</f>
        <v>35</v>
      </c>
      <c r="O27" s="25">
        <f ca="1">O25+O26</f>
        <v>0.25453315106335916</v>
      </c>
      <c r="U27" t="s">
        <v>138</v>
      </c>
      <c r="V27">
        <f ca="1">V25+V26</f>
        <v>35</v>
      </c>
      <c r="W27" s="25">
        <f ca="1">W25+W26</f>
        <v>0.25453315106335916</v>
      </c>
    </row>
    <row r="28" spans="1:27" ht="18" x14ac:dyDescent="0.25">
      <c r="E28">
        <v>13</v>
      </c>
      <c r="F28" t="str" cm="1">
        <f t="array" ref="F28">INDEX($B$15:$B$26,MOD(E28-1,12)+1)</f>
        <v>Hamas attack; Israel declares war</v>
      </c>
      <c r="G28" t="s">
        <v>3</v>
      </c>
      <c r="H28" s="17">
        <f ca="1">Isrotel!I41</f>
        <v>7.4946264904263149E-3</v>
      </c>
      <c r="I28" s="18">
        <f t="shared" ref="I28:I39" si="1">C15</f>
        <v>-5</v>
      </c>
      <c r="J28" s="23" cm="1">
        <f t="array" aca="1" ref="J28" ca="1">CHOOSE(MATCH(G28,{"Fattal","Isrotel","Dan"},0),INDEX(Fattal!$F$25:$F$36,MOD(E28-1,12)+1),INDEX(Isrotel!$F$25:$F$36,MOD(E28-1,12)+1),INDEX(Dan!$F$25:$F$36,MOD(E28-1,12)+1))</f>
        <v>0.20242167467609223</v>
      </c>
      <c r="K28" cm="1">
        <f t="array" aca="1" ref="K28" ca="1">CHOOSE(MATCH(G28,{"Fattal","Isrotel","Dan"},0),INDEX(Fattal!$I$25:$I$36,MOD(E28-1,12)+1),INDEX(Isrotel!$I$25:$I$36,MOD(E28-1,12)+1),INDEX(Dan!$I$25:$I$36,MOD(E28-1,12)+1))</f>
        <v>1.7755405362645301E-2</v>
      </c>
      <c r="L28" s="3"/>
      <c r="N28" s="3" t="s">
        <v>139</v>
      </c>
      <c r="O28" s="3" t="s">
        <v>128</v>
      </c>
      <c r="P28" s="3" t="s">
        <v>140</v>
      </c>
      <c r="Q28" s="3" t="s">
        <v>141</v>
      </c>
      <c r="R28" s="3" t="s">
        <v>142</v>
      </c>
      <c r="S28" s="3" t="s">
        <v>143</v>
      </c>
      <c r="V28" s="3" t="s">
        <v>139</v>
      </c>
      <c r="W28" s="3" t="s">
        <v>128</v>
      </c>
      <c r="X28" s="3" t="s">
        <v>140</v>
      </c>
      <c r="Y28" s="3" t="s">
        <v>141</v>
      </c>
      <c r="Z28" s="3" t="s">
        <v>142</v>
      </c>
      <c r="AA28" s="3" t="s">
        <v>143</v>
      </c>
    </row>
    <row r="29" spans="1:27" ht="18" x14ac:dyDescent="0.25">
      <c r="E29">
        <v>14</v>
      </c>
      <c r="F29" t="str" cm="1">
        <f t="array" ref="F29">INDEX($B$15:$B$26,MOD(E29-1,12)+1)</f>
        <v>First hostage truce (105 freed)</v>
      </c>
      <c r="G29" t="s">
        <v>3</v>
      </c>
      <c r="H29" s="17">
        <f ca="1">Isrotel!I65</f>
        <v>-5.7178438065959014E-3</v>
      </c>
      <c r="I29" s="18">
        <f t="shared" si="1"/>
        <v>2</v>
      </c>
      <c r="J29" s="23" cm="1">
        <f t="array" aca="1" ref="J29" ca="1">CHOOSE(MATCH(G29,{"Fattal","Isrotel","Dan"},0),INDEX(Fattal!$F$25:$F$36,MOD(E29-1,12)+1),INDEX(Isrotel!$F$25:$F$36,MOD(E29-1,12)+1),INDEX(Dan!$F$25:$F$36,MOD(E29-1,12)+1))</f>
        <v>0.32767132744187832</v>
      </c>
      <c r="K29" cm="1">
        <f t="array" aca="1" ref="K29" ca="1">CHOOSE(MATCH(G29,{"Fattal","Isrotel","Dan"},0),INDEX(Fattal!$I$25:$I$36,MOD(E29-1,12)+1),INDEX(Isrotel!$I$25:$I$36,MOD(E29-1,12)+1),INDEX(Dan!$I$25:$I$36,MOD(E29-1,12)+1))</f>
        <v>1.8130911184039238E-2</v>
      </c>
      <c r="L29" s="6"/>
      <c r="M29" s="3" t="s">
        <v>139</v>
      </c>
      <c r="U29" s="3" t="s">
        <v>139</v>
      </c>
    </row>
    <row r="30" spans="1:27" ht="18" x14ac:dyDescent="0.25">
      <c r="E30">
        <v>15</v>
      </c>
      <c r="F30" t="str" cm="1">
        <f t="array" ref="F30">INDEX($B$15:$B$26,MOD(E30-1,12)+1)</f>
        <v>Iran first direct attack</v>
      </c>
      <c r="G30" t="s">
        <v>3</v>
      </c>
      <c r="H30" s="17">
        <f ca="1">Isrotel!I89</f>
        <v>-5.6053722299910014E-2</v>
      </c>
      <c r="I30" s="18">
        <f t="shared" si="1"/>
        <v>-4</v>
      </c>
      <c r="J30" s="23" cm="1">
        <f t="array" aca="1" ref="J30" ca="1">CHOOSE(MATCH(G30,{"Fattal","Isrotel","Dan"},0),INDEX(Fattal!$F$25:$F$36,MOD(E30-1,12)+1),INDEX(Isrotel!$F$25:$F$36,MOD(E30-1,12)+1),INDEX(Dan!$F$25:$F$36,MOD(E30-1,12)+1))</f>
        <v>0.4361716317300528</v>
      </c>
      <c r="K30" cm="1">
        <f t="array" aca="1" ref="K30" ca="1">CHOOSE(MATCH(G30,{"Fattal","Isrotel","Dan"},0),INDEX(Fattal!$I$25:$I$36,MOD(E30-1,12)+1),INDEX(Isrotel!$I$25:$I$36,MOD(E30-1,12)+1),INDEX(Dan!$I$25:$I$36,MOD(E30-1,12)+1))</f>
        <v>1.8851354750825708E-2</v>
      </c>
      <c r="L30" s="6"/>
      <c r="M30" t="s">
        <v>100</v>
      </c>
      <c r="N30" s="10">
        <f ca="1">INDEX(LINEST(H16:H51,I16:J51,TRUE,TRUE),1,3)</f>
        <v>1.7359258512357869E-3</v>
      </c>
      <c r="O30" s="10">
        <f ca="1">INDEX(LINEST(H16:H51,I16:J51,TRUE,TRUE),2,3)</f>
        <v>2.6944958954470636E-2</v>
      </c>
      <c r="P30" s="22">
        <f ca="1">N30/O30</f>
        <v>6.4424883859315232E-2</v>
      </c>
      <c r="Q30" s="10">
        <f ca="1">_xlfn.T.DIST.2T(ABS(P30),$N$26)</f>
        <v>0.94902060617719308</v>
      </c>
      <c r="R30" s="10">
        <f ca="1">N30-_xlfn.T.INV.2T(0.05,$N$26)*O30</f>
        <v>-5.3084005330779283E-2</v>
      </c>
      <c r="S30" s="10">
        <f ca="1">N30+_xlfn.T.INV.2T(0.05,$N$26)*O30</f>
        <v>5.6555857033250861E-2</v>
      </c>
      <c r="U30" t="s">
        <v>100</v>
      </c>
      <c r="V30" s="10">
        <f ca="1">INDEX(LINEST(H16:H51,I16:K51,TRUE,TRUE),1,4)</f>
        <v>0.10878472023492099</v>
      </c>
      <c r="W30" s="10">
        <f ca="1">INDEX(LINEST(H16:H51,I16:K51,TRUE,TRUE),2,4)</f>
        <v>8.2071464720470486E-2</v>
      </c>
      <c r="X30" s="22">
        <f ca="1">V30/W30</f>
        <v>1.3254877393188234</v>
      </c>
      <c r="Y30" s="10">
        <f ca="1">_xlfn.T.DIST.2T(ABS(X30),$V$26)</f>
        <v>0.19439524256323831</v>
      </c>
      <c r="Z30" s="10">
        <f ca="1">V30-_xlfn.T.INV.2T(0.05,$V$26)*W30</f>
        <v>-5.8389382800814696E-2</v>
      </c>
      <c r="AA30" s="10">
        <f ca="1">V30+_xlfn.T.INV.2T(0.05,$V$26)*W30</f>
        <v>0.27595882327065668</v>
      </c>
    </row>
    <row r="31" spans="1:27" ht="18" x14ac:dyDescent="0.25">
      <c r="E31">
        <v>16</v>
      </c>
      <c r="F31" t="str" cm="1">
        <f t="array" ref="F31">INDEX($B$15:$B$26,MOD(E31-1,12)+1)</f>
        <v>Haniyeh assassinated in Tehran</v>
      </c>
      <c r="G31" t="s">
        <v>3</v>
      </c>
      <c r="H31" s="17">
        <f ca="1">Isrotel!I113</f>
        <v>-9.3958510644729931E-2</v>
      </c>
      <c r="I31" s="18">
        <f t="shared" si="1"/>
        <v>-2</v>
      </c>
      <c r="J31" s="23" cm="1">
        <f t="array" aca="1" ref="J31" ca="1">CHOOSE(MATCH(G31,{"Fattal","Isrotel","Dan"},0),INDEX(Fattal!$F$25:$F$36,MOD(E31-1,12)+1),INDEX(Isrotel!$F$25:$F$36,MOD(E31-1,12)+1),INDEX(Dan!$F$25:$F$36,MOD(E31-1,12)+1))</f>
        <v>0.52546814201719272</v>
      </c>
      <c r="K31" cm="1">
        <f t="array" aca="1" ref="K31" ca="1">CHOOSE(MATCH(G31,{"Fattal","Isrotel","Dan"},0),INDEX(Fattal!$I$25:$I$36,MOD(E31-1,12)+1),INDEX(Isrotel!$I$25:$I$36,MOD(E31-1,12)+1),INDEX(Dan!$I$25:$I$36,MOD(E31-1,12)+1))</f>
        <v>1.5338251010987297E-2</v>
      </c>
      <c r="M31" t="s">
        <v>95</v>
      </c>
      <c r="N31" s="10">
        <f ca="1">INDEX(LINEST(H16:H51,I16:J51,TRUE,TRUE),1,2)</f>
        <v>6.6569519498971457E-3</v>
      </c>
      <c r="O31" s="10">
        <f ca="1">INDEX(LINEST(H16:H51,I16:J51,TRUE,TRUE),2,2)</f>
        <v>3.7030688266184463E-3</v>
      </c>
      <c r="P31" s="22">
        <f ca="1">N31/O31</f>
        <v>1.7976851799365865</v>
      </c>
      <c r="Q31" s="10">
        <f ca="1">_xlfn.T.DIST.2T(ABS(P31),$N$26)</f>
        <v>8.1382657509213696E-2</v>
      </c>
      <c r="R31" s="10">
        <f ca="1">N31-_xlfn.T.INV.2T(0.05,$N$26)*O31</f>
        <v>-8.7699822536586002E-4</v>
      </c>
      <c r="S31" s="10">
        <f ca="1">N31+_xlfn.T.INV.2T(0.05,$N$26)*O31</f>
        <v>1.4190902125160151E-2</v>
      </c>
      <c r="U31" t="s">
        <v>95</v>
      </c>
      <c r="V31" s="10">
        <f ca="1">INDEX(LINEST(H16:H51,I16:K51,TRUE,TRUE),1,3)</f>
        <v>6.7731529644954091E-3</v>
      </c>
      <c r="W31" s="10">
        <f ca="1">INDEX(LINEST(H16:H51,I16:K51,TRUE,TRUE),2,3)</f>
        <v>3.6545153702905106E-3</v>
      </c>
      <c r="X31" s="22">
        <f ca="1">V31/W31</f>
        <v>1.8533655705919188</v>
      </c>
      <c r="Y31" s="10">
        <f ca="1">_xlfn.T.DIST.2T(ABS(X31),$V$26)</f>
        <v>7.3069918403728076E-2</v>
      </c>
      <c r="Z31" s="10">
        <f ca="1">V31-_xlfn.T.INV.2T(0.05,$V$26)*W31</f>
        <v>-6.7085124743676994E-4</v>
      </c>
      <c r="AA31" s="10">
        <f ca="1">V31+_xlfn.T.INV.2T(0.05,$V$26)*W31</f>
        <v>1.4217157176427589E-2</v>
      </c>
    </row>
    <row r="32" spans="1:27" ht="18" x14ac:dyDescent="0.25">
      <c r="E32">
        <v>17</v>
      </c>
      <c r="F32" t="str" cm="1">
        <f t="array" ref="F32">INDEX($B$15:$B$26,MOD(E32-1,12)+1)</f>
        <v>Iran second attack (~180 missiles)</v>
      </c>
      <c r="G32" t="s">
        <v>3</v>
      </c>
      <c r="H32" s="17">
        <f ca="1">Isrotel!I137</f>
        <v>-4.609679270160516E-2</v>
      </c>
      <c r="I32" s="18">
        <f t="shared" si="1"/>
        <v>-4</v>
      </c>
      <c r="J32" s="23" cm="1">
        <f t="array" aca="1" ref="J32" ca="1">CHOOSE(MATCH(G32,{"Fattal","Isrotel","Dan"},0),INDEX(Fattal!$F$25:$F$36,MOD(E32-1,12)+1),INDEX(Isrotel!$F$25:$F$36,MOD(E32-1,12)+1),INDEX(Dan!$F$25:$F$36,MOD(E32-1,12)+1))</f>
        <v>0.67927324895374963</v>
      </c>
      <c r="K32" cm="1">
        <f t="array" aca="1" ref="K32" ca="1">CHOOSE(MATCH(G32,{"Fattal","Isrotel","Dan"},0),INDEX(Fattal!$I$25:$I$36,MOD(E32-1,12)+1),INDEX(Isrotel!$I$25:$I$36,MOD(E32-1,12)+1),INDEX(Dan!$I$25:$I$36,MOD(E32-1,12)+1))</f>
        <v>1.6012594729731988E-2</v>
      </c>
      <c r="M32" t="s">
        <v>162</v>
      </c>
      <c r="N32" s="10">
        <f ca="1">INDEX(LINEST(H16:H51,I16:J51,TRUE,TRUE),1,1)</f>
        <v>8.3369531464786411E-3</v>
      </c>
      <c r="O32" s="10">
        <f ca="1">INDEX(LINEST(H16:H51,I16:J51,TRUE,TRUE),2,1)</f>
        <v>3.3100862054082907E-2</v>
      </c>
      <c r="P32" s="22">
        <f ca="1">N32/O32</f>
        <v>0.25186513671024768</v>
      </c>
      <c r="Q32" s="10">
        <f ca="1">_xlfn.T.DIST.2T(ABS(P32),$N$26)</f>
        <v>0.80270731734127199</v>
      </c>
      <c r="R32" s="10">
        <f ca="1">N32-_xlfn.T.INV.2T(0.05,$N$26)*O32</f>
        <v>-5.9007257061313406E-2</v>
      </c>
      <c r="S32" s="10">
        <f ca="1">N32+_xlfn.T.INV.2T(0.05,$N$26)*O32</f>
        <v>7.5681163354270692E-2</v>
      </c>
      <c r="U32" t="s">
        <v>162</v>
      </c>
      <c r="V32" s="10">
        <f ca="1">INDEX(LINEST(H16:H51,I16:K51,TRUE,TRUE),1,2)</f>
        <v>2.5383871850590007E-2</v>
      </c>
      <c r="W32" s="10">
        <f ca="1">INDEX(LINEST(H16:H51,I16:K51,TRUE,TRUE),2,2)</f>
        <v>3.4920529654858624E-2</v>
      </c>
      <c r="X32" s="22">
        <f ca="1">V32/W32</f>
        <v>0.72690397601281098</v>
      </c>
      <c r="Y32" s="10">
        <f ca="1">_xlfn.T.DIST.2T(ABS(X32),$V$26)</f>
        <v>0.47256933985890426</v>
      </c>
      <c r="Z32" s="10">
        <f ca="1">V32-_xlfn.T.INV.2T(0.05,$V$26)*W32</f>
        <v>-4.5746919374678785E-2</v>
      </c>
      <c r="AA32" s="10">
        <f ca="1">V32+_xlfn.T.INV.2T(0.05,$V$26)*W32</f>
        <v>9.6514663075858792E-2</v>
      </c>
    </row>
    <row r="33" spans="5:27" ht="18" x14ac:dyDescent="0.25">
      <c r="E33">
        <v>18</v>
      </c>
      <c r="F33" t="str" cm="1">
        <f t="array" ref="F33">INDEX($B$15:$B$26,MOD(E33-1,12)+1)</f>
        <v>Israel-Lebanon ceasefire</v>
      </c>
      <c r="G33" t="s">
        <v>3</v>
      </c>
      <c r="H33" s="17">
        <f ca="1">Isrotel!I161</f>
        <v>6.1173280675709041E-2</v>
      </c>
      <c r="I33" s="18">
        <f t="shared" si="1"/>
        <v>3</v>
      </c>
      <c r="J33" s="23" cm="1">
        <f t="array" aca="1" ref="J33" ca="1">CHOOSE(MATCH(G33,{"Fattal","Isrotel","Dan"},0),INDEX(Fattal!$F$25:$F$36,MOD(E33-1,12)+1),INDEX(Isrotel!$F$25:$F$36,MOD(E33-1,12)+1),INDEX(Dan!$F$25:$F$36,MOD(E33-1,12)+1))</f>
        <v>0.73853276348458885</v>
      </c>
      <c r="K33" cm="1">
        <f t="array" aca="1" ref="K33" ca="1">CHOOSE(MATCH(G33,{"Fattal","Isrotel","Dan"},0),INDEX(Fattal!$I$25:$I$36,MOD(E33-1,12)+1),INDEX(Isrotel!$I$25:$I$36,MOD(E33-1,12)+1),INDEX(Dan!$I$25:$I$36,MOD(E33-1,12)+1))</f>
        <v>1.5991545117874956E-2</v>
      </c>
      <c r="U33" t="s">
        <v>164</v>
      </c>
      <c r="V33" s="10">
        <f ca="1">INDEX(LINEST(H16:H51,I16:K51,TRUE,TRUE),1,1)</f>
        <v>-7.4035396139727592</v>
      </c>
      <c r="W33" s="10">
        <f ca="1">INDEX(LINEST(H16:H51,I16:K51,TRUE,TRUE),2,1)</f>
        <v>5.3700671693760418</v>
      </c>
      <c r="X33" s="22">
        <f ca="1">V33/W33</f>
        <v>-1.3786679720121622</v>
      </c>
      <c r="Y33" s="10">
        <f ca="1">_xlfn.T.DIST.2T(ABS(X33),$V$26)</f>
        <v>0.17755945317440702</v>
      </c>
      <c r="Z33" s="10">
        <f ca="1">V33-_xlfn.T.INV.2T(0.05,$V$26)*W33</f>
        <v>-18.342008487895221</v>
      </c>
      <c r="AA33" s="10">
        <f ca="1">V33+_xlfn.T.INV.2T(0.05,$V$26)*W33</f>
        <v>3.5349292599497026</v>
      </c>
    </row>
    <row r="34" spans="5:27" ht="18" x14ac:dyDescent="0.25">
      <c r="E34">
        <v>19</v>
      </c>
      <c r="F34" t="str" cm="1">
        <f t="array" ref="F34">INDEX($B$15:$B$26,MOD(E34-1,12)+1)</f>
        <v>Gaza ceasefire (33 hostages)</v>
      </c>
      <c r="G34" t="s">
        <v>3</v>
      </c>
      <c r="H34" s="17">
        <f ca="1">Isrotel!I185</f>
        <v>-2.9813781575676823E-2</v>
      </c>
      <c r="I34" s="18">
        <f t="shared" si="1"/>
        <v>4</v>
      </c>
      <c r="J34" s="23" cm="1">
        <f t="array" aca="1" ref="J34" ca="1">CHOOSE(MATCH(G34,{"Fattal","Isrotel","Dan"},0),INDEX(Fattal!$F$25:$F$36,MOD(E34-1,12)+1),INDEX(Isrotel!$F$25:$F$36,MOD(E34-1,12)+1),INDEX(Dan!$F$25:$F$36,MOD(E34-1,12)+1))</f>
        <v>0.73870749276569092</v>
      </c>
      <c r="K34" cm="1">
        <f t="array" aca="1" ref="K34" ca="1">CHOOSE(MATCH(G34,{"Fattal","Isrotel","Dan"},0),INDEX(Fattal!$I$25:$I$36,MOD(E34-1,12)+1),INDEX(Isrotel!$I$25:$I$36,MOD(E34-1,12)+1),INDEX(Dan!$I$25:$I$36,MOD(E34-1,12)+1))</f>
        <v>1.6174780423995658E-2</v>
      </c>
    </row>
    <row r="35" spans="5:27" ht="18" x14ac:dyDescent="0.25">
      <c r="E35">
        <v>20</v>
      </c>
      <c r="F35" t="str" cm="1">
        <f t="array" ref="F35">INDEX($B$15:$B$26,MOD(E35-1,12)+1)</f>
        <v>Edan Alexander released</v>
      </c>
      <c r="G35" t="s">
        <v>3</v>
      </c>
      <c r="H35" s="17">
        <f ca="1">Isrotel!I209</f>
        <v>4.9419364270012256E-2</v>
      </c>
      <c r="I35" s="18">
        <f t="shared" si="1"/>
        <v>1</v>
      </c>
      <c r="J35" s="23" cm="1">
        <f t="array" aca="1" ref="J35" ca="1">CHOOSE(MATCH(G35,{"Fattal","Isrotel","Dan"},0),INDEX(Fattal!$F$25:$F$36,MOD(E35-1,12)+1),INDEX(Isrotel!$F$25:$F$36,MOD(E35-1,12)+1),INDEX(Dan!$F$25:$F$36,MOD(E35-1,12)+1))</f>
        <v>0.8003972398508814</v>
      </c>
      <c r="K35" cm="1">
        <f t="array" aca="1" ref="K35" ca="1">CHOOSE(MATCH(G35,{"Fattal","Isrotel","Dan"},0),INDEX(Fattal!$I$25:$I$36,MOD(E35-1,12)+1),INDEX(Isrotel!$I$25:$I$36,MOD(E35-1,12)+1),INDEX(Dan!$I$25:$I$36,MOD(E35-1,12)+1))</f>
        <v>1.5805793930191568E-2</v>
      </c>
    </row>
    <row r="36" spans="5:27" ht="18" x14ac:dyDescent="0.25">
      <c r="E36">
        <v>21</v>
      </c>
      <c r="F36" t="str" cm="1">
        <f t="array" ref="F36">INDEX($B$15:$B$26,MOD(E36-1,12)+1)</f>
        <v>12-Day War begins</v>
      </c>
      <c r="G36" t="s">
        <v>3</v>
      </c>
      <c r="H36" s="17">
        <f ca="1">Isrotel!I233</f>
        <v>6.2360023546143228E-2</v>
      </c>
      <c r="I36" s="18">
        <f t="shared" si="1"/>
        <v>-4</v>
      </c>
      <c r="J36" s="23" cm="1">
        <f t="array" aca="1" ref="J36" ca="1">CHOOSE(MATCH(G36,{"Fattal","Isrotel","Dan"},0),INDEX(Fattal!$F$25:$F$36,MOD(E36-1,12)+1),INDEX(Isrotel!$F$25:$F$36,MOD(E36-1,12)+1),INDEX(Dan!$F$25:$F$36,MOD(E36-1,12)+1))</f>
        <v>0.87301138030999059</v>
      </c>
      <c r="K36" cm="1">
        <f t="array" aca="1" ref="K36" ca="1">CHOOSE(MATCH(G36,{"Fattal","Isrotel","Dan"},0),INDEX(Fattal!$I$25:$I$36,MOD(E36-1,12)+1),INDEX(Isrotel!$I$25:$I$36,MOD(E36-1,12)+1),INDEX(Dan!$I$25:$I$36,MOD(E36-1,12)+1))</f>
        <v>1.6170578449677106E-2</v>
      </c>
      <c r="M36" s="3" t="s">
        <v>165</v>
      </c>
    </row>
    <row r="37" spans="5:27" ht="18" x14ac:dyDescent="0.25">
      <c r="E37">
        <v>22</v>
      </c>
      <c r="F37" t="str" cm="1">
        <f t="array" ref="F37">INDEX($B$15:$B$26,MOD(E37-1,12)+1)</f>
        <v>Sharm el-Sheikh deal</v>
      </c>
      <c r="G37" t="s">
        <v>3</v>
      </c>
      <c r="H37" s="17">
        <f ca="1">Isrotel!I257</f>
        <v>-4.1318250337626594E-2</v>
      </c>
      <c r="I37" s="18">
        <f t="shared" si="1"/>
        <v>5</v>
      </c>
      <c r="J37" s="23" cm="1">
        <f t="array" aca="1" ref="J37" ca="1">CHOOSE(MATCH(G37,{"Fattal","Isrotel","Dan"},0),INDEX(Fattal!$F$25:$F$36,MOD(E37-1,12)+1),INDEX(Isrotel!$F$25:$F$36,MOD(E37-1,12)+1),INDEX(Dan!$F$25:$F$36,MOD(E37-1,12)+1))</f>
        <v>0.9953578990699018</v>
      </c>
      <c r="K37" cm="1">
        <f t="array" aca="1" ref="K37" ca="1">CHOOSE(MATCH(G37,{"Fattal","Isrotel","Dan"},0),INDEX(Fattal!$I$25:$I$36,MOD(E37-1,12)+1),INDEX(Isrotel!$I$25:$I$36,MOD(E37-1,12)+1),INDEX(Dan!$I$25:$I$36,MOD(E37-1,12)+1))</f>
        <v>2.0178646347266595E-2</v>
      </c>
      <c r="N37" s="3" t="s">
        <v>95</v>
      </c>
      <c r="O37" s="3" t="s">
        <v>162</v>
      </c>
      <c r="P37" s="3" t="s">
        <v>164</v>
      </c>
    </row>
    <row r="38" spans="5:27" ht="18" x14ac:dyDescent="0.25">
      <c r="E38">
        <v>23</v>
      </c>
      <c r="F38" t="str" cm="1">
        <f t="array" ref="F38">INDEX($B$15:$B$26,MOD(E38-1,12)+1)</f>
        <v>2026 Israel-Iran war begins</v>
      </c>
      <c r="G38" t="s">
        <v>3</v>
      </c>
      <c r="H38" s="17">
        <f ca="1">Isrotel!I281</f>
        <v>-9.5589893334343312E-2</v>
      </c>
      <c r="I38" s="18">
        <f t="shared" si="1"/>
        <v>-5</v>
      </c>
      <c r="J38" s="23" cm="1">
        <f t="array" aca="1" ref="J38" ca="1">CHOOSE(MATCH(G38,{"Fattal","Isrotel","Dan"},0),INDEX(Fattal!$F$25:$F$36,MOD(E38-1,12)+1),INDEX(Isrotel!$F$25:$F$36,MOD(E38-1,12)+1),INDEX(Dan!$F$25:$F$36,MOD(E38-1,12)+1))</f>
        <v>0.82484742251924714</v>
      </c>
      <c r="K38" cm="1">
        <f t="array" aca="1" ref="K38" ca="1">CHOOSE(MATCH(G38,{"Fattal","Isrotel","Dan"},0),INDEX(Fattal!$I$25:$I$36,MOD(E38-1,12)+1),INDEX(Isrotel!$I$25:$I$36,MOD(E38-1,12)+1),INDEX(Dan!$I$25:$I$36,MOD(E38-1,12)+1))</f>
        <v>2.3125207492923312E-2</v>
      </c>
      <c r="M38" s="3" t="s">
        <v>95</v>
      </c>
      <c r="N38" s="10">
        <f>CORREL(I16:I51,I16:I51)</f>
        <v>1.0000000000000002</v>
      </c>
      <c r="O38" s="10">
        <f ca="1">CORREL(I16:I51,J16:J51)</f>
        <v>6.8981423898070382E-2</v>
      </c>
      <c r="P38" s="10">
        <f ca="1">CORREL(I16:I51,K16:K51)</f>
        <v>4.6060871062093223E-2</v>
      </c>
    </row>
    <row r="39" spans="5:27" ht="18" x14ac:dyDescent="0.25">
      <c r="E39">
        <v>24</v>
      </c>
      <c r="F39" t="str" cm="1">
        <f t="array" ref="F39">INDEX($B$15:$B$26,MOD(E39-1,12)+1)</f>
        <v>Pakistan-brokered ceasefire</v>
      </c>
      <c r="G39" t="s">
        <v>3</v>
      </c>
      <c r="H39" s="17">
        <f ca="1">Isrotel!I305</f>
        <v>-1.1306386224107401E-2</v>
      </c>
      <c r="I39" s="18">
        <f t="shared" si="1"/>
        <v>4</v>
      </c>
      <c r="J39" s="23" cm="1">
        <f t="array" aca="1" ref="J39" ca="1">CHOOSE(MATCH(G39,{"Fattal","Isrotel","Dan"},0),INDEX(Fattal!$F$25:$F$36,MOD(E39-1,12)+1),INDEX(Isrotel!$F$25:$F$36,MOD(E39-1,12)+1),INDEX(Dan!$F$25:$F$36,MOD(E39-1,12)+1))</f>
        <v>0.86729297462373089</v>
      </c>
      <c r="K39" cm="1">
        <f t="array" aca="1" ref="K39" ca="1">CHOOSE(MATCH(G39,{"Fattal","Isrotel","Dan"},0),INDEX(Fattal!$I$25:$I$36,MOD(E39-1,12)+1),INDEX(Isrotel!$I$25:$I$36,MOD(E39-1,12)+1),INDEX(Dan!$I$25:$I$36,MOD(E39-1,12)+1))</f>
        <v>2.3560232000095452E-2</v>
      </c>
      <c r="M39" s="3" t="s">
        <v>162</v>
      </c>
      <c r="N39" s="10">
        <f ca="1">O38</f>
        <v>6.8981423898070382E-2</v>
      </c>
      <c r="O39" s="10">
        <f ca="1">CORREL(J16:J51,J16:J51)</f>
        <v>1</v>
      </c>
      <c r="P39" s="10">
        <f ca="1">CORREL(J16:J51,K16:K51)</f>
        <v>0.35604223080411229</v>
      </c>
    </row>
    <row r="40" spans="5:27" ht="18" x14ac:dyDescent="0.25">
      <c r="E40">
        <v>25</v>
      </c>
      <c r="F40" t="str" cm="1">
        <f t="array" ref="F40">INDEX($B$15:$B$26,MOD(E40-1,12)+1)</f>
        <v>Hamas attack; Israel declares war</v>
      </c>
      <c r="G40" t="s">
        <v>4</v>
      </c>
      <c r="H40" s="17">
        <f ca="1">Dan!I41</f>
        <v>-5.8397929323969811E-2</v>
      </c>
      <c r="I40" s="18">
        <f t="shared" ref="I40:I51" si="2">C15</f>
        <v>-5</v>
      </c>
      <c r="J40" s="23" cm="1">
        <f t="array" aca="1" ref="J40" ca="1">CHOOSE(MATCH(G40,{"Fattal","Isrotel","Dan"},0),INDEX(Fattal!$F$25:$F$36,MOD(E40-1,12)+1),INDEX(Isrotel!$F$25:$F$36,MOD(E40-1,12)+1),INDEX(Dan!$F$25:$F$36,MOD(E40-1,12)+1))</f>
        <v>0.11154208127770433</v>
      </c>
      <c r="K40" cm="1">
        <f t="array" aca="1" ref="K40" ca="1">CHOOSE(MATCH(G40,{"Fattal","Isrotel","Dan"},0),INDEX(Fattal!$I$25:$I$36,MOD(E40-1,12)+1),INDEX(Isrotel!$I$25:$I$36,MOD(E40-1,12)+1),INDEX(Dan!$I$25:$I$36,MOD(E40-1,12)+1))</f>
        <v>1.1768349548213033E-2</v>
      </c>
      <c r="M40" s="3" t="s">
        <v>164</v>
      </c>
      <c r="N40" s="10">
        <f ca="1">P38</f>
        <v>4.6060871062093223E-2</v>
      </c>
      <c r="O40" s="10">
        <f ca="1">P39</f>
        <v>0.35604223080411229</v>
      </c>
      <c r="P40" s="10">
        <f ca="1">CORREL(K16:K51,K16:K51)</f>
        <v>1.0000000000000002</v>
      </c>
    </row>
    <row r="41" spans="5:27" ht="18" x14ac:dyDescent="0.25">
      <c r="E41">
        <v>26</v>
      </c>
      <c r="F41" t="str" cm="1">
        <f t="array" ref="F41">INDEX($B$15:$B$26,MOD(E41-1,12)+1)</f>
        <v>First hostage truce (105 freed)</v>
      </c>
      <c r="G41" t="s">
        <v>4</v>
      </c>
      <c r="H41" s="17">
        <f ca="1">Dan!I65</f>
        <v>-4.6738361678267726E-2</v>
      </c>
      <c r="I41" s="18">
        <f t="shared" si="2"/>
        <v>2</v>
      </c>
      <c r="J41" s="23" cm="1">
        <f t="array" aca="1" ref="J41" ca="1">CHOOSE(MATCH(G41,{"Fattal","Isrotel","Dan"},0),INDEX(Fattal!$F$25:$F$36,MOD(E41-1,12)+1),INDEX(Isrotel!$F$25:$F$36,MOD(E41-1,12)+1),INDEX(Dan!$F$25:$F$36,MOD(E41-1,12)+1))</f>
        <v>0.22071894480953044</v>
      </c>
      <c r="K41" cm="1">
        <f t="array" aca="1" ref="K41" ca="1">CHOOSE(MATCH(G41,{"Fattal","Isrotel","Dan"},0),INDEX(Fattal!$I$25:$I$36,MOD(E41-1,12)+1),INDEX(Isrotel!$I$25:$I$36,MOD(E41-1,12)+1),INDEX(Dan!$I$25:$I$36,MOD(E41-1,12)+1))</f>
        <v>1.2837468506595612E-2</v>
      </c>
    </row>
    <row r="42" spans="5:27" ht="18" x14ac:dyDescent="0.25">
      <c r="E42">
        <v>27</v>
      </c>
      <c r="F42" t="str" cm="1">
        <f t="array" ref="F42">INDEX($B$15:$B$26,MOD(E42-1,12)+1)</f>
        <v>Iran first direct attack</v>
      </c>
      <c r="G42" t="s">
        <v>4</v>
      </c>
      <c r="H42" s="17">
        <f ca="1">Dan!I89</f>
        <v>-3.1214934646877412E-2</v>
      </c>
      <c r="I42" s="18">
        <f t="shared" si="2"/>
        <v>-4</v>
      </c>
      <c r="J42" s="23" cm="1">
        <f t="array" aca="1" ref="J42" ca="1">CHOOSE(MATCH(G42,{"Fattal","Isrotel","Dan"},0),INDEX(Fattal!$F$25:$F$36,MOD(E42-1,12)+1),INDEX(Isrotel!$F$25:$F$36,MOD(E42-1,12)+1),INDEX(Dan!$F$25:$F$36,MOD(E42-1,12)+1))</f>
        <v>0.23559376814729482</v>
      </c>
      <c r="K42" cm="1">
        <f t="array" aca="1" ref="K42" ca="1">CHOOSE(MATCH(G42,{"Fattal","Isrotel","Dan"},0),INDEX(Fattal!$I$25:$I$36,MOD(E42-1,12)+1),INDEX(Isrotel!$I$25:$I$36,MOD(E42-1,12)+1),INDEX(Dan!$I$25:$I$36,MOD(E42-1,12)+1))</f>
        <v>1.3780370780628883E-2</v>
      </c>
      <c r="M42" s="3" t="s">
        <v>166</v>
      </c>
    </row>
    <row r="43" spans="5:27" ht="18" x14ac:dyDescent="0.25">
      <c r="E43">
        <v>28</v>
      </c>
      <c r="F43" t="str" cm="1">
        <f t="array" ref="F43">INDEX($B$15:$B$26,MOD(E43-1,12)+1)</f>
        <v>Haniyeh assassinated in Tehran</v>
      </c>
      <c r="G43" t="s">
        <v>4</v>
      </c>
      <c r="H43" s="17">
        <f ca="1">Dan!I113</f>
        <v>3.1597398343683469E-3</v>
      </c>
      <c r="I43" s="18">
        <f t="shared" si="2"/>
        <v>-2</v>
      </c>
      <c r="J43" s="23" cm="1">
        <f t="array" aca="1" ref="J43" ca="1">CHOOSE(MATCH(G43,{"Fattal","Isrotel","Dan"},0),INDEX(Fattal!$F$25:$F$36,MOD(E43-1,12)+1),INDEX(Isrotel!$F$25:$F$36,MOD(E43-1,12)+1),INDEX(Dan!$F$25:$F$36,MOD(E43-1,12)+1))</f>
        <v>0.25415525499384817</v>
      </c>
      <c r="K43" cm="1">
        <f t="array" aca="1" ref="K43" ca="1">CHOOSE(MATCH(G43,{"Fattal","Isrotel","Dan"},0),INDEX(Fattal!$I$25:$I$36,MOD(E43-1,12)+1),INDEX(Isrotel!$I$25:$I$36,MOD(E43-1,12)+1),INDEX(Dan!$I$25:$I$36,MOD(E43-1,12)+1))</f>
        <v>1.3440895382723257E-2</v>
      </c>
      <c r="M43" s="3" t="s">
        <v>167</v>
      </c>
      <c r="N43" s="3" t="s">
        <v>168</v>
      </c>
      <c r="O43" s="3" t="s">
        <v>169</v>
      </c>
      <c r="P43" s="3" t="s">
        <v>170</v>
      </c>
      <c r="Q43" s="3" t="s">
        <v>171</v>
      </c>
    </row>
    <row r="44" spans="5:27" ht="18" x14ac:dyDescent="0.25">
      <c r="E44">
        <v>29</v>
      </c>
      <c r="F44" t="str" cm="1">
        <f t="array" ref="F44">INDEX($B$15:$B$26,MOD(E44-1,12)+1)</f>
        <v>Iran second attack (~180 missiles)</v>
      </c>
      <c r="G44" t="s">
        <v>4</v>
      </c>
      <c r="H44" s="17">
        <f ca="1">Dan!I137</f>
        <v>-5.4969545670092934E-2</v>
      </c>
      <c r="I44" s="18">
        <f t="shared" si="2"/>
        <v>-4</v>
      </c>
      <c r="J44" s="23" cm="1">
        <f t="array" aca="1" ref="J44" ca="1">CHOOSE(MATCH(G44,{"Fattal","Isrotel","Dan"},0),INDEX(Fattal!$F$25:$F$36,MOD(E44-1,12)+1),INDEX(Isrotel!$F$25:$F$36,MOD(E44-1,12)+1),INDEX(Dan!$F$25:$F$36,MOD(E44-1,12)+1))</f>
        <v>0.18775613636281613</v>
      </c>
      <c r="K44" cm="1">
        <f t="array" aca="1" ref="K44" ca="1">CHOOSE(MATCH(G44,{"Fattal","Isrotel","Dan"},0),INDEX(Fattal!$I$25:$I$36,MOD(E44-1,12)+1),INDEX(Isrotel!$I$25:$I$36,MOD(E44-1,12)+1),INDEX(Dan!$I$25:$I$36,MOD(E44-1,12)+1))</f>
        <v>1.2824565714082182E-2</v>
      </c>
      <c r="M44" s="3" t="s">
        <v>95</v>
      </c>
      <c r="N44" s="10">
        <f ca="1">INDEX(LINEST(I16:I51,J16:K51,TRUE,TRUE),3,1)</f>
        <v>5.2878191059718572E-3</v>
      </c>
      <c r="O44" s="22">
        <f ca="1">1/(1-N44)</f>
        <v>1.0053159287757181</v>
      </c>
      <c r="P44" t="str">
        <f ca="1">IF(O44&gt;5,"HIGH","OK")</f>
        <v>OK</v>
      </c>
      <c r="Q44" s="22">
        <f ca="1">W31^2*(V21-1)*VAR(I16:I51)/X26</f>
        <v>1.0053159287757187</v>
      </c>
    </row>
    <row r="45" spans="5:27" ht="18" x14ac:dyDescent="0.25">
      <c r="E45">
        <v>30</v>
      </c>
      <c r="F45" t="str" cm="1">
        <f t="array" ref="F45">INDEX($B$15:$B$26,MOD(E45-1,12)+1)</f>
        <v>Israel-Lebanon ceasefire</v>
      </c>
      <c r="G45" t="s">
        <v>4</v>
      </c>
      <c r="H45" s="17">
        <f ca="1">Dan!I161</f>
        <v>6.6185526231740788E-2</v>
      </c>
      <c r="I45" s="18">
        <f t="shared" si="2"/>
        <v>3</v>
      </c>
      <c r="J45" s="23" cm="1">
        <f t="array" aca="1" ref="J45" ca="1">CHOOSE(MATCH(G45,{"Fattal","Isrotel","Dan"},0),INDEX(Fattal!$F$25:$F$36,MOD(E45-1,12)+1),INDEX(Isrotel!$F$25:$F$36,MOD(E45-1,12)+1),INDEX(Dan!$F$25:$F$36,MOD(E45-1,12)+1))</f>
        <v>6.581792120029753E-2</v>
      </c>
      <c r="K45" cm="1">
        <f t="array" aca="1" ref="K45" ca="1">CHOOSE(MATCH(G45,{"Fattal","Isrotel","Dan"},0),INDEX(Fattal!$I$25:$I$36,MOD(E45-1,12)+1),INDEX(Isrotel!$I$25:$I$36,MOD(E45-1,12)+1),INDEX(Dan!$I$25:$I$36,MOD(E45-1,12)+1))</f>
        <v>1.174848272684776E-2</v>
      </c>
      <c r="M45" s="3" t="s">
        <v>162</v>
      </c>
      <c r="N45" s="10">
        <f ca="1">INDEX(LINEST(J16:J51,CHOOSE({1,2},I16:I51,K16:K51),TRUE,TRUE),3,1)</f>
        <v>0.12953679509367444</v>
      </c>
      <c r="O45" s="22">
        <f ca="1">1/(1-N45)</f>
        <v>1.1488136366517807</v>
      </c>
      <c r="P45" t="str">
        <f ca="1">IF(O45&gt;5,"HIGH","OK")</f>
        <v>OK</v>
      </c>
      <c r="Q45" s="22">
        <f ca="1">W32^2*(V21-1)*VAR(J16:J51)/X26</f>
        <v>1.1488136366517798</v>
      </c>
    </row>
    <row r="46" spans="5:27" ht="18" x14ac:dyDescent="0.25">
      <c r="E46">
        <v>31</v>
      </c>
      <c r="F46" t="str" cm="1">
        <f t="array" ref="F46">INDEX($B$15:$B$26,MOD(E46-1,12)+1)</f>
        <v>Gaza ceasefire (33 hostages)</v>
      </c>
      <c r="G46" t="s">
        <v>4</v>
      </c>
      <c r="H46" s="17">
        <f ca="1">Dan!I185</f>
        <v>0.12057222973697157</v>
      </c>
      <c r="I46" s="18">
        <f t="shared" si="2"/>
        <v>4</v>
      </c>
      <c r="J46" s="23" cm="1">
        <f t="array" aca="1" ref="J46" ca="1">CHOOSE(MATCH(G46,{"Fattal","Isrotel","Dan"},0),INDEX(Fattal!$F$25:$F$36,MOD(E46-1,12)+1),INDEX(Isrotel!$F$25:$F$36,MOD(E46-1,12)+1),INDEX(Dan!$F$25:$F$36,MOD(E46-1,12)+1))</f>
        <v>5.1232161689801027E-2</v>
      </c>
      <c r="K46" cm="1">
        <f t="array" aca="1" ref="K46" ca="1">CHOOSE(MATCH(G46,{"Fattal","Isrotel","Dan"},0),INDEX(Fattal!$I$25:$I$36,MOD(E46-1,12)+1),INDEX(Isrotel!$I$25:$I$36,MOD(E46-1,12)+1),INDEX(Dan!$I$25:$I$36,MOD(E46-1,12)+1))</f>
        <v>1.0941814387755855E-2</v>
      </c>
      <c r="M46" s="3" t="s">
        <v>164</v>
      </c>
      <c r="N46" s="10">
        <f ca="1">INDEX(LINEST(K16:K51,I16:J51,TRUE,TRUE),3,1)</f>
        <v>0.12723055489133794</v>
      </c>
      <c r="O46" s="22">
        <f ca="1">1/(1-N46)</f>
        <v>1.145777966454242</v>
      </c>
      <c r="P46" t="str">
        <f ca="1">IF(O46&gt;5,"HIGH","OK")</f>
        <v>OK</v>
      </c>
      <c r="Q46" s="22">
        <f ca="1">W33^2*(V21-1)*VAR(K16:K51)/X26</f>
        <v>1.1457779664542416</v>
      </c>
    </row>
    <row r="47" spans="5:27" ht="18" x14ac:dyDescent="0.25">
      <c r="E47">
        <v>32</v>
      </c>
      <c r="F47" t="str" cm="1">
        <f t="array" ref="F47">INDEX($B$15:$B$26,MOD(E47-1,12)+1)</f>
        <v>Edan Alexander released</v>
      </c>
      <c r="G47" t="s">
        <v>4</v>
      </c>
      <c r="H47" s="17">
        <f ca="1">Dan!I209</f>
        <v>-3.4286296473349132E-2</v>
      </c>
      <c r="I47" s="18">
        <f t="shared" si="2"/>
        <v>1</v>
      </c>
      <c r="J47" s="23" cm="1">
        <f t="array" aca="1" ref="J47" ca="1">CHOOSE(MATCH(G47,{"Fattal","Isrotel","Dan"},0),INDEX(Fattal!$F$25:$F$36,MOD(E47-1,12)+1),INDEX(Isrotel!$F$25:$F$36,MOD(E47-1,12)+1),INDEX(Dan!$F$25:$F$36,MOD(E47-1,12)+1))</f>
        <v>0.17186972545050871</v>
      </c>
      <c r="K47" cm="1">
        <f t="array" aca="1" ref="K47" ca="1">CHOOSE(MATCH(G47,{"Fattal","Isrotel","Dan"},0),INDEX(Fattal!$I$25:$I$36,MOD(E47-1,12)+1),INDEX(Isrotel!$I$25:$I$36,MOD(E47-1,12)+1),INDEX(Dan!$I$25:$I$36,MOD(E47-1,12)+1))</f>
        <v>1.3758419112709476E-2</v>
      </c>
    </row>
    <row r="48" spans="5:27" ht="18" x14ac:dyDescent="0.25">
      <c r="E48">
        <v>33</v>
      </c>
      <c r="F48" t="str" cm="1">
        <f t="array" ref="F48">INDEX($B$15:$B$26,MOD(E48-1,12)+1)</f>
        <v>12-Day War begins</v>
      </c>
      <c r="G48" t="s">
        <v>4</v>
      </c>
      <c r="H48" s="17">
        <f ca="1">Dan!I233</f>
        <v>0.1453972041073317</v>
      </c>
      <c r="I48" s="18">
        <f t="shared" si="2"/>
        <v>-4</v>
      </c>
      <c r="J48" s="23" cm="1">
        <f t="array" aca="1" ref="J48" ca="1">CHOOSE(MATCH(G48,{"Fattal","Isrotel","Dan"},0),INDEX(Fattal!$F$25:$F$36,MOD(E48-1,12)+1),INDEX(Isrotel!$F$25:$F$36,MOD(E48-1,12)+1),INDEX(Dan!$F$25:$F$36,MOD(E48-1,12)+1))</f>
        <v>0.19999511463399944</v>
      </c>
      <c r="K48" cm="1">
        <f t="array" aca="1" ref="K48" ca="1">CHOOSE(MATCH(G48,{"Fattal","Isrotel","Dan"},0),INDEX(Fattal!$I$25:$I$36,MOD(E48-1,12)+1),INDEX(Isrotel!$I$25:$I$36,MOD(E48-1,12)+1),INDEX(Dan!$I$25:$I$36,MOD(E48-1,12)+1))</f>
        <v>1.4625994685510265E-2</v>
      </c>
      <c r="M48" s="3" t="s">
        <v>172</v>
      </c>
    </row>
    <row r="49" spans="5:15" ht="18" x14ac:dyDescent="0.25">
      <c r="E49">
        <v>34</v>
      </c>
      <c r="F49" t="str" cm="1">
        <f t="array" ref="F49">INDEX($B$15:$B$26,MOD(E49-1,12)+1)</f>
        <v>Sharm el-Sheikh deal</v>
      </c>
      <c r="G49" t="s">
        <v>4</v>
      </c>
      <c r="H49" s="17">
        <f ca="1">Dan!I257</f>
        <v>0.24541740620695918</v>
      </c>
      <c r="I49" s="18">
        <f t="shared" si="2"/>
        <v>5</v>
      </c>
      <c r="J49" s="23" cm="1">
        <f t="array" aca="1" ref="J49" ca="1">CHOOSE(MATCH(G49,{"Fattal","Isrotel","Dan"},0),INDEX(Fattal!$F$25:$F$36,MOD(E49-1,12)+1),INDEX(Isrotel!$F$25:$F$36,MOD(E49-1,12)+1),INDEX(Dan!$F$25:$F$36,MOD(E49-1,12)+1))</f>
        <v>0.45472164644579299</v>
      </c>
      <c r="K49" cm="1">
        <f t="array" aca="1" ref="K49" ca="1">CHOOSE(MATCH(G49,{"Fattal","Isrotel","Dan"},0),INDEX(Fattal!$I$25:$I$36,MOD(E49-1,12)+1),INDEX(Isrotel!$I$25:$I$36,MOD(E49-1,12)+1),INDEX(Dan!$I$25:$I$36,MOD(E49-1,12)+1))</f>
        <v>1.7517363124307069E-2</v>
      </c>
      <c r="M49" s="3" t="s">
        <v>173</v>
      </c>
      <c r="N49" s="3" t="s">
        <v>174</v>
      </c>
      <c r="O49" s="3" t="s">
        <v>175</v>
      </c>
    </row>
    <row r="50" spans="5:15" ht="18" x14ac:dyDescent="0.25">
      <c r="E50">
        <v>35</v>
      </c>
      <c r="F50" t="str" cm="1">
        <f t="array" ref="F50">INDEX($B$15:$B$26,MOD(E50-1,12)+1)</f>
        <v>2026 Israel-Iran war begins</v>
      </c>
      <c r="G50" t="s">
        <v>4</v>
      </c>
      <c r="H50" s="17">
        <f ca="1">Dan!I281</f>
        <v>-8.1075863768675593E-2</v>
      </c>
      <c r="I50" s="18">
        <f t="shared" si="2"/>
        <v>-5</v>
      </c>
      <c r="J50" s="23" cm="1">
        <f t="array" aca="1" ref="J50" ca="1">CHOOSE(MATCH(G50,{"Fattal","Isrotel","Dan"},0),INDEX(Fattal!$F$25:$F$36,MOD(E50-1,12)+1),INDEX(Isrotel!$F$25:$F$36,MOD(E50-1,12)+1),INDEX(Dan!$F$25:$F$36,MOD(E50-1,12)+1))</f>
        <v>0.43279233158642372</v>
      </c>
      <c r="K50" cm="1">
        <f t="array" aca="1" ref="K50" ca="1">CHOOSE(MATCH(G50,{"Fattal","Isrotel","Dan"},0),INDEX(Fattal!$I$25:$I$36,MOD(E50-1,12)+1),INDEX(Isrotel!$I$25:$I$36,MOD(E50-1,12)+1),INDEX(Dan!$I$25:$I$36,MOD(E50-1,12)+1))</f>
        <v>1.8225817122639185E-2</v>
      </c>
      <c r="M50" s="3" t="s">
        <v>176</v>
      </c>
      <c r="N50" s="10">
        <f ca="1">N18</f>
        <v>9.2749266991816709E-2</v>
      </c>
      <c r="O50" s="10">
        <f ca="1">V18</f>
        <v>0.14361645264634851</v>
      </c>
    </row>
    <row r="51" spans="5:15" ht="18" x14ac:dyDescent="0.25">
      <c r="E51">
        <v>36</v>
      </c>
      <c r="F51" t="str" cm="1">
        <f t="array" ref="F51">INDEX($B$15:$B$26,MOD(E51-1,12)+1)</f>
        <v>Pakistan-brokered ceasefire</v>
      </c>
      <c r="G51" t="s">
        <v>4</v>
      </c>
      <c r="H51" s="17">
        <f ca="1">Dan!I305</f>
        <v>-0.18329550021558105</v>
      </c>
      <c r="I51" s="18">
        <f t="shared" si="2"/>
        <v>4</v>
      </c>
      <c r="J51" s="23" cm="1">
        <f t="array" aca="1" ref="J51" ca="1">CHOOSE(MATCH(G51,{"Fattal","Isrotel","Dan"},0),INDEX(Fattal!$F$25:$F$36,MOD(E51-1,12)+1),INDEX(Isrotel!$F$25:$F$36,MOD(E51-1,12)+1),INDEX(Dan!$F$25:$F$36,MOD(E51-1,12)+1))</f>
        <v>0.36440499315022462</v>
      </c>
      <c r="K51" cm="1">
        <f t="array" aca="1" ref="K51" ca="1">CHOOSE(MATCH(G51,{"Fattal","Isrotel","Dan"},0),INDEX(Fattal!$I$25:$I$36,MOD(E51-1,12)+1),INDEX(Isrotel!$I$25:$I$36,MOD(E51-1,12)+1),INDEX(Dan!$I$25:$I$36,MOD(E51-1,12)+1))</f>
        <v>1.860627331324876E-2</v>
      </c>
      <c r="M51" s="3" t="s">
        <v>177</v>
      </c>
      <c r="N51" s="10">
        <f ca="1">N19</f>
        <v>3.7764374082229879E-2</v>
      </c>
      <c r="O51" s="10">
        <f ca="1">V19</f>
        <v>6.3330495081943661E-2</v>
      </c>
    </row>
    <row r="52" spans="5:15" x14ac:dyDescent="0.2">
      <c r="M52" s="3" t="s">
        <v>135</v>
      </c>
      <c r="N52" s="10">
        <f ca="1">R25</f>
        <v>0.20067852857686852</v>
      </c>
      <c r="O52" s="10">
        <f ca="1">Z25</f>
        <v>0.16912899766599995</v>
      </c>
    </row>
    <row r="53" spans="5:15" x14ac:dyDescent="0.2">
      <c r="M53" s="3" t="s">
        <v>178</v>
      </c>
      <c r="N53" t="s">
        <v>179</v>
      </c>
      <c r="O53" t="str">
        <f ca="1">IF(Y33&lt;0.05,"Yes (p="&amp;ROUND(Y33,3)&amp;")","No (p="&amp;ROUND(Y33,3)&amp;")")</f>
        <v>No (p=0,178)</v>
      </c>
    </row>
    <row r="55" spans="5:15" x14ac:dyDescent="0.2">
      <c r="M55" s="3" t="s">
        <v>180</v>
      </c>
    </row>
    <row r="56" spans="5:15" x14ac:dyDescent="0.2">
      <c r="M56" s="3" t="s">
        <v>181</v>
      </c>
      <c r="N56" s="25">
        <f ca="1">O26</f>
        <v>0.23092538787711525</v>
      </c>
    </row>
    <row r="57" spans="5:15" x14ac:dyDescent="0.2">
      <c r="M57" s="3" t="s">
        <v>182</v>
      </c>
      <c r="N57" s="25">
        <f ca="1">W26</f>
        <v>0.21797800282674237</v>
      </c>
    </row>
    <row r="58" spans="5:15" x14ac:dyDescent="0.2">
      <c r="M58" s="3" t="s">
        <v>183</v>
      </c>
      <c r="N58">
        <f ca="1">V26</f>
        <v>32</v>
      </c>
    </row>
    <row r="59" spans="5:15" x14ac:dyDescent="0.2">
      <c r="M59" s="3" t="s">
        <v>184</v>
      </c>
      <c r="N59" s="10">
        <f ca="1">((N56-N57)/1)/(N57/N58)</f>
        <v>1.9007253770521388</v>
      </c>
    </row>
    <row r="60" spans="5:15" x14ac:dyDescent="0.2">
      <c r="M60" s="3" t="s">
        <v>185</v>
      </c>
      <c r="N60" s="10">
        <f ca="1">_xlfn.F.DIST.RT(N59,1,N58)</f>
        <v>0.17755945317440527</v>
      </c>
    </row>
    <row r="62" spans="5:15" x14ac:dyDescent="0.2">
      <c r="M62" s="3" t="s">
        <v>186</v>
      </c>
    </row>
    <row r="63" spans="5:15" x14ac:dyDescent="0.2">
      <c r="M63" t="str">
        <f ca="1">IF(N60&lt;0.05,"Model 2 significantly improves on Model 1 (partial F p = "&amp;ROUND(N60,3)&amp;"). Volatility adds explanatory power.","Model 2 does NOT significantly improve on Model 1 (partial F p = "&amp;ROUND(N60,3)&amp;"). Adding Volatility raises R² mechanically ("&amp;ROUND(N50,4)&amp;" → "&amp;ROUND(O50,4)&amp;") but the gain is not statistically significant; adjusted R² actually falls ("&amp;ROUND(N51,4)&amp;" → "&amp;ROUND(O51,4)&amp;").")</f>
        <v>Model 2 does NOT significantly improve on Model 1 (partial F p = 0,178). Adding Volatility raises R² mechanically (0,0927 → 0,1436) but the gain is not statistically significant; adjusted R² actually falls (0,0378 → 0,0633).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72DBE-F253-6C4A-AC59-C806C75AB17E}">
  <dimension ref="A1:I56"/>
  <sheetViews>
    <sheetView topLeftCell="A48" zoomScale="75" workbookViewId="0">
      <selection activeCell="E90" sqref="E90"/>
    </sheetView>
  </sheetViews>
  <sheetFormatPr baseColWidth="10" defaultRowHeight="16" x14ac:dyDescent="0.2"/>
  <sheetData>
    <row r="1" spans="1:9" ht="19" x14ac:dyDescent="0.25">
      <c r="A1" s="15" t="s">
        <v>102</v>
      </c>
    </row>
    <row r="2" spans="1:9" x14ac:dyDescent="0.2">
      <c r="A2" s="20"/>
    </row>
    <row r="4" spans="1:9" x14ac:dyDescent="0.2">
      <c r="A4" s="21"/>
    </row>
    <row r="6" spans="1:9" x14ac:dyDescent="0.2">
      <c r="A6" s="19" t="s">
        <v>103</v>
      </c>
      <c r="F6" s="19" t="s">
        <v>187</v>
      </c>
    </row>
    <row r="7" spans="1:9" x14ac:dyDescent="0.2">
      <c r="A7" t="s">
        <v>104</v>
      </c>
      <c r="B7" t="s">
        <v>105</v>
      </c>
      <c r="C7" t="s">
        <v>106</v>
      </c>
      <c r="D7" t="s">
        <v>107</v>
      </c>
      <c r="F7" t="s">
        <v>104</v>
      </c>
      <c r="G7" t="s">
        <v>188</v>
      </c>
      <c r="H7" t="s">
        <v>106</v>
      </c>
      <c r="I7" t="s">
        <v>107</v>
      </c>
    </row>
    <row r="8" spans="1:9" x14ac:dyDescent="0.2">
      <c r="A8">
        <f>ROW()-7</f>
        <v>1</v>
      </c>
      <c r="B8" s="10">
        <f ca="1">SMALL(MLR!$H$16:$H$51,A8)</f>
        <v>-0.18329550021558105</v>
      </c>
      <c r="C8" s="10">
        <f>(A8-0.5)/36</f>
        <v>1.3888888888888888E-2</v>
      </c>
      <c r="D8" s="10">
        <f>_xlfn.NORM.S.INV(C8)</f>
        <v>-2.2004105812100327</v>
      </c>
      <c r="F8">
        <f>ROW()-7</f>
        <v>1</v>
      </c>
      <c r="G8" s="10">
        <f ca="1">SMALL(MLR!$J$16:$J$51,F8)</f>
        <v>5.1232161689801027E-2</v>
      </c>
      <c r="H8" s="10">
        <f>(F8-0.5)/36</f>
        <v>1.3888888888888888E-2</v>
      </c>
      <c r="I8" s="10">
        <f>_xlfn.NORM.S.INV(H8)</f>
        <v>-2.2004105812100327</v>
      </c>
    </row>
    <row r="9" spans="1:9" x14ac:dyDescent="0.2">
      <c r="A9">
        <f t="shared" ref="A9:A43" si="0">ROW()-7</f>
        <v>2</v>
      </c>
      <c r="B9" s="10">
        <f ca="1">SMALL(MLR!$H$16:$H$51,A9)</f>
        <v>-9.5589893334343312E-2</v>
      </c>
      <c r="C9" s="10">
        <f t="shared" ref="C9:C43" si="1">(A9-0.5)/36</f>
        <v>4.1666666666666664E-2</v>
      </c>
      <c r="D9" s="10">
        <f t="shared" ref="D9:D43" si="2">_xlfn.NORM.S.INV(C9)</f>
        <v>-1.7316643961222451</v>
      </c>
      <c r="F9">
        <f t="shared" ref="F9:F43" si="3">ROW()-7</f>
        <v>2</v>
      </c>
      <c r="G9" s="10">
        <f ca="1">SMALL(MLR!$J$16:$J$51,F9)</f>
        <v>6.581792120029753E-2</v>
      </c>
      <c r="H9" s="10">
        <f t="shared" ref="H9:H43" si="4">(F9-0.5)/36</f>
        <v>4.1666666666666664E-2</v>
      </c>
      <c r="I9" s="10">
        <f t="shared" ref="I9:I43" si="5">_xlfn.NORM.S.INV(H9)</f>
        <v>-1.7316643961222451</v>
      </c>
    </row>
    <row r="10" spans="1:9" x14ac:dyDescent="0.2">
      <c r="A10">
        <f t="shared" si="0"/>
        <v>3</v>
      </c>
      <c r="B10" s="10">
        <f ca="1">SMALL(MLR!$H$16:$H$51,A10)</f>
        <v>-9.3958510644729931E-2</v>
      </c>
      <c r="C10" s="10">
        <f t="shared" si="1"/>
        <v>6.9444444444444448E-2</v>
      </c>
      <c r="D10" s="10">
        <f t="shared" si="2"/>
        <v>-1.4799413890351922</v>
      </c>
      <c r="F10">
        <f t="shared" si="3"/>
        <v>3</v>
      </c>
      <c r="G10" s="10">
        <f ca="1">SMALL(MLR!$J$16:$J$51,F10)</f>
        <v>0.11154208127770433</v>
      </c>
      <c r="H10" s="10">
        <f t="shared" si="4"/>
        <v>6.9444444444444448E-2</v>
      </c>
      <c r="I10" s="10">
        <f t="shared" si="5"/>
        <v>-1.4799413890351922</v>
      </c>
    </row>
    <row r="11" spans="1:9" x14ac:dyDescent="0.2">
      <c r="A11">
        <f t="shared" si="0"/>
        <v>4</v>
      </c>
      <c r="B11" s="10">
        <f ca="1">SMALL(MLR!$H$16:$H$51,A11)</f>
        <v>-8.1075863768675593E-2</v>
      </c>
      <c r="C11" s="10">
        <f t="shared" si="1"/>
        <v>9.7222222222222224E-2</v>
      </c>
      <c r="D11" s="10">
        <f t="shared" si="2"/>
        <v>-1.2975429286165541</v>
      </c>
      <c r="F11">
        <f t="shared" si="3"/>
        <v>4</v>
      </c>
      <c r="G11" s="10">
        <f ca="1">SMALL(MLR!$J$16:$J$51,F11)</f>
        <v>0.17186972545050871</v>
      </c>
      <c r="H11" s="10">
        <f t="shared" si="4"/>
        <v>9.7222222222222224E-2</v>
      </c>
      <c r="I11" s="10">
        <f t="shared" si="5"/>
        <v>-1.2975429286165541</v>
      </c>
    </row>
    <row r="12" spans="1:9" x14ac:dyDescent="0.2">
      <c r="A12">
        <f t="shared" si="0"/>
        <v>5</v>
      </c>
      <c r="B12" s="10">
        <f ca="1">SMALL(MLR!$H$16:$H$51,A12)</f>
        <v>-6.387440041331971E-2</v>
      </c>
      <c r="C12" s="10">
        <f t="shared" si="1"/>
        <v>0.125</v>
      </c>
      <c r="D12" s="10">
        <f t="shared" si="2"/>
        <v>-1.1503493803760083</v>
      </c>
      <c r="F12">
        <f t="shared" si="3"/>
        <v>5</v>
      </c>
      <c r="G12" s="10">
        <f ca="1">SMALL(MLR!$J$16:$J$51,F12)</f>
        <v>0.18775613636281613</v>
      </c>
      <c r="H12" s="10">
        <f t="shared" si="4"/>
        <v>0.125</v>
      </c>
      <c r="I12" s="10">
        <f t="shared" si="5"/>
        <v>-1.1503493803760083</v>
      </c>
    </row>
    <row r="13" spans="1:9" x14ac:dyDescent="0.2">
      <c r="A13">
        <f t="shared" si="0"/>
        <v>6</v>
      </c>
      <c r="B13" s="10">
        <f ca="1">SMALL(MLR!$H$16:$H$51,A13)</f>
        <v>-5.8397929323969811E-2</v>
      </c>
      <c r="C13" s="10">
        <f t="shared" si="1"/>
        <v>0.15277777777777779</v>
      </c>
      <c r="D13" s="10">
        <f t="shared" si="2"/>
        <v>-1.024592392540099</v>
      </c>
      <c r="F13">
        <f t="shared" si="3"/>
        <v>6</v>
      </c>
      <c r="G13" s="10">
        <f ca="1">SMALL(MLR!$J$16:$J$51,F13)</f>
        <v>0.19999511463399944</v>
      </c>
      <c r="H13" s="10">
        <f t="shared" si="4"/>
        <v>0.15277777777777779</v>
      </c>
      <c r="I13" s="10">
        <f t="shared" si="5"/>
        <v>-1.024592392540099</v>
      </c>
    </row>
    <row r="14" spans="1:9" x14ac:dyDescent="0.2">
      <c r="A14">
        <f t="shared" si="0"/>
        <v>7</v>
      </c>
      <c r="B14" s="10">
        <f ca="1">SMALL(MLR!$H$16:$H$51,A14)</f>
        <v>-5.6053722299910014E-2</v>
      </c>
      <c r="C14" s="10">
        <f t="shared" si="1"/>
        <v>0.18055555555555555</v>
      </c>
      <c r="D14" s="10">
        <f t="shared" si="2"/>
        <v>-0.91324992668360727</v>
      </c>
      <c r="F14">
        <f t="shared" si="3"/>
        <v>7</v>
      </c>
      <c r="G14" s="10">
        <f ca="1">SMALL(MLR!$J$16:$J$51,F14)</f>
        <v>0.20242167467609223</v>
      </c>
      <c r="H14" s="10">
        <f t="shared" si="4"/>
        <v>0.18055555555555555</v>
      </c>
      <c r="I14" s="10">
        <f t="shared" si="5"/>
        <v>-0.91324992668360727</v>
      </c>
    </row>
    <row r="15" spans="1:9" x14ac:dyDescent="0.2">
      <c r="A15">
        <f t="shared" si="0"/>
        <v>8</v>
      </c>
      <c r="B15" s="10">
        <f ca="1">SMALL(MLR!$H$16:$H$51,A15)</f>
        <v>-5.4969545670092934E-2</v>
      </c>
      <c r="C15" s="10">
        <f t="shared" si="1"/>
        <v>0.20833333333333334</v>
      </c>
      <c r="D15" s="10">
        <f t="shared" si="2"/>
        <v>-0.81221780149991241</v>
      </c>
      <c r="F15">
        <f t="shared" si="3"/>
        <v>8</v>
      </c>
      <c r="G15" s="10">
        <f ca="1">SMALL(MLR!$J$16:$J$51,F15)</f>
        <v>0.22071894480953044</v>
      </c>
      <c r="H15" s="10">
        <f t="shared" si="4"/>
        <v>0.20833333333333334</v>
      </c>
      <c r="I15" s="10">
        <f t="shared" si="5"/>
        <v>-0.81221780149991241</v>
      </c>
    </row>
    <row r="16" spans="1:9" x14ac:dyDescent="0.2">
      <c r="A16">
        <f t="shared" si="0"/>
        <v>9</v>
      </c>
      <c r="B16" s="10">
        <f ca="1">SMALL(MLR!$H$16:$H$51,A16)</f>
        <v>-4.6738361678267726E-2</v>
      </c>
      <c r="C16" s="10">
        <f t="shared" si="1"/>
        <v>0.2361111111111111</v>
      </c>
      <c r="D16" s="10">
        <f t="shared" si="2"/>
        <v>-0.71886805282271549</v>
      </c>
      <c r="F16">
        <f t="shared" si="3"/>
        <v>9</v>
      </c>
      <c r="G16" s="10">
        <f ca="1">SMALL(MLR!$J$16:$J$51,F16)</f>
        <v>0.23559376814729482</v>
      </c>
      <c r="H16" s="10">
        <f t="shared" si="4"/>
        <v>0.2361111111111111</v>
      </c>
      <c r="I16" s="10">
        <f t="shared" si="5"/>
        <v>-0.71886805282271549</v>
      </c>
    </row>
    <row r="17" spans="1:9" x14ac:dyDescent="0.2">
      <c r="A17">
        <f t="shared" si="0"/>
        <v>10</v>
      </c>
      <c r="B17" s="10">
        <f ca="1">SMALL(MLR!$H$16:$H$51,A17)</f>
        <v>-4.609679270160516E-2</v>
      </c>
      <c r="C17" s="10">
        <f t="shared" si="1"/>
        <v>0.2638888888888889</v>
      </c>
      <c r="D17" s="10">
        <f t="shared" si="2"/>
        <v>-0.6314018942397609</v>
      </c>
      <c r="F17">
        <f t="shared" si="3"/>
        <v>10</v>
      </c>
      <c r="G17" s="10">
        <f ca="1">SMALL(MLR!$J$16:$J$51,F17)</f>
        <v>0.25415525499384817</v>
      </c>
      <c r="H17" s="10">
        <f t="shared" si="4"/>
        <v>0.2638888888888889</v>
      </c>
      <c r="I17" s="10">
        <f t="shared" si="5"/>
        <v>-0.6314018942397609</v>
      </c>
    </row>
    <row r="18" spans="1:9" x14ac:dyDescent="0.2">
      <c r="A18">
        <f t="shared" si="0"/>
        <v>11</v>
      </c>
      <c r="B18" s="10">
        <f ca="1">SMALL(MLR!$H$16:$H$51,A18)</f>
        <v>-4.1318250337626594E-2</v>
      </c>
      <c r="C18" s="10">
        <f t="shared" si="1"/>
        <v>0.29166666666666669</v>
      </c>
      <c r="D18" s="10">
        <f t="shared" si="2"/>
        <v>-0.54852228269809788</v>
      </c>
      <c r="F18">
        <f t="shared" si="3"/>
        <v>11</v>
      </c>
      <c r="G18" s="10">
        <f ca="1">SMALL(MLR!$J$16:$J$51,F18)</f>
        <v>0.32767132744187832</v>
      </c>
      <c r="H18" s="10">
        <f t="shared" si="4"/>
        <v>0.29166666666666669</v>
      </c>
      <c r="I18" s="10">
        <f t="shared" si="5"/>
        <v>-0.54852228269809788</v>
      </c>
    </row>
    <row r="19" spans="1:9" x14ac:dyDescent="0.2">
      <c r="A19">
        <f t="shared" si="0"/>
        <v>12</v>
      </c>
      <c r="B19" s="10">
        <f ca="1">SMALL(MLR!$H$16:$H$51,A19)</f>
        <v>-4.100080399855599E-2</v>
      </c>
      <c r="C19" s="10">
        <f t="shared" si="1"/>
        <v>0.31944444444444442</v>
      </c>
      <c r="D19" s="10">
        <f t="shared" si="2"/>
        <v>-0.46925288381280222</v>
      </c>
      <c r="F19">
        <f t="shared" si="3"/>
        <v>12</v>
      </c>
      <c r="G19" s="10">
        <f ca="1">SMALL(MLR!$J$16:$J$51,F19)</f>
        <v>0.36440499315022462</v>
      </c>
      <c r="H19" s="10">
        <f t="shared" si="4"/>
        <v>0.31944444444444442</v>
      </c>
      <c r="I19" s="10">
        <f t="shared" si="5"/>
        <v>-0.46925288381280222</v>
      </c>
    </row>
    <row r="20" spans="1:9" x14ac:dyDescent="0.2">
      <c r="A20">
        <f t="shared" si="0"/>
        <v>13</v>
      </c>
      <c r="B20" s="10">
        <f ca="1">SMALL(MLR!$H$16:$H$51,A20)</f>
        <v>-3.4286296473349132E-2</v>
      </c>
      <c r="C20" s="10">
        <f t="shared" si="1"/>
        <v>0.34722222222222221</v>
      </c>
      <c r="D20" s="10">
        <f t="shared" si="2"/>
        <v>-0.39283081364972938</v>
      </c>
      <c r="F20">
        <f t="shared" si="3"/>
        <v>13</v>
      </c>
      <c r="G20" s="10">
        <f ca="1">SMALL(MLR!$J$16:$J$51,F20)</f>
        <v>0.43279233158642372</v>
      </c>
      <c r="H20" s="10">
        <f t="shared" si="4"/>
        <v>0.34722222222222221</v>
      </c>
      <c r="I20" s="10">
        <f t="shared" si="5"/>
        <v>-0.39283081364972938</v>
      </c>
    </row>
    <row r="21" spans="1:9" x14ac:dyDescent="0.2">
      <c r="A21">
        <f t="shared" si="0"/>
        <v>14</v>
      </c>
      <c r="B21" s="10">
        <f ca="1">SMALL(MLR!$H$16:$H$51,A21)</f>
        <v>-3.1214934646877412E-2</v>
      </c>
      <c r="C21" s="10">
        <f t="shared" si="1"/>
        <v>0.375</v>
      </c>
      <c r="D21" s="10">
        <f t="shared" si="2"/>
        <v>-0.3186393639643752</v>
      </c>
      <c r="F21">
        <f t="shared" si="3"/>
        <v>14</v>
      </c>
      <c r="G21" s="10">
        <f ca="1">SMALL(MLR!$J$16:$J$51,F21)</f>
        <v>0.4361716317300528</v>
      </c>
      <c r="H21" s="10">
        <f t="shared" si="4"/>
        <v>0.375</v>
      </c>
      <c r="I21" s="10">
        <f t="shared" si="5"/>
        <v>-0.3186393639643752</v>
      </c>
    </row>
    <row r="22" spans="1:9" x14ac:dyDescent="0.2">
      <c r="A22">
        <f t="shared" si="0"/>
        <v>15</v>
      </c>
      <c r="B22" s="10">
        <f ca="1">SMALL(MLR!$H$16:$H$51,A22)</f>
        <v>-2.9813781575676823E-2</v>
      </c>
      <c r="C22" s="10">
        <f t="shared" si="1"/>
        <v>0.40277777777777779</v>
      </c>
      <c r="D22" s="10">
        <f t="shared" si="2"/>
        <v>-0.24616364666135951</v>
      </c>
      <c r="F22">
        <f t="shared" si="3"/>
        <v>15</v>
      </c>
      <c r="G22" s="10">
        <f ca="1">SMALL(MLR!$J$16:$J$51,F22)</f>
        <v>0.45472164644579299</v>
      </c>
      <c r="H22" s="10">
        <f t="shared" si="4"/>
        <v>0.40277777777777779</v>
      </c>
      <c r="I22" s="10">
        <f t="shared" si="5"/>
        <v>-0.24616364666135951</v>
      </c>
    </row>
    <row r="23" spans="1:9" x14ac:dyDescent="0.2">
      <c r="A23">
        <f t="shared" si="0"/>
        <v>16</v>
      </c>
      <c r="B23" s="10">
        <f ca="1">SMALL(MLR!$H$16:$H$51,A23)</f>
        <v>-1.9984934573433089E-2</v>
      </c>
      <c r="C23" s="10">
        <f t="shared" si="1"/>
        <v>0.43055555555555558</v>
      </c>
      <c r="D23" s="10">
        <f t="shared" si="2"/>
        <v>-0.17495994016573252</v>
      </c>
      <c r="F23">
        <f t="shared" si="3"/>
        <v>16</v>
      </c>
      <c r="G23" s="10">
        <f ca="1">SMALL(MLR!$J$16:$J$51,F23)</f>
        <v>0.52546814201719272</v>
      </c>
      <c r="H23" s="10">
        <f t="shared" si="4"/>
        <v>0.43055555555555558</v>
      </c>
      <c r="I23" s="10">
        <f t="shared" si="5"/>
        <v>-0.17495994016573252</v>
      </c>
    </row>
    <row r="24" spans="1:9" x14ac:dyDescent="0.2">
      <c r="A24">
        <f t="shared" si="0"/>
        <v>17</v>
      </c>
      <c r="B24" s="10">
        <f ca="1">SMALL(MLR!$H$16:$H$51,A24)</f>
        <v>-1.9452504483627009E-2</v>
      </c>
      <c r="C24" s="10">
        <f t="shared" si="1"/>
        <v>0.45833333333333331</v>
      </c>
      <c r="D24" s="10">
        <f t="shared" si="2"/>
        <v>-0.10463345561407539</v>
      </c>
      <c r="F24">
        <f t="shared" si="3"/>
        <v>17</v>
      </c>
      <c r="G24" s="10">
        <f ca="1">SMALL(MLR!$J$16:$J$51,F24)</f>
        <v>0.67927324895374963</v>
      </c>
      <c r="H24" s="10">
        <f t="shared" si="4"/>
        <v>0.45833333333333331</v>
      </c>
      <c r="I24" s="10">
        <f t="shared" si="5"/>
        <v>-0.10463345561407539</v>
      </c>
    </row>
    <row r="25" spans="1:9" x14ac:dyDescent="0.2">
      <c r="A25">
        <f t="shared" si="0"/>
        <v>18</v>
      </c>
      <c r="B25" s="10">
        <f ca="1">SMALL(MLR!$H$16:$H$51,A25)</f>
        <v>-1.1306386224107401E-2</v>
      </c>
      <c r="C25" s="10">
        <f t="shared" si="1"/>
        <v>0.4861111111111111</v>
      </c>
      <c r="D25" s="10">
        <f t="shared" si="2"/>
        <v>-3.4821317260347699E-2</v>
      </c>
      <c r="F25">
        <f t="shared" si="3"/>
        <v>18</v>
      </c>
      <c r="G25" s="10">
        <f ca="1">SMALL(MLR!$J$16:$J$51,F25)</f>
        <v>0.73853276348458885</v>
      </c>
      <c r="H25" s="10">
        <f t="shared" si="4"/>
        <v>0.4861111111111111</v>
      </c>
      <c r="I25" s="10">
        <f t="shared" si="5"/>
        <v>-3.4821317260347699E-2</v>
      </c>
    </row>
    <row r="26" spans="1:9" x14ac:dyDescent="0.2">
      <c r="A26">
        <f t="shared" si="0"/>
        <v>19</v>
      </c>
      <c r="B26" s="10">
        <f ca="1">SMALL(MLR!$H$16:$H$51,A26)</f>
        <v>-5.7178438065959014E-3</v>
      </c>
      <c r="C26" s="10">
        <f t="shared" si="1"/>
        <v>0.51388888888888884</v>
      </c>
      <c r="D26" s="10">
        <f t="shared" si="2"/>
        <v>3.482131726034756E-2</v>
      </c>
      <c r="F26">
        <f t="shared" si="3"/>
        <v>19</v>
      </c>
      <c r="G26" s="10">
        <f ca="1">SMALL(MLR!$J$16:$J$51,F26)</f>
        <v>0.73870749276569092</v>
      </c>
      <c r="H26" s="10">
        <f t="shared" si="4"/>
        <v>0.51388888888888884</v>
      </c>
      <c r="I26" s="10">
        <f t="shared" si="5"/>
        <v>3.482131726034756E-2</v>
      </c>
    </row>
    <row r="27" spans="1:9" x14ac:dyDescent="0.2">
      <c r="A27">
        <f t="shared" si="0"/>
        <v>20</v>
      </c>
      <c r="B27" s="10">
        <f ca="1">SMALL(MLR!$H$16:$H$51,A27)</f>
        <v>-4.3536586039195635E-3</v>
      </c>
      <c r="C27" s="10">
        <f t="shared" si="1"/>
        <v>0.54166666666666663</v>
      </c>
      <c r="D27" s="10">
        <f t="shared" si="2"/>
        <v>0.10463345561407525</v>
      </c>
      <c r="F27">
        <f t="shared" si="3"/>
        <v>20</v>
      </c>
      <c r="G27" s="10">
        <f ca="1">SMALL(MLR!$J$16:$J$51,F27)</f>
        <v>0.8003972398508814</v>
      </c>
      <c r="H27" s="10">
        <f t="shared" si="4"/>
        <v>0.54166666666666663</v>
      </c>
      <c r="I27" s="10">
        <f t="shared" si="5"/>
        <v>0.10463345561407525</v>
      </c>
    </row>
    <row r="28" spans="1:9" x14ac:dyDescent="0.2">
      <c r="A28">
        <f t="shared" si="0"/>
        <v>21</v>
      </c>
      <c r="B28" s="10">
        <f ca="1">SMALL(MLR!$H$16:$H$51,A28)</f>
        <v>1.1936388455278113E-3</v>
      </c>
      <c r="C28" s="10">
        <f t="shared" si="1"/>
        <v>0.56944444444444442</v>
      </c>
      <c r="D28" s="10">
        <f t="shared" si="2"/>
        <v>0.17495994016573252</v>
      </c>
      <c r="F28">
        <f t="shared" si="3"/>
        <v>21</v>
      </c>
      <c r="G28" s="10">
        <f ca="1">SMALL(MLR!$J$16:$J$51,F28)</f>
        <v>0.82484742251924714</v>
      </c>
      <c r="H28" s="10">
        <f t="shared" si="4"/>
        <v>0.56944444444444442</v>
      </c>
      <c r="I28" s="10">
        <f t="shared" si="5"/>
        <v>0.17495994016573252</v>
      </c>
    </row>
    <row r="29" spans="1:9" x14ac:dyDescent="0.2">
      <c r="A29">
        <f t="shared" si="0"/>
        <v>22</v>
      </c>
      <c r="B29" s="10">
        <f ca="1">SMALL(MLR!$H$16:$H$51,A29)</f>
        <v>3.1597398343683469E-3</v>
      </c>
      <c r="C29" s="10">
        <f t="shared" si="1"/>
        <v>0.59722222222222221</v>
      </c>
      <c r="D29" s="10">
        <f t="shared" si="2"/>
        <v>0.24616364666135951</v>
      </c>
      <c r="F29">
        <f t="shared" si="3"/>
        <v>22</v>
      </c>
      <c r="G29" s="10">
        <f ca="1">SMALL(MLR!$J$16:$J$51,F29)</f>
        <v>0.86729297462373089</v>
      </c>
      <c r="H29" s="10">
        <f t="shared" si="4"/>
        <v>0.59722222222222221</v>
      </c>
      <c r="I29" s="10">
        <f t="shared" si="5"/>
        <v>0.24616364666135951</v>
      </c>
    </row>
    <row r="30" spans="1:9" x14ac:dyDescent="0.2">
      <c r="A30">
        <f t="shared" si="0"/>
        <v>23</v>
      </c>
      <c r="B30" s="10">
        <f ca="1">SMALL(MLR!$H$16:$H$51,A30)</f>
        <v>4.8051618379838512E-3</v>
      </c>
      <c r="C30" s="10">
        <f t="shared" si="1"/>
        <v>0.625</v>
      </c>
      <c r="D30" s="10">
        <f t="shared" si="2"/>
        <v>0.3186393639643752</v>
      </c>
      <c r="F30">
        <f t="shared" si="3"/>
        <v>23</v>
      </c>
      <c r="G30" s="10">
        <f ca="1">SMALL(MLR!$J$16:$J$51,F30)</f>
        <v>0.87301138030999059</v>
      </c>
      <c r="H30" s="10">
        <f t="shared" si="4"/>
        <v>0.625</v>
      </c>
      <c r="I30" s="10">
        <f t="shared" si="5"/>
        <v>0.3186393639643752</v>
      </c>
    </row>
    <row r="31" spans="1:9" x14ac:dyDescent="0.2">
      <c r="A31">
        <f t="shared" si="0"/>
        <v>24</v>
      </c>
      <c r="B31" s="10">
        <f ca="1">SMALL(MLR!$H$16:$H$51,A31)</f>
        <v>7.4946264904263149E-3</v>
      </c>
      <c r="C31" s="10">
        <f t="shared" si="1"/>
        <v>0.65277777777777779</v>
      </c>
      <c r="D31" s="10">
        <f t="shared" si="2"/>
        <v>0.39283081364972938</v>
      </c>
      <c r="F31">
        <f t="shared" si="3"/>
        <v>24</v>
      </c>
      <c r="G31" s="10">
        <f ca="1">SMALL(MLR!$J$16:$J$51,F31)</f>
        <v>0.9953578990699018</v>
      </c>
      <c r="H31" s="10">
        <f t="shared" si="4"/>
        <v>0.65277777777777779</v>
      </c>
      <c r="I31" s="10">
        <f t="shared" si="5"/>
        <v>0.39283081364972938</v>
      </c>
    </row>
    <row r="32" spans="1:9" x14ac:dyDescent="0.2">
      <c r="A32">
        <f t="shared" si="0"/>
        <v>25</v>
      </c>
      <c r="B32" s="10">
        <f ca="1">SMALL(MLR!$H$16:$H$51,A32)</f>
        <v>3.6388015330041767E-2</v>
      </c>
      <c r="C32" s="10">
        <f t="shared" si="1"/>
        <v>0.68055555555555558</v>
      </c>
      <c r="D32" s="10">
        <f t="shared" si="2"/>
        <v>0.46925288381280222</v>
      </c>
      <c r="F32">
        <f t="shared" si="3"/>
        <v>25</v>
      </c>
      <c r="G32" s="10">
        <f ca="1">SMALL(MLR!$J$16:$J$51,F32)</f>
        <v>1.0115584922531848</v>
      </c>
      <c r="H32" s="10">
        <f t="shared" si="4"/>
        <v>0.68055555555555558</v>
      </c>
      <c r="I32" s="10">
        <f t="shared" si="5"/>
        <v>0.46925288381280222</v>
      </c>
    </row>
    <row r="33" spans="1:9" x14ac:dyDescent="0.2">
      <c r="A33">
        <f t="shared" si="0"/>
        <v>26</v>
      </c>
      <c r="B33" s="10">
        <f ca="1">SMALL(MLR!$H$16:$H$51,A33)</f>
        <v>4.9419364270012256E-2</v>
      </c>
      <c r="C33" s="10">
        <f t="shared" si="1"/>
        <v>0.70833333333333337</v>
      </c>
      <c r="D33" s="10">
        <f t="shared" si="2"/>
        <v>0.54852228269809822</v>
      </c>
      <c r="F33">
        <f t="shared" si="3"/>
        <v>26</v>
      </c>
      <c r="G33" s="10">
        <f ca="1">SMALL(MLR!$J$16:$J$51,F33)</f>
        <v>1.0400682269413126</v>
      </c>
      <c r="H33" s="10">
        <f t="shared" si="4"/>
        <v>0.70833333333333337</v>
      </c>
      <c r="I33" s="10">
        <f t="shared" si="5"/>
        <v>0.54852228269809822</v>
      </c>
    </row>
    <row r="34" spans="1:9" x14ac:dyDescent="0.2">
      <c r="A34">
        <f t="shared" si="0"/>
        <v>27</v>
      </c>
      <c r="B34" s="10">
        <f ca="1">SMALL(MLR!$H$16:$H$51,A34)</f>
        <v>5.0423102214775861E-2</v>
      </c>
      <c r="C34" s="10">
        <f t="shared" si="1"/>
        <v>0.73611111111111116</v>
      </c>
      <c r="D34" s="10">
        <f t="shared" si="2"/>
        <v>0.63140189423976112</v>
      </c>
      <c r="F34">
        <f t="shared" si="3"/>
        <v>27</v>
      </c>
      <c r="G34" s="10">
        <f ca="1">SMALL(MLR!$J$16:$J$51,F34)</f>
        <v>1.0944115020309486</v>
      </c>
      <c r="H34" s="10">
        <f t="shared" si="4"/>
        <v>0.73611111111111116</v>
      </c>
      <c r="I34" s="10">
        <f t="shared" si="5"/>
        <v>0.63140189423976112</v>
      </c>
    </row>
    <row r="35" spans="1:9" x14ac:dyDescent="0.2">
      <c r="A35">
        <f t="shared" si="0"/>
        <v>28</v>
      </c>
      <c r="B35" s="10">
        <f ca="1">SMALL(MLR!$H$16:$H$51,A35)</f>
        <v>5.1303875214586903E-2</v>
      </c>
      <c r="C35" s="10">
        <f t="shared" si="1"/>
        <v>0.76388888888888884</v>
      </c>
      <c r="D35" s="10">
        <f t="shared" si="2"/>
        <v>0.71886805282271604</v>
      </c>
      <c r="F35">
        <f t="shared" si="3"/>
        <v>28</v>
      </c>
      <c r="G35" s="10">
        <f ca="1">SMALL(MLR!$J$16:$J$51,F35)</f>
        <v>1.1120020118193856</v>
      </c>
      <c r="H35" s="10">
        <f t="shared" si="4"/>
        <v>0.76388888888888884</v>
      </c>
      <c r="I35" s="10">
        <f t="shared" si="5"/>
        <v>0.71886805282271604</v>
      </c>
    </row>
    <row r="36" spans="1:9" x14ac:dyDescent="0.2">
      <c r="A36">
        <f t="shared" si="0"/>
        <v>29</v>
      </c>
      <c r="B36" s="10">
        <f ca="1">SMALL(MLR!$H$16:$H$51,A36)</f>
        <v>5.5939725280277797E-2</v>
      </c>
      <c r="C36" s="10">
        <f t="shared" si="1"/>
        <v>0.79166666666666663</v>
      </c>
      <c r="D36" s="10">
        <f t="shared" si="2"/>
        <v>0.81221780149991241</v>
      </c>
      <c r="F36">
        <f t="shared" si="3"/>
        <v>29</v>
      </c>
      <c r="G36" s="10">
        <f ca="1">SMALL(MLR!$J$16:$J$51,F36)</f>
        <v>1.119146081869578</v>
      </c>
      <c r="H36" s="10">
        <f t="shared" si="4"/>
        <v>0.79166666666666663</v>
      </c>
      <c r="I36" s="10">
        <f t="shared" si="5"/>
        <v>0.81221780149991241</v>
      </c>
    </row>
    <row r="37" spans="1:9" x14ac:dyDescent="0.2">
      <c r="A37">
        <f t="shared" si="0"/>
        <v>30</v>
      </c>
      <c r="B37" s="10">
        <f ca="1">SMALL(MLR!$H$16:$H$51,A37)</f>
        <v>6.1173280675709041E-2</v>
      </c>
      <c r="C37" s="10">
        <f t="shared" si="1"/>
        <v>0.81944444444444442</v>
      </c>
      <c r="D37" s="10">
        <f t="shared" si="2"/>
        <v>0.91324992668360727</v>
      </c>
      <c r="F37">
        <f t="shared" si="3"/>
        <v>30</v>
      </c>
      <c r="G37" s="10">
        <f ca="1">SMALL(MLR!$J$16:$J$51,F37)</f>
        <v>1.1217334273267003</v>
      </c>
      <c r="H37" s="10">
        <f t="shared" si="4"/>
        <v>0.81944444444444442</v>
      </c>
      <c r="I37" s="10">
        <f t="shared" si="5"/>
        <v>0.91324992668360727</v>
      </c>
    </row>
    <row r="38" spans="1:9" x14ac:dyDescent="0.2">
      <c r="A38">
        <f t="shared" si="0"/>
        <v>31</v>
      </c>
      <c r="B38" s="10">
        <f ca="1">SMALL(MLR!$H$16:$H$51,A38)</f>
        <v>6.2360023546143228E-2</v>
      </c>
      <c r="C38" s="10">
        <f t="shared" si="1"/>
        <v>0.84722222222222221</v>
      </c>
      <c r="D38" s="10">
        <f t="shared" si="2"/>
        <v>1.024592392540099</v>
      </c>
      <c r="F38">
        <f t="shared" si="3"/>
        <v>31</v>
      </c>
      <c r="G38" s="10">
        <f ca="1">SMALL(MLR!$J$16:$J$51,F38)</f>
        <v>1.1850264402160997</v>
      </c>
      <c r="H38" s="10">
        <f t="shared" si="4"/>
        <v>0.84722222222222221</v>
      </c>
      <c r="I38" s="10">
        <f t="shared" si="5"/>
        <v>1.024592392540099</v>
      </c>
    </row>
    <row r="39" spans="1:9" x14ac:dyDescent="0.2">
      <c r="A39">
        <f t="shared" si="0"/>
        <v>32</v>
      </c>
      <c r="B39" s="10">
        <f ca="1">SMALL(MLR!$H$16:$H$51,A39)</f>
        <v>6.6185526231740788E-2</v>
      </c>
      <c r="C39" s="10">
        <f t="shared" si="1"/>
        <v>0.875</v>
      </c>
      <c r="D39" s="10">
        <f t="shared" si="2"/>
        <v>1.1503493803760083</v>
      </c>
      <c r="F39">
        <f t="shared" si="3"/>
        <v>32</v>
      </c>
      <c r="G39" s="10">
        <f ca="1">SMALL(MLR!$J$16:$J$51,F39)</f>
        <v>1.2085726701151118</v>
      </c>
      <c r="H39" s="10">
        <f t="shared" si="4"/>
        <v>0.875</v>
      </c>
      <c r="I39" s="10">
        <f t="shared" si="5"/>
        <v>1.1503493803760083</v>
      </c>
    </row>
    <row r="40" spans="1:9" x14ac:dyDescent="0.2">
      <c r="A40">
        <f t="shared" si="0"/>
        <v>33</v>
      </c>
      <c r="B40" s="10">
        <f ca="1">SMALL(MLR!$H$16:$H$51,A40)</f>
        <v>0.12057222973697157</v>
      </c>
      <c r="C40" s="10">
        <f t="shared" si="1"/>
        <v>0.90277777777777779</v>
      </c>
      <c r="D40" s="10">
        <f t="shared" si="2"/>
        <v>1.2975429286165541</v>
      </c>
      <c r="F40">
        <f t="shared" si="3"/>
        <v>33</v>
      </c>
      <c r="G40" s="10">
        <f ca="1">SMALL(MLR!$J$16:$J$51,F40)</f>
        <v>1.2128881294793152</v>
      </c>
      <c r="H40" s="10">
        <f t="shared" si="4"/>
        <v>0.90277777777777779</v>
      </c>
      <c r="I40" s="10">
        <f t="shared" si="5"/>
        <v>1.2975429286165541</v>
      </c>
    </row>
    <row r="41" spans="1:9" x14ac:dyDescent="0.2">
      <c r="A41">
        <f t="shared" si="0"/>
        <v>34</v>
      </c>
      <c r="B41" s="10">
        <f ca="1">SMALL(MLR!$H$16:$H$51,A41)</f>
        <v>0.1453972041073317</v>
      </c>
      <c r="C41" s="10">
        <f t="shared" si="1"/>
        <v>0.93055555555555558</v>
      </c>
      <c r="D41" s="10">
        <f t="shared" si="2"/>
        <v>1.4799413890351927</v>
      </c>
      <c r="F41">
        <f t="shared" si="3"/>
        <v>34</v>
      </c>
      <c r="G41" s="10">
        <f ca="1">SMALL(MLR!$J$16:$J$51,F41)</f>
        <v>1.285762114103892</v>
      </c>
      <c r="H41" s="10">
        <f t="shared" si="4"/>
        <v>0.93055555555555558</v>
      </c>
      <c r="I41" s="10">
        <f t="shared" si="5"/>
        <v>1.4799413890351927</v>
      </c>
    </row>
    <row r="42" spans="1:9" x14ac:dyDescent="0.2">
      <c r="A42">
        <f t="shared" si="0"/>
        <v>35</v>
      </c>
      <c r="B42" s="10">
        <f ca="1">SMALL(MLR!$H$16:$H$51,A42)</f>
        <v>0.22754047072433825</v>
      </c>
      <c r="C42" s="10">
        <f t="shared" si="1"/>
        <v>0.95833333333333337</v>
      </c>
      <c r="D42" s="10">
        <f t="shared" si="2"/>
        <v>1.7316643961222455</v>
      </c>
      <c r="F42">
        <f t="shared" si="3"/>
        <v>35</v>
      </c>
      <c r="G42" s="10">
        <f ca="1">SMALL(MLR!$J$16:$J$51,F42)</f>
        <v>1.3515287146880119</v>
      </c>
      <c r="H42" s="10">
        <f t="shared" si="4"/>
        <v>0.95833333333333337</v>
      </c>
      <c r="I42" s="10">
        <f t="shared" si="5"/>
        <v>1.7316643961222455</v>
      </c>
    </row>
    <row r="43" spans="1:9" x14ac:dyDescent="0.2">
      <c r="A43">
        <f t="shared" si="0"/>
        <v>36</v>
      </c>
      <c r="B43" s="10">
        <f ca="1">SMALL(MLR!$H$16:$H$51,A43)</f>
        <v>0.24541740620695918</v>
      </c>
      <c r="C43" s="10">
        <f t="shared" si="1"/>
        <v>0.98611111111111116</v>
      </c>
      <c r="D43" s="10">
        <f t="shared" si="2"/>
        <v>2.2004105812100336</v>
      </c>
      <c r="F43">
        <f t="shared" si="3"/>
        <v>36</v>
      </c>
      <c r="G43" s="10">
        <f ca="1">SMALL(MLR!$J$16:$J$51,F43)</f>
        <v>1.4028615278337524</v>
      </c>
      <c r="H43" s="10">
        <f t="shared" si="4"/>
        <v>0.98611111111111116</v>
      </c>
      <c r="I43" s="10">
        <f t="shared" si="5"/>
        <v>2.2004105812100336</v>
      </c>
    </row>
    <row r="46" spans="1:9" x14ac:dyDescent="0.2">
      <c r="A46" s="3" t="s">
        <v>108</v>
      </c>
    </row>
    <row r="48" spans="1:9" x14ac:dyDescent="0.2">
      <c r="A48" s="19" t="s">
        <v>49</v>
      </c>
      <c r="F48" s="19" t="s">
        <v>162</v>
      </c>
    </row>
    <row r="49" spans="1:7" x14ac:dyDescent="0.2">
      <c r="A49" t="s">
        <v>109</v>
      </c>
      <c r="B49" t="s">
        <v>110</v>
      </c>
      <c r="F49" t="s">
        <v>109</v>
      </c>
      <c r="G49" t="s">
        <v>110</v>
      </c>
    </row>
    <row r="50" spans="1:7" x14ac:dyDescent="0.2">
      <c r="A50" s="10">
        <f ca="1">MIN(MLR!$H$16:$H$51)+(MAX(MLR!$H$16:$H$51)-MIN(MLR!$H$16:$H$51))/6*(ROW()-49)</f>
        <v>-0.11184334914515769</v>
      </c>
      <c r="B50" cm="1">
        <f t="array" aca="1" ref="B50:B56" ca="1">FREQUENCY(MLR!H16:H51,A50:A55)</f>
        <v>1</v>
      </c>
      <c r="F50" s="10">
        <f ca="1">MIN(MLR!$J$16:$J$51)+(MAX(MLR!$J$16:$J$51)-MIN(MLR!$J$16:$J$51))/6*(ROW()-49)</f>
        <v>0.27650372271379292</v>
      </c>
      <c r="G50" cm="1">
        <f t="array" aca="1" ref="G50:G56" ca="1">FREQUENCY(MLR!J16:J51,F50:F55)</f>
        <v>10</v>
      </c>
    </row>
    <row r="51" spans="1:7" x14ac:dyDescent="0.2">
      <c r="A51" s="10">
        <f ca="1">MIN(MLR!$H$16:$H$51)+(MAX(MLR!$H$16:$H$51)-MIN(MLR!$H$16:$H$51))/6*(ROW()-49)</f>
        <v>-4.0391198074734319E-2</v>
      </c>
      <c r="B51">
        <f ca="1"/>
        <v>11</v>
      </c>
      <c r="F51" s="10">
        <f ca="1">MIN(MLR!$J$16:$J$51)+(MAX(MLR!$J$16:$J$51)-MIN(MLR!$J$16:$J$51))/6*(ROW()-49)</f>
        <v>0.50177528373778479</v>
      </c>
      <c r="G51">
        <f ca="1"/>
        <v>5</v>
      </c>
    </row>
    <row r="52" spans="1:7" x14ac:dyDescent="0.2">
      <c r="A52" s="10">
        <f ca="1">MIN(MLR!$H$16:$H$51)+(MAX(MLR!$H$16:$H$51)-MIN(MLR!$H$16:$H$51))/6*(ROW()-49)</f>
        <v>3.1060952995689062E-2</v>
      </c>
      <c r="B52">
        <f ca="1"/>
        <v>12</v>
      </c>
      <c r="F52" s="10">
        <f ca="1">MIN(MLR!$J$16:$J$51)+(MAX(MLR!$J$16:$J$51)-MIN(MLR!$J$16:$J$51))/6*(ROW()-49)</f>
        <v>0.72704684476177672</v>
      </c>
      <c r="G52">
        <f ca="1"/>
        <v>2</v>
      </c>
    </row>
    <row r="53" spans="1:7" x14ac:dyDescent="0.2">
      <c r="A53" s="10">
        <f ca="1">MIN(MLR!$H$16:$H$51)+(MAX(MLR!$H$16:$H$51)-MIN(MLR!$H$16:$H$51))/6*(ROW()-49)</f>
        <v>0.10251310406611241</v>
      </c>
      <c r="B53">
        <f ca="1"/>
        <v>8</v>
      </c>
      <c r="F53" s="10">
        <f ca="1">MIN(MLR!$J$16:$J$51)+(MAX(MLR!$J$16:$J$51)-MIN(MLR!$J$16:$J$51))/6*(ROW()-49)</f>
        <v>0.95231840578576865</v>
      </c>
      <c r="G53">
        <f ca="1"/>
        <v>6</v>
      </c>
    </row>
    <row r="54" spans="1:7" x14ac:dyDescent="0.2">
      <c r="A54" s="10">
        <f ca="1">MIN(MLR!$H$16:$H$51)+(MAX(MLR!$H$16:$H$51)-MIN(MLR!$H$16:$H$51))/6*(ROW()-49)</f>
        <v>0.17396525513653577</v>
      </c>
      <c r="B54">
        <f ca="1"/>
        <v>2</v>
      </c>
      <c r="F54" s="10">
        <f ca="1">MIN(MLR!$J$16:$J$51)+(MAX(MLR!$J$16:$J$51)-MIN(MLR!$J$16:$J$51))/6*(ROW()-49)</f>
        <v>1.1775899668097605</v>
      </c>
      <c r="G54">
        <f ca="1"/>
        <v>7</v>
      </c>
    </row>
    <row r="55" spans="1:7" x14ac:dyDescent="0.2">
      <c r="A55" s="10">
        <f ca="1">MIN(MLR!$H$16:$H$51)+(MAX(MLR!$H$16:$H$51)-MIN(MLR!$H$16:$H$51))/6*(ROW()-49)</f>
        <v>0.24541740620695918</v>
      </c>
      <c r="B55">
        <f ca="1"/>
        <v>2</v>
      </c>
      <c r="F55" s="10">
        <f ca="1">MIN(MLR!$J$16:$J$51)+(MAX(MLR!$J$16:$J$51)-MIN(MLR!$J$16:$J$51))/6*(ROW()-49)</f>
        <v>1.4028615278337524</v>
      </c>
      <c r="G55">
        <f ca="1"/>
        <v>6</v>
      </c>
    </row>
    <row r="56" spans="1:7" x14ac:dyDescent="0.2">
      <c r="B56">
        <f ca="1"/>
        <v>0</v>
      </c>
      <c r="G56">
        <f ca="1"/>
        <v>0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9ED55-E76F-994F-B443-52EBC6C912D6}">
  <dimension ref="A1:E721"/>
  <sheetViews>
    <sheetView zoomScale="16" workbookViewId="0">
      <selection activeCell="A2" sqref="A2"/>
    </sheetView>
  </sheetViews>
  <sheetFormatPr baseColWidth="10" defaultRowHeight="16" x14ac:dyDescent="0.2"/>
  <sheetData>
    <row r="1" spans="1:5" ht="18" x14ac:dyDescent="0.25">
      <c r="A1" s="23" t="s">
        <v>111</v>
      </c>
    </row>
    <row r="2" spans="1:5" x14ac:dyDescent="0.2">
      <c r="A2" s="24"/>
    </row>
    <row r="4" spans="1:5" x14ac:dyDescent="0.2">
      <c r="A4" t="s">
        <v>0</v>
      </c>
      <c r="B4" t="s">
        <v>1</v>
      </c>
      <c r="C4" t="s">
        <v>2</v>
      </c>
      <c r="D4" t="s">
        <v>3</v>
      </c>
      <c r="E4" t="s">
        <v>4</v>
      </c>
    </row>
    <row r="5" spans="1:5" x14ac:dyDescent="0.2">
      <c r="A5" s="1">
        <f>Data!$A$717</f>
        <v>45081</v>
      </c>
      <c r="B5" s="11">
        <f>Data!$F$717</f>
        <v>1.9384172195773708E-2</v>
      </c>
      <c r="C5" s="11">
        <f>Data!$G$717</f>
        <v>2.7442702050663348E-2</v>
      </c>
      <c r="D5" s="11">
        <f>Data!$H$717</f>
        <v>-1.1545416608707781E-2</v>
      </c>
      <c r="E5" s="11">
        <f>Data!$I$717</f>
        <v>7.2680632749038132E-3</v>
      </c>
    </row>
    <row r="6" spans="1:5" x14ac:dyDescent="0.2">
      <c r="A6" s="1" cm="1">
        <f t="array" ref="A6">INDEX(Data!$A:$A,717-(ROW()-5))</f>
        <v>45082</v>
      </c>
      <c r="B6" s="11" cm="1">
        <f t="array" ref="B6">(1+B5)*(1+INDEX(Data!$F:$F,717-(ROW()-5)))-1</f>
        <v>2.220126913977305E-2</v>
      </c>
      <c r="C6" s="11" cm="1">
        <f t="array" ref="C6">(1+C5)*(1+INDEX(Data!$G:$G,717-(ROW()-5)))-1</f>
        <v>3.4378769601929982E-2</v>
      </c>
      <c r="D6" s="11" cm="1">
        <f t="array" ref="D6">(1+D5)*(1+INDEX(Data!$H:$H,717-(ROW()-5)))-1</f>
        <v>-1.098901098901095E-2</v>
      </c>
      <c r="E6" s="11" cm="1">
        <f t="array" ref="E6">(1+E5)*(1+INDEX(Data!$I:$I,717-(ROW()-5)))-1</f>
        <v>9.8332620778112112E-3</v>
      </c>
    </row>
    <row r="7" spans="1:5" x14ac:dyDescent="0.2">
      <c r="A7" s="1" cm="1">
        <f t="array" ref="A7">INDEX(Data!$A:$A,717-(ROW()-5))</f>
        <v>45083</v>
      </c>
      <c r="B7" s="11" cm="1">
        <f t="array" ref="B7">(1+B6)*(1+INDEX(Data!$F:$F,717-(ROW()-5)))-1</f>
        <v>1.5572125201737785E-2</v>
      </c>
      <c r="C7" s="11" cm="1">
        <f t="array" ref="C7">(1+C6)*(1+INDEX(Data!$G:$G,717-(ROW()-5)))-1</f>
        <v>3.1664656212303965E-2</v>
      </c>
      <c r="D7" s="11" cm="1">
        <f t="array" ref="D7">(1+D6)*(1+INDEX(Data!$H:$H,717-(ROW()-5)))-1</f>
        <v>-3.2688830157184601E-2</v>
      </c>
      <c r="E7" s="11" cm="1">
        <f t="array" ref="E7">(1+E6)*(1+INDEX(Data!$I:$I,717-(ROW()-5)))-1</f>
        <v>9.8332620778112112E-3</v>
      </c>
    </row>
    <row r="8" spans="1:5" x14ac:dyDescent="0.2">
      <c r="A8" s="1" cm="1">
        <f t="array" ref="A8">INDEX(Data!$A:$A,717-(ROW()-5))</f>
        <v>45084</v>
      </c>
      <c r="B8" s="11" cm="1">
        <f t="array" ref="B8">(1+B7)*(1+INDEX(Data!$F:$F,717-(ROW()-5)))-1</f>
        <v>3.5737217494923978E-2</v>
      </c>
      <c r="C8" s="11" cm="1">
        <f t="array" ref="C8">(1+C7)*(1+INDEX(Data!$G:$G,717-(ROW()-5)))-1</f>
        <v>7.3884197828709475E-2</v>
      </c>
      <c r="D8" s="11" cm="1">
        <f t="array" ref="D8">(1+D7)*(1+INDEX(Data!$H:$H,717-(ROW()-5)))-1</f>
        <v>-2.5038252886354195E-2</v>
      </c>
      <c r="E8" s="11" cm="1">
        <f t="array" ref="E8">(1+E7)*(1+INDEX(Data!$I:$I,717-(ROW()-5)))-1</f>
        <v>1.4963659683625563E-2</v>
      </c>
    </row>
    <row r="9" spans="1:5" x14ac:dyDescent="0.2">
      <c r="A9" s="1" cm="1">
        <f t="array" ref="A9">INDEX(Data!$A:$A,717-(ROW()-5))</f>
        <v>45085</v>
      </c>
      <c r="B9" s="11" cm="1">
        <f t="array" ref="B9">(1+B8)*(1+INDEX(Data!$F:$F,717-(ROW()-5)))-1</f>
        <v>4.1816825068113683E-2</v>
      </c>
      <c r="C9" s="11" cm="1">
        <f t="array" ref="C9">(1+C8)*(1+INDEX(Data!$G:$G,717-(ROW()-5)))-1</f>
        <v>6.8154402895054478E-2</v>
      </c>
      <c r="D9" s="11" cm="1">
        <f t="array" ref="D9">(1+D8)*(1+INDEX(Data!$H:$H,717-(ROW()-5)))-1</f>
        <v>-2.8933092224231571E-2</v>
      </c>
      <c r="E9" s="11" cm="1">
        <f t="array" ref="E9">(1+E8)*(1+INDEX(Data!$I:$I,717-(ROW()-5)))-1</f>
        <v>1.4963659683625563E-2</v>
      </c>
    </row>
    <row r="10" spans="1:5" x14ac:dyDescent="0.2">
      <c r="A10" s="1" cm="1">
        <f t="array" ref="A10">INDEX(Data!$A:$A,717-(ROW()-5))</f>
        <v>45088</v>
      </c>
      <c r="B10" s="11" cm="1">
        <f t="array" ref="B10">(1+B9)*(1+INDEX(Data!$F:$F,717-(ROW()-5)))-1</f>
        <v>4.2053993393994515E-2</v>
      </c>
      <c r="C10" s="11" cm="1">
        <f t="array" ref="C10">(1+C9)*(1+INDEX(Data!$G:$G,717-(ROW()-5)))-1</f>
        <v>6.7249698431845806E-2</v>
      </c>
      <c r="D10" s="11" cm="1">
        <f t="array" ref="D10">(1+D9)*(1+INDEX(Data!$H:$H,717-(ROW()-5)))-1</f>
        <v>-5.5640561969676483E-3</v>
      </c>
      <c r="E10" s="11" cm="1">
        <f t="array" ref="E10">(1+E9)*(1+INDEX(Data!$I:$I,717-(ROW()-5)))-1</f>
        <v>1.7956391620350676E-2</v>
      </c>
    </row>
    <row r="11" spans="1:5" x14ac:dyDescent="0.2">
      <c r="A11" s="1" cm="1">
        <f t="array" ref="A11">INDEX(Data!$A:$A,717-(ROW()-5))</f>
        <v>45089</v>
      </c>
      <c r="B11" s="11" cm="1">
        <f t="array" ref="B11">(1+B10)*(1+INDEX(Data!$F:$F,717-(ROW()-5)))-1</f>
        <v>5.2402630833039421E-2</v>
      </c>
      <c r="C11" s="11" cm="1">
        <f t="array" ref="C11">(1+C10)*(1+INDEX(Data!$G:$G,717-(ROW()-5)))-1</f>
        <v>0.13691194209891444</v>
      </c>
      <c r="D11" s="11" cm="1">
        <f t="array" ref="D11">(1+D10)*(1+INDEX(Data!$H:$H,717-(ROW()-5)))-1</f>
        <v>-5.4249547920434127E-3</v>
      </c>
      <c r="E11" s="11" cm="1">
        <f t="array" ref="E11">(1+E10)*(1+INDEX(Data!$I:$I,717-(ROW()-5)))-1</f>
        <v>1.7956391620350676E-2</v>
      </c>
    </row>
    <row r="12" spans="1:5" x14ac:dyDescent="0.2">
      <c r="A12" s="1" cm="1">
        <f t="array" ref="A12">INDEX(Data!$A:$A,717-(ROW()-5))</f>
        <v>45090</v>
      </c>
      <c r="B12" s="11" cm="1">
        <f t="array" ref="B12">(1+B11)*(1+INDEX(Data!$F:$F,717-(ROW()-5)))-1</f>
        <v>5.9043343957703165E-2</v>
      </c>
      <c r="C12" s="11" cm="1">
        <f t="array" ref="C12">(1+C11)*(1+INDEX(Data!$G:$G,717-(ROW()-5)))-1</f>
        <v>0.14535585042219545</v>
      </c>
      <c r="D12" s="11" cm="1">
        <f t="array" ref="D12">(1+D11)*(1+INDEX(Data!$H:$H,717-(ROW()-5)))-1</f>
        <v>-1.2101822228404502E-2</v>
      </c>
      <c r="E12" s="11" cm="1">
        <f t="array" ref="E12">(1+E11)*(1+INDEX(Data!$I:$I,717-(ROW()-5)))-1</f>
        <v>1.838392475416839E-2</v>
      </c>
    </row>
    <row r="13" spans="1:5" x14ac:dyDescent="0.2">
      <c r="A13" s="1" cm="1">
        <f t="array" ref="A13">INDEX(Data!$A:$A,717-(ROW()-5))</f>
        <v>45091</v>
      </c>
      <c r="B13" s="11" cm="1">
        <f t="array" ref="B13">(1+B12)*(1+INDEX(Data!$F:$F,717-(ROW()-5)))-1</f>
        <v>5.574612576862803E-2</v>
      </c>
      <c r="C13" s="11" cm="1">
        <f t="array" ref="C13">(1+C12)*(1+INDEX(Data!$G:$G,717-(ROW()-5)))-1</f>
        <v>0.12032569360675516</v>
      </c>
      <c r="D13" s="11" cm="1">
        <f t="array" ref="D13">(1+D12)*(1+INDEX(Data!$H:$H,717-(ROW()-5)))-1</f>
        <v>-2.6568368340520232E-2</v>
      </c>
      <c r="E13" s="11" cm="1">
        <f t="array" ref="E13">(1+E12)*(1+INDEX(Data!$I:$I,717-(ROW()-5)))-1</f>
        <v>1.838392475416839E-2</v>
      </c>
    </row>
    <row r="14" spans="1:5" x14ac:dyDescent="0.2">
      <c r="A14" s="1" cm="1">
        <f t="array" ref="A14">INDEX(Data!$A:$A,717-(ROW()-5))</f>
        <v>45092</v>
      </c>
      <c r="B14" s="11" cm="1">
        <f t="array" ref="B14">(1+B13)*(1+INDEX(Data!$F:$F,717-(ROW()-5)))-1</f>
        <v>6.530227392363197E-2</v>
      </c>
      <c r="C14" s="11" cm="1">
        <f t="array" ref="C14">(1+C13)*(1+INDEX(Data!$G:$G,717-(ROW()-5)))-1</f>
        <v>0.13902291917973475</v>
      </c>
      <c r="D14" s="11" cm="1">
        <f t="array" ref="D14">(1+D13)*(1+INDEX(Data!$H:$H,717-(ROW()-5)))-1</f>
        <v>-2.4064543051884768E-2</v>
      </c>
      <c r="E14" s="11" cm="1">
        <f t="array" ref="E14">(1+E13)*(1+INDEX(Data!$I:$I,717-(ROW()-5)))-1</f>
        <v>1.8811457887986327E-2</v>
      </c>
    </row>
    <row r="15" spans="1:5" x14ac:dyDescent="0.2">
      <c r="A15" s="1" cm="1">
        <f t="array" ref="A15">INDEX(Data!$A:$A,717-(ROW()-5))</f>
        <v>45095</v>
      </c>
      <c r="B15" s="11" cm="1">
        <f t="array" ref="B15">(1+B14)*(1+INDEX(Data!$F:$F,717-(ROW()-5)))-1</f>
        <v>5.7591411035847306E-2</v>
      </c>
      <c r="C15" s="11" cm="1">
        <f t="array" ref="C15">(1+C14)*(1+INDEX(Data!$G:$G,717-(ROW()-5)))-1</f>
        <v>0.1550060313630881</v>
      </c>
      <c r="D15" s="11" cm="1">
        <f t="array" ref="D15">(1+D14)*(1+INDEX(Data!$H:$H,717-(ROW()-5)))-1</f>
        <v>-2.3090833217415563E-2</v>
      </c>
      <c r="E15" s="11" cm="1">
        <f t="array" ref="E15">(1+E14)*(1+INDEX(Data!$I:$I,717-(ROW()-5)))-1</f>
        <v>1.8811457887986327E-2</v>
      </c>
    </row>
    <row r="16" spans="1:5" x14ac:dyDescent="0.2">
      <c r="A16" s="1" cm="1">
        <f t="array" ref="A16">INDEX(Data!$A:$A,717-(ROW()-5))</f>
        <v>45096</v>
      </c>
      <c r="B16" s="11" cm="1">
        <f t="array" ref="B16">(1+B15)*(1+INDEX(Data!$F:$F,717-(ROW()-5)))-1</f>
        <v>6.1056382431033507E-2</v>
      </c>
      <c r="C16" s="11" cm="1">
        <f t="array" ref="C16">(1+C15)*(1+INDEX(Data!$G:$G,717-(ROW()-5)))-1</f>
        <v>0.14414957780458382</v>
      </c>
      <c r="D16" s="11" cm="1">
        <f t="array" ref="D16">(1+D15)*(1+INDEX(Data!$H:$H,717-(ROW()-5)))-1</f>
        <v>-1.2240923633328737E-2</v>
      </c>
      <c r="E16" s="11" cm="1">
        <f t="array" ref="E16">(1+E15)*(1+INDEX(Data!$I:$I,717-(ROW()-5)))-1</f>
        <v>4.7456177853783643E-2</v>
      </c>
    </row>
    <row r="17" spans="1:5" x14ac:dyDescent="0.2">
      <c r="A17" s="1" cm="1">
        <f t="array" ref="A17">INDEX(Data!$A:$A,717-(ROW()-5))</f>
        <v>45097</v>
      </c>
      <c r="B17" s="11" cm="1">
        <f t="array" ref="B17">(1+B16)*(1+INDEX(Data!$F:$F,717-(ROW()-5)))-1</f>
        <v>5.9679649222261766E-2</v>
      </c>
      <c r="C17" s="11" cm="1">
        <f t="array" ref="C17">(1+C16)*(1+INDEX(Data!$G:$G,717-(ROW()-5)))-1</f>
        <v>0.1471652593486128</v>
      </c>
      <c r="D17" s="11" cm="1">
        <f t="array" ref="D17">(1+D16)*(1+INDEX(Data!$H:$H,717-(ROW()-5)))-1</f>
        <v>-1.0710808179162701E-2</v>
      </c>
      <c r="E17" s="11" cm="1">
        <f t="array" ref="E17">(1+E16)*(1+INDEX(Data!$I:$I,717-(ROW()-5)))-1</f>
        <v>4.9166310389055168E-2</v>
      </c>
    </row>
    <row r="18" spans="1:5" x14ac:dyDescent="0.2">
      <c r="A18" s="1" cm="1">
        <f t="array" ref="A18">INDEX(Data!$A:$A,717-(ROW()-5))</f>
        <v>45098</v>
      </c>
      <c r="B18" s="11" cm="1">
        <f t="array" ref="B18">(1+B17)*(1+INDEX(Data!$F:$F,717-(ROW()-5)))-1</f>
        <v>4.7156004697090026E-2</v>
      </c>
      <c r="C18" s="11" cm="1">
        <f t="array" ref="C18">(1+C17)*(1+INDEX(Data!$G:$G,717-(ROW()-5)))-1</f>
        <v>0.13661037394451148</v>
      </c>
      <c r="D18" s="11" cm="1">
        <f t="array" ref="D18">(1+D17)*(1+INDEX(Data!$H:$H,717-(ROW()-5)))-1</f>
        <v>-6.5377660314370756E-3</v>
      </c>
      <c r="E18" s="11" cm="1">
        <f t="array" ref="E18">(1+E17)*(1+INDEX(Data!$I:$I,717-(ROW()-5)))-1</f>
        <v>6.5840102607952256E-2</v>
      </c>
    </row>
    <row r="19" spans="1:5" x14ac:dyDescent="0.2">
      <c r="A19" s="1" cm="1">
        <f t="array" ref="A19">INDEX(Data!$A:$A,717-(ROW()-5))</f>
        <v>45099</v>
      </c>
      <c r="B19" s="11" cm="1">
        <f t="array" ref="B19">(1+B18)*(1+INDEX(Data!$F:$F,717-(ROW()-5)))-1</f>
        <v>4.5686717995291559E-2</v>
      </c>
      <c r="C19" s="11" cm="1">
        <f t="array" ref="C19">(1+C18)*(1+INDEX(Data!$G:$G,717-(ROW()-5)))-1</f>
        <v>0.13811821471652586</v>
      </c>
      <c r="D19" s="11" cm="1">
        <f t="array" ref="D19">(1+D18)*(1+INDEX(Data!$H:$H,717-(ROW()-5)))-1</f>
        <v>-4.0339407428017227E-3</v>
      </c>
      <c r="E19" s="11" cm="1">
        <f t="array" ref="E19">(1+E18)*(1+INDEX(Data!$I:$I,717-(ROW()-5)))-1</f>
        <v>8.6789226165028044E-2</v>
      </c>
    </row>
    <row r="20" spans="1:5" x14ac:dyDescent="0.2">
      <c r="A20" s="1" cm="1">
        <f t="array" ref="A20">INDEX(Data!$A:$A,717-(ROW()-5))</f>
        <v>45102</v>
      </c>
      <c r="B20" s="11" cm="1">
        <f t="array" ref="B20">(1+B19)*(1+INDEX(Data!$F:$F,717-(ROW()-5)))-1</f>
        <v>2.8714721211525296E-2</v>
      </c>
      <c r="C20" s="11" cm="1">
        <f t="array" ref="C20">(1+C19)*(1+INDEX(Data!$G:$G,717-(ROW()-5)))-1</f>
        <v>0.12575392038600719</v>
      </c>
      <c r="D20" s="11" cm="1">
        <f t="array" ref="D20">(1+D19)*(1+INDEX(Data!$H:$H,717-(ROW()-5)))-1</f>
        <v>-4.7294477674226787E-3</v>
      </c>
      <c r="E20" s="11" cm="1">
        <f t="array" ref="E20">(1+E19)*(1+INDEX(Data!$I:$I,717-(ROW()-5)))-1</f>
        <v>8.6789226165028044E-2</v>
      </c>
    </row>
    <row r="21" spans="1:5" x14ac:dyDescent="0.2">
      <c r="A21" s="1" cm="1">
        <f t="array" ref="A21">INDEX(Data!$A:$A,717-(ROW()-5))</f>
        <v>45103</v>
      </c>
      <c r="B21" s="11" cm="1">
        <f t="array" ref="B21">(1+B20)*(1+INDEX(Data!$F:$F,717-(ROW()-5)))-1</f>
        <v>3.4591868018719163E-2</v>
      </c>
      <c r="C21" s="11" cm="1">
        <f t="array" ref="C21">(1+C20)*(1+INDEX(Data!$G:$G,717-(ROW()-5)))-1</f>
        <v>0.12183353437876954</v>
      </c>
      <c r="D21" s="11" cm="1">
        <f t="array" ref="D21">(1+D20)*(1+INDEX(Data!$H:$H,717-(ROW()-5)))-1</f>
        <v>8.2069828905271258E-3</v>
      </c>
      <c r="E21" s="11" cm="1">
        <f t="array" ref="E21">(1+E20)*(1+INDEX(Data!$I:$I,717-(ROW()-5)))-1</f>
        <v>8.6789226165028044E-2</v>
      </c>
    </row>
    <row r="22" spans="1:5" x14ac:dyDescent="0.2">
      <c r="A22" s="1" cm="1">
        <f t="array" ref="A22">INDEX(Data!$A:$A,717-(ROW()-5))</f>
        <v>45104</v>
      </c>
      <c r="B22" s="11" cm="1">
        <f t="array" ref="B22">(1+B21)*(1+INDEX(Data!$F:$F,717-(ROW()-5)))-1</f>
        <v>2.4075477373563414E-2</v>
      </c>
      <c r="C22" s="11" cm="1">
        <f t="array" ref="C22">(1+C21)*(1+INDEX(Data!$G:$G,717-(ROW()-5)))-1</f>
        <v>9.0168878166465571E-2</v>
      </c>
      <c r="D22" s="11" cm="1">
        <f t="array" ref="D22">(1+D21)*(1+INDEX(Data!$H:$H,717-(ROW()-5)))-1</f>
        <v>2.5872861315899165E-2</v>
      </c>
      <c r="E22" s="11" cm="1">
        <f t="array" ref="E22">(1+E21)*(1+INDEX(Data!$I:$I,717-(ROW()-5)))-1</f>
        <v>8.6789226165028044E-2</v>
      </c>
    </row>
    <row r="23" spans="1:5" x14ac:dyDescent="0.2">
      <c r="A23" s="1" cm="1">
        <f t="array" ref="A23">INDEX(Data!$A:$A,717-(ROW()-5))</f>
        <v>45105</v>
      </c>
      <c r="B23" s="11" cm="1">
        <f t="array" ref="B23">(1+B22)*(1+INDEX(Data!$F:$F,717-(ROW()-5)))-1</f>
        <v>2.6267838239632857E-2</v>
      </c>
      <c r="C23" s="11" cm="1">
        <f t="array" ref="C23">(1+C22)*(1+INDEX(Data!$G:$G,717-(ROW()-5)))-1</f>
        <v>8.8661037394451192E-2</v>
      </c>
      <c r="D23" s="11" cm="1">
        <f t="array" ref="D23">(1+D22)*(1+INDEX(Data!$H:$H,717-(ROW()-5)))-1</f>
        <v>2.2951731812491216E-2</v>
      </c>
      <c r="E23" s="11" cm="1">
        <f t="array" ref="E23">(1+E22)*(1+INDEX(Data!$I:$I,717-(ROW()-5)))-1</f>
        <v>8.6789226165028044E-2</v>
      </c>
    </row>
    <row r="24" spans="1:5" x14ac:dyDescent="0.2">
      <c r="A24" s="1" cm="1">
        <f t="array" ref="A24">INDEX(Data!$A:$A,717-(ROW()-5))</f>
        <v>45106</v>
      </c>
      <c r="B24" s="11" cm="1">
        <f t="array" ref="B24">(1+B23)*(1+INDEX(Data!$F:$F,717-(ROW()-5)))-1</f>
        <v>2.7141311830072068E-2</v>
      </c>
      <c r="C24" s="11" cm="1">
        <f t="array" ref="C24">(1+C23)*(1+INDEX(Data!$G:$G,717-(ROW()-5)))-1</f>
        <v>8.4137515078407832E-2</v>
      </c>
      <c r="D24" s="11" cm="1">
        <f t="array" ref="D24">(1+D23)*(1+INDEX(Data!$H:$H,717-(ROW()-5)))-1</f>
        <v>3.1019613298094217E-2</v>
      </c>
      <c r="E24" s="11" cm="1">
        <f t="array" ref="E24">(1+E23)*(1+INDEX(Data!$I:$I,717-(ROW()-5)))-1</f>
        <v>8.6789226165028044E-2</v>
      </c>
    </row>
    <row r="25" spans="1:5" x14ac:dyDescent="0.2">
      <c r="A25" s="1" cm="1">
        <f t="array" ref="A25">INDEX(Data!$A:$A,717-(ROW()-5))</f>
        <v>45109</v>
      </c>
      <c r="B25" s="11" cm="1">
        <f t="array" ref="B25">(1+B24)*(1+INDEX(Data!$F:$F,717-(ROW()-5)))-1</f>
        <v>3.713130448363855E-2</v>
      </c>
      <c r="C25" s="11" cm="1">
        <f t="array" ref="C25">(1+C24)*(1+INDEX(Data!$G:$G,717-(ROW()-5)))-1</f>
        <v>7.2979493365500803E-2</v>
      </c>
      <c r="D25" s="11" cm="1">
        <f t="array" ref="D25">(1+D24)*(1+INDEX(Data!$H:$H,717-(ROW()-5)))-1</f>
        <v>2.573375991097504E-2</v>
      </c>
      <c r="E25" s="11" cm="1">
        <f t="array" ref="E25">(1+E24)*(1+INDEX(Data!$I:$I,717-(ROW()-5)))-1</f>
        <v>8.6789226165028044E-2</v>
      </c>
    </row>
    <row r="26" spans="1:5" x14ac:dyDescent="0.2">
      <c r="A26" s="1" cm="1">
        <f t="array" ref="A26">INDEX(Data!$A:$A,717-(ROW()-5))</f>
        <v>45110</v>
      </c>
      <c r="B26" s="11" cm="1">
        <f t="array" ref="B26">(1+B25)*(1+INDEX(Data!$F:$F,717-(ROW()-5)))-1</f>
        <v>3.4505099119006788E-2</v>
      </c>
      <c r="C26" s="11" cm="1">
        <f t="array" ref="C26">(1+C25)*(1+INDEX(Data!$G:$G,717-(ROW()-5)))-1</f>
        <v>0.10886610373944539</v>
      </c>
      <c r="D26" s="11" cm="1">
        <f t="array" ref="D26">(1+D25)*(1+INDEX(Data!$H:$H,717-(ROW()-5)))-1</f>
        <v>3.2132424537487658E-2</v>
      </c>
      <c r="E26" s="11" cm="1">
        <f t="array" ref="E26">(1+E25)*(1+INDEX(Data!$I:$I,717-(ROW()-5)))-1</f>
        <v>7.0542967079948893E-2</v>
      </c>
    </row>
    <row r="27" spans="1:5" x14ac:dyDescent="0.2">
      <c r="A27" s="1" cm="1">
        <f t="array" ref="A27">INDEX(Data!$A:$A,717-(ROW()-5))</f>
        <v>45111</v>
      </c>
      <c r="B27" s="11" cm="1">
        <f t="array" ref="B27">(1+B26)*(1+INDEX(Data!$F:$F,717-(ROW()-5)))-1</f>
        <v>3.9543479895646216E-2</v>
      </c>
      <c r="C27" s="11" cm="1">
        <f t="array" ref="C27">(1+C26)*(1+INDEX(Data!$G:$G,717-(ROW()-5)))-1</f>
        <v>9.8009650180941099E-2</v>
      </c>
      <c r="D27" s="11" cm="1">
        <f t="array" ref="D27">(1+D26)*(1+INDEX(Data!$H:$H,717-(ROW()-5)))-1</f>
        <v>2.8654889414382989E-2</v>
      </c>
      <c r="E27" s="11" cm="1">
        <f t="array" ref="E27">(1+E26)*(1+INDEX(Data!$I:$I,717-(ROW()-5)))-1</f>
        <v>7.2680632749038354E-2</v>
      </c>
    </row>
    <row r="28" spans="1:5" x14ac:dyDescent="0.2">
      <c r="A28" s="1" cm="1">
        <f t="array" ref="A28">INDEX(Data!$A:$A,717-(ROW()-5))</f>
        <v>45112</v>
      </c>
      <c r="B28" s="11" cm="1">
        <f t="array" ref="B28">(1+B27)*(1+INDEX(Data!$F:$F,717-(ROW()-5)))-1</f>
        <v>4.7960063167759248E-2</v>
      </c>
      <c r="C28" s="11" cm="1">
        <f t="array" ref="C28">(1+C27)*(1+INDEX(Data!$G:$G,717-(ROW()-5)))-1</f>
        <v>0.12394451145959007</v>
      </c>
      <c r="D28" s="11" cm="1">
        <f t="array" ref="D28">(1+D27)*(1+INDEX(Data!$H:$H,717-(ROW()-5)))-1</f>
        <v>6.5934065934065922E-2</v>
      </c>
      <c r="E28" s="11" cm="1">
        <f t="array" ref="E28">(1+E27)*(1+INDEX(Data!$I:$I,717-(ROW()-5)))-1</f>
        <v>7.2680632749038354E-2</v>
      </c>
    </row>
    <row r="29" spans="1:5" x14ac:dyDescent="0.2">
      <c r="A29" s="1" cm="1">
        <f t="array" ref="A29">INDEX(Data!$A:$A,717-(ROW()-5))</f>
        <v>45113</v>
      </c>
      <c r="B29" s="11" cm="1">
        <f t="array" ref="B29">(1+B28)*(1+INDEX(Data!$F:$F,717-(ROW()-5)))-1</f>
        <v>3.6361953572854322E-2</v>
      </c>
      <c r="C29" s="11" cm="1">
        <f t="array" ref="C29">(1+C28)*(1+INDEX(Data!$G:$G,717-(ROW()-5)))-1</f>
        <v>0.11580217129071202</v>
      </c>
      <c r="D29" s="11" cm="1">
        <f t="array" ref="D29">(1+D28)*(1+INDEX(Data!$H:$H,717-(ROW()-5)))-1</f>
        <v>9.1250521630268366E-2</v>
      </c>
      <c r="E29" s="11" cm="1">
        <f t="array" ref="E29">(1+E28)*(1+INDEX(Data!$I:$I,717-(ROW()-5)))-1</f>
        <v>5.5579307396323552E-2</v>
      </c>
    </row>
    <row r="30" spans="1:5" x14ac:dyDescent="0.2">
      <c r="A30" s="1" cm="1">
        <f t="array" ref="A30">INDEX(Data!$A:$A,717-(ROW()-5))</f>
        <v>45116</v>
      </c>
      <c r="B30" s="11" cm="1">
        <f t="array" ref="B30">(1+B29)*(1+INDEX(Data!$F:$F,717-(ROW()-5)))-1</f>
        <v>2.2363237752570209E-2</v>
      </c>
      <c r="C30" s="11" cm="1">
        <f t="array" ref="C30">(1+C29)*(1+INDEX(Data!$G:$G,717-(ROW()-5)))-1</f>
        <v>8.1423401688782038E-2</v>
      </c>
      <c r="D30" s="11" cm="1">
        <f t="array" ref="D30">(1+D29)*(1+INDEX(Data!$H:$H,717-(ROW()-5)))-1</f>
        <v>7.1359020726109224E-2</v>
      </c>
      <c r="E30" s="11" cm="1">
        <f t="array" ref="E30">(1+E29)*(1+INDEX(Data!$I:$I,717-(ROW()-5)))-1</f>
        <v>5.5579307396323552E-2</v>
      </c>
    </row>
    <row r="31" spans="1:5" x14ac:dyDescent="0.2">
      <c r="A31" s="1" cm="1">
        <f t="array" ref="A31">INDEX(Data!$A:$A,717-(ROW()-5))</f>
        <v>45117</v>
      </c>
      <c r="B31" s="11" cm="1">
        <f t="array" ref="B31">(1+B30)*(1+INDEX(Data!$F:$F,717-(ROW()-5)))-1</f>
        <v>3.1445049255812485E-2</v>
      </c>
      <c r="C31" s="11" cm="1">
        <f t="array" ref="C31">(1+C30)*(1+INDEX(Data!$G:$G,717-(ROW()-5)))-1</f>
        <v>9.650180940892672E-2</v>
      </c>
      <c r="D31" s="11" cm="1">
        <f t="array" ref="D31">(1+D30)*(1+INDEX(Data!$H:$H,717-(ROW()-5)))-1</f>
        <v>8.5408262623452247E-2</v>
      </c>
      <c r="E31" s="11" cm="1">
        <f t="array" ref="E31">(1+E30)*(1+INDEX(Data!$I:$I,717-(ROW()-5)))-1</f>
        <v>5.5579307396323552E-2</v>
      </c>
    </row>
    <row r="32" spans="1:5" x14ac:dyDescent="0.2">
      <c r="A32" s="1" cm="1">
        <f t="array" ref="A32">INDEX(Data!$A:$A,717-(ROW()-5))</f>
        <v>45118</v>
      </c>
      <c r="B32" s="11" cm="1">
        <f t="array" ref="B32">(1+B31)*(1+INDEX(Data!$F:$F,717-(ROW()-5)))-1</f>
        <v>4.1782117508229133E-2</v>
      </c>
      <c r="C32" s="11" cm="1">
        <f t="array" ref="C32">(1+C31)*(1+INDEX(Data!$G:$G,717-(ROW()-5)))-1</f>
        <v>0.10977080820265406</v>
      </c>
      <c r="D32" s="11" cm="1">
        <f t="array" ref="D32">(1+D31)*(1+INDEX(Data!$H:$H,717-(ROW()-5)))-1</f>
        <v>8.9024899151481263E-2</v>
      </c>
      <c r="E32" s="11" cm="1">
        <f t="array" ref="E32">(1+E31)*(1+INDEX(Data!$I:$I,717-(ROW()-5)))-1</f>
        <v>5.5579307396323552E-2</v>
      </c>
    </row>
    <row r="33" spans="1:5" x14ac:dyDescent="0.2">
      <c r="A33" s="1" cm="1">
        <f t="array" ref="A33">INDEX(Data!$A:$A,717-(ROW()-5))</f>
        <v>45119</v>
      </c>
      <c r="B33" s="11" cm="1">
        <f t="array" ref="B33">(1+B32)*(1+INDEX(Data!$F:$F,717-(ROW()-5)))-1</f>
        <v>6.0715091425497913E-2</v>
      </c>
      <c r="C33" s="11" cm="1">
        <f t="array" ref="C33">(1+C32)*(1+INDEX(Data!$G:$G,717-(ROW()-5)))-1</f>
        <v>0.11640530759951795</v>
      </c>
      <c r="D33" s="11" cm="1">
        <f t="array" ref="D33">(1+D32)*(1+INDEX(Data!$H:$H,717-(ROW()-5)))-1</f>
        <v>9.1250521630268366E-2</v>
      </c>
      <c r="E33" s="11" cm="1">
        <f t="array" ref="E33">(1+E32)*(1+INDEX(Data!$I:$I,717-(ROW()-5)))-1</f>
        <v>5.5579307396323552E-2</v>
      </c>
    </row>
    <row r="34" spans="1:5" x14ac:dyDescent="0.2">
      <c r="A34" s="1" cm="1">
        <f t="array" ref="A34">INDEX(Data!$A:$A,717-(ROW()-5))</f>
        <v>45120</v>
      </c>
      <c r="B34" s="11" cm="1">
        <f t="array" ref="B34">(1+B33)*(1+INDEX(Data!$F:$F,717-(ROW()-5)))-1</f>
        <v>6.3561111336068121E-2</v>
      </c>
      <c r="C34" s="11" cm="1">
        <f t="array" ref="C34">(1+C33)*(1+INDEX(Data!$G:$G,717-(ROW()-5)))-1</f>
        <v>0.11610373944511498</v>
      </c>
      <c r="D34" s="11" cm="1">
        <f t="array" ref="D34">(1+D33)*(1+INDEX(Data!$H:$H,717-(ROW()-5)))-1</f>
        <v>8.8885797746557138E-2</v>
      </c>
      <c r="E34" s="11" cm="1">
        <f t="array" ref="E34">(1+E33)*(1+INDEX(Data!$I:$I,717-(ROW()-5)))-1</f>
        <v>5.5579307396323552E-2</v>
      </c>
    </row>
    <row r="35" spans="1:5" x14ac:dyDescent="0.2">
      <c r="A35" s="1" cm="1">
        <f t="array" ref="A35">INDEX(Data!$A:$A,717-(ROW()-5))</f>
        <v>45123</v>
      </c>
      <c r="B35" s="11" cm="1">
        <f t="array" ref="B35">(1+B34)*(1+INDEX(Data!$F:$F,717-(ROW()-5)))-1</f>
        <v>5.6978244144546109E-2</v>
      </c>
      <c r="C35" s="11" cm="1">
        <f t="array" ref="C35">(1+C34)*(1+INDEX(Data!$G:$G,717-(ROW()-5)))-1</f>
        <v>0.11429433051869764</v>
      </c>
      <c r="D35" s="11" cm="1">
        <f t="array" ref="D35">(1+D34)*(1+INDEX(Data!$H:$H,717-(ROW()-5)))-1</f>
        <v>9.1528724440116838E-2</v>
      </c>
      <c r="E35" s="11" cm="1">
        <f t="array" ref="E35">(1+E34)*(1+INDEX(Data!$I:$I,717-(ROW()-5)))-1</f>
        <v>5.5579307396323552E-2</v>
      </c>
    </row>
    <row r="36" spans="1:5" x14ac:dyDescent="0.2">
      <c r="A36" s="1" cm="1">
        <f t="array" ref="A36">INDEX(Data!$A:$A,717-(ROW()-5))</f>
        <v>45124</v>
      </c>
      <c r="B36" s="11" cm="1">
        <f t="array" ref="B36">(1+B35)*(1+INDEX(Data!$F:$F,717-(ROW()-5)))-1</f>
        <v>6.2161239754039643E-2</v>
      </c>
      <c r="C36" s="11" cm="1">
        <f t="array" ref="C36">(1+C35)*(1+INDEX(Data!$G:$G,717-(ROW()-5)))-1</f>
        <v>0.11550060313630905</v>
      </c>
      <c r="D36" s="11" cm="1">
        <f t="array" ref="D36">(1+D35)*(1+INDEX(Data!$H:$H,717-(ROW()-5)))-1</f>
        <v>8.4573654193907277E-2</v>
      </c>
      <c r="E36" s="11" cm="1">
        <f t="array" ref="E36">(1+E35)*(1+INDEX(Data!$I:$I,717-(ROW()-5)))-1</f>
        <v>3.5912783240701573E-2</v>
      </c>
    </row>
    <row r="37" spans="1:5" x14ac:dyDescent="0.2">
      <c r="A37" s="1" cm="1">
        <f t="array" ref="A37">INDEX(Data!$A:$A,717-(ROW()-5))</f>
        <v>45125</v>
      </c>
      <c r="B37" s="11" cm="1">
        <f t="array" ref="B37">(1+B36)*(1+INDEX(Data!$F:$F,717-(ROW()-5)))-1</f>
        <v>8.4975675785114557E-2</v>
      </c>
      <c r="C37" s="11" cm="1">
        <f t="array" ref="C37">(1+C36)*(1+INDEX(Data!$G:$G,717-(ROW()-5)))-1</f>
        <v>0.13118214716525967</v>
      </c>
      <c r="D37" s="11" cm="1">
        <f t="array" ref="D37">(1+D36)*(1+INDEX(Data!$H:$H,717-(ROW()-5)))-1</f>
        <v>8.2348031715120174E-2</v>
      </c>
      <c r="E37" s="11" cm="1">
        <f t="array" ref="E37">(1+E36)*(1+INDEX(Data!$I:$I,717-(ROW()-5)))-1</f>
        <v>4.403591278324126E-2</v>
      </c>
    </row>
    <row r="38" spans="1:5" x14ac:dyDescent="0.2">
      <c r="A38" s="1" cm="1">
        <f t="array" ref="A38">INDEX(Data!$A:$A,717-(ROW()-5))</f>
        <v>45126</v>
      </c>
      <c r="B38" s="11" cm="1">
        <f t="array" ref="B38">(1+B37)*(1+INDEX(Data!$F:$F,717-(ROW()-5)))-1</f>
        <v>0.11116831431166307</v>
      </c>
      <c r="C38" s="11" cm="1">
        <f t="array" ref="C38">(1+C37)*(1+INDEX(Data!$G:$G,717-(ROW()-5)))-1</f>
        <v>0.15199034981905934</v>
      </c>
      <c r="D38" s="11" cm="1">
        <f t="array" ref="D38">(1+D37)*(1+INDEX(Data!$H:$H,717-(ROW()-5)))-1</f>
        <v>6.7325079983307612E-2</v>
      </c>
      <c r="E38" s="11" cm="1">
        <f t="array" ref="E38">(1+E37)*(1+INDEX(Data!$I:$I,717-(ROW()-5)))-1</f>
        <v>7.3108165882856291E-2</v>
      </c>
    </row>
    <row r="39" spans="1:5" x14ac:dyDescent="0.2">
      <c r="A39" s="1" cm="1">
        <f t="array" ref="A39">INDEX(Data!$A:$A,717-(ROW()-5))</f>
        <v>45127</v>
      </c>
      <c r="B39" s="11" cm="1">
        <f t="array" ref="B39">(1+B38)*(1+INDEX(Data!$F:$F,717-(ROW()-5)))-1</f>
        <v>0.10105106060518487</v>
      </c>
      <c r="C39" s="11" cm="1">
        <f t="array" ref="C39">(1+C38)*(1+INDEX(Data!$G:$G,717-(ROW()-5)))-1</f>
        <v>0.17430639324487363</v>
      </c>
      <c r="D39" s="11" cm="1">
        <f t="array" ref="D39">(1+D38)*(1+INDEX(Data!$H:$H,717-(ROW()-5)))-1</f>
        <v>6.3430240645430347E-2</v>
      </c>
      <c r="E39" s="11" cm="1">
        <f t="array" ref="E39">(1+E38)*(1+INDEX(Data!$I:$I,717-(ROW()-5)))-1</f>
        <v>7.9093629756306516E-2</v>
      </c>
    </row>
    <row r="40" spans="1:5" x14ac:dyDescent="0.2">
      <c r="A40" s="1" cm="1">
        <f t="array" ref="A40">INDEX(Data!$A:$A,717-(ROW()-5))</f>
        <v>45130</v>
      </c>
      <c r="B40" s="11" cm="1">
        <f t="array" ref="B40">(1+B39)*(1+INDEX(Data!$F:$F,717-(ROW()-5)))-1</f>
        <v>0.11046259392733471</v>
      </c>
      <c r="C40" s="11" cm="1">
        <f t="array" ref="C40">(1+C39)*(1+INDEX(Data!$G:$G,717-(ROW()-5)))-1</f>
        <v>0.19813027744270229</v>
      </c>
      <c r="D40" s="11" cm="1">
        <f t="array" ref="D40">(1+D39)*(1+INDEX(Data!$H:$H,717-(ROW()-5)))-1</f>
        <v>6.509945750452073E-2</v>
      </c>
      <c r="E40" s="11" cm="1">
        <f t="array" ref="E40">(1+E39)*(1+INDEX(Data!$I:$I,717-(ROW()-5)))-1</f>
        <v>8.1658828559213692E-2</v>
      </c>
    </row>
    <row r="41" spans="1:5" x14ac:dyDescent="0.2">
      <c r="A41" s="1" cm="1">
        <f t="array" ref="A41">INDEX(Data!$A:$A,717-(ROW()-5))</f>
        <v>45131</v>
      </c>
      <c r="B41" s="11" cm="1">
        <f t="array" ref="B41">(1+B40)*(1+INDEX(Data!$F:$F,717-(ROW()-5)))-1</f>
        <v>8.4738507459233725E-2</v>
      </c>
      <c r="C41" s="11" cm="1">
        <f t="array" ref="C41">(1+C40)*(1+INDEX(Data!$G:$G,717-(ROW()-5)))-1</f>
        <v>0.17611580217129097</v>
      </c>
      <c r="D41" s="11" cm="1">
        <f t="array" ref="D41">(1+D40)*(1+INDEX(Data!$H:$H,717-(ROW()-5)))-1</f>
        <v>5.7587981638614449E-2</v>
      </c>
      <c r="E41" s="11" cm="1">
        <f t="array" ref="E41">(1+E40)*(1+INDEX(Data!$I:$I,717-(ROW()-5)))-1</f>
        <v>9.4057289439931857E-2</v>
      </c>
    </row>
    <row r="42" spans="1:5" x14ac:dyDescent="0.2">
      <c r="A42" s="1" cm="1">
        <f t="array" ref="A42">INDEX(Data!$A:$A,717-(ROW()-5))</f>
        <v>45132</v>
      </c>
      <c r="B42" s="11" cm="1">
        <f t="array" ref="B42">(1+B41)*(1+INDEX(Data!$F:$F,717-(ROW()-5)))-1</f>
        <v>5.1592787769056514E-2</v>
      </c>
      <c r="C42" s="11" cm="1">
        <f t="array" ref="C42">(1+C41)*(1+INDEX(Data!$G:$G,717-(ROW()-5)))-1</f>
        <v>0.13540410132690006</v>
      </c>
      <c r="D42" s="11" cm="1">
        <f t="array" ref="D42">(1+D41)*(1+INDEX(Data!$H:$H,717-(ROW()-5)))-1</f>
        <v>4.771178188899694E-2</v>
      </c>
      <c r="E42" s="11" cm="1">
        <f t="array" ref="E42">(1+E41)*(1+INDEX(Data!$I:$I,717-(ROW()-5)))-1</f>
        <v>2.8644719965797538E-2</v>
      </c>
    </row>
    <row r="43" spans="1:5" x14ac:dyDescent="0.2">
      <c r="A43" s="1" cm="1">
        <f t="array" ref="A43">INDEX(Data!$A:$A,717-(ROW()-5))</f>
        <v>45133</v>
      </c>
      <c r="B43" s="11" cm="1">
        <f t="array" ref="B43">(1+B42)*(1+INDEX(Data!$F:$F,717-(ROW()-5)))-1</f>
        <v>7.7004506198192102E-2</v>
      </c>
      <c r="C43" s="11" cm="1">
        <f t="array" ref="C43">(1+C42)*(1+INDEX(Data!$G:$G,717-(ROW()-5)))-1</f>
        <v>0.15048250904704474</v>
      </c>
      <c r="D43" s="11" cm="1">
        <f t="array" ref="D43">(1+D42)*(1+INDEX(Data!$H:$H,717-(ROW()-5)))-1</f>
        <v>4.1591320072332572E-2</v>
      </c>
      <c r="E43" s="11" cm="1">
        <f t="array" ref="E43">(1+E42)*(1+INDEX(Data!$I:$I,717-(ROW()-5)))-1</f>
        <v>5.1303976058145739E-3</v>
      </c>
    </row>
    <row r="44" spans="1:5" x14ac:dyDescent="0.2">
      <c r="A44" s="1" cm="1">
        <f t="array" ref="A44">INDEX(Data!$A:$A,717-(ROW()-5))</f>
        <v>45137</v>
      </c>
      <c r="B44" s="11" cm="1">
        <f t="array" ref="B44">(1+B43)*(1+INDEX(Data!$F:$F,717-(ROW()-5)))-1</f>
        <v>8.8955475985261101E-2</v>
      </c>
      <c r="C44" s="11" cm="1">
        <f t="array" ref="C44">(1+C43)*(1+INDEX(Data!$G:$G,717-(ROW()-5)))-1</f>
        <v>0.17008443908323301</v>
      </c>
      <c r="D44" s="11" cm="1">
        <f t="array" ref="D44">(1+D43)*(1+INDEX(Data!$H:$H,717-(ROW()-5)))-1</f>
        <v>4.2982334121574484E-2</v>
      </c>
      <c r="E44" s="11" cm="1">
        <f t="array" ref="E44">(1+E43)*(1+INDEX(Data!$I:$I,717-(ROW()-5)))-1</f>
        <v>-5.9854638734501142E-3</v>
      </c>
    </row>
    <row r="45" spans="1:5" x14ac:dyDescent="0.2">
      <c r="A45" s="1" cm="1">
        <f t="array" ref="A45">INDEX(Data!$A:$A,717-(ROW()-5))</f>
        <v>45138</v>
      </c>
      <c r="B45" s="11" cm="1">
        <f t="array" ref="B45">(1+B44)*(1+INDEX(Data!$F:$F,717-(ROW()-5)))-1</f>
        <v>9.2698107859527257E-2</v>
      </c>
      <c r="C45" s="11" cm="1">
        <f t="array" ref="C45">(1+C44)*(1+INDEX(Data!$G:$G,717-(ROW()-5)))-1</f>
        <v>0.17098914354644168</v>
      </c>
      <c r="D45" s="11" cm="1">
        <f t="array" ref="D45">(1+D44)*(1+INDEX(Data!$H:$H,717-(ROW()-5)))-1</f>
        <v>5.3554040895812838E-2</v>
      </c>
      <c r="E45" s="11" cm="1">
        <f t="array" ref="E45">(1+E44)*(1+INDEX(Data!$I:$I,717-(ROW()-5)))-1</f>
        <v>-5.9854638734501142E-3</v>
      </c>
    </row>
    <row r="46" spans="1:5" x14ac:dyDescent="0.2">
      <c r="A46" s="1" cm="1">
        <f t="array" ref="A46">INDEX(Data!$A:$A,717-(ROW()-5))</f>
        <v>45139</v>
      </c>
      <c r="B46" s="11" cm="1">
        <f t="array" ref="B46">(1+B45)*(1+INDEX(Data!$F:$F,717-(ROW()-5)))-1</f>
        <v>8.6982929665130104E-2</v>
      </c>
      <c r="C46" s="11" cm="1">
        <f t="array" ref="C46">(1+C45)*(1+INDEX(Data!$G:$G,717-(ROW()-5)))-1</f>
        <v>0.16616405307599535</v>
      </c>
      <c r="D46" s="11" cm="1">
        <f t="array" ref="D46">(1+D45)*(1+INDEX(Data!$H:$H,717-(ROW()-5)))-1</f>
        <v>5.6753373209069258E-2</v>
      </c>
      <c r="E46" s="11" cm="1">
        <f t="array" ref="E46">(1+E45)*(1+INDEX(Data!$I:$I,717-(ROW()-5)))-1</f>
        <v>4.2753313381787006E-3</v>
      </c>
    </row>
    <row r="47" spans="1:5" x14ac:dyDescent="0.2">
      <c r="A47" s="1" cm="1">
        <f t="array" ref="A47">INDEX(Data!$A:$A,717-(ROW()-5))</f>
        <v>45140</v>
      </c>
      <c r="B47" s="11" cm="1">
        <f t="array" ref="B47">(1+B46)*(1+INDEX(Data!$F:$F,717-(ROW()-5)))-1</f>
        <v>8.5779734255783335E-2</v>
      </c>
      <c r="C47" s="11" cm="1">
        <f t="array" ref="C47">(1+C46)*(1+INDEX(Data!$G:$G,717-(ROW()-5)))-1</f>
        <v>0.1308805790108567</v>
      </c>
      <c r="D47" s="11" cm="1">
        <f t="array" ref="D47">(1+D46)*(1+INDEX(Data!$H:$H,717-(ROW()-5)))-1</f>
        <v>4.7850883293921065E-2</v>
      </c>
      <c r="E47" s="11" cm="1">
        <f t="array" ref="E47">(1+E46)*(1+INDEX(Data!$I:$I,717-(ROW()-5)))-1</f>
        <v>3.6340316374519066E-2</v>
      </c>
    </row>
    <row r="48" spans="1:5" x14ac:dyDescent="0.2">
      <c r="A48" s="1" cm="1">
        <f t="array" ref="A48">INDEX(Data!$A:$A,717-(ROW()-5))</f>
        <v>45141</v>
      </c>
      <c r="B48" s="11" cm="1">
        <f t="array" ref="B48">(1+B47)*(1+INDEX(Data!$F:$F,717-(ROW()-5)))-1</f>
        <v>8.0330647353837881E-2</v>
      </c>
      <c r="C48" s="11" cm="1">
        <f t="array" ref="C48">(1+C47)*(1+INDEX(Data!$G:$G,717-(ROW()-5)))-1</f>
        <v>0.12062726176115834</v>
      </c>
      <c r="D48" s="11" cm="1">
        <f t="array" ref="D48">(1+D47)*(1+INDEX(Data!$H:$H,717-(ROW()-5)))-1</f>
        <v>5.870079287800789E-2</v>
      </c>
      <c r="E48" s="11" cm="1">
        <f t="array" ref="E48">(1+E47)*(1+INDEX(Data!$I:$I,717-(ROW()-5)))-1</f>
        <v>4.2325780247969291E-2</v>
      </c>
    </row>
    <row r="49" spans="1:5" x14ac:dyDescent="0.2">
      <c r="A49" s="1" cm="1">
        <f t="array" ref="A49">INDEX(Data!$A:$A,717-(ROW()-5))</f>
        <v>45144</v>
      </c>
      <c r="B49" s="11" cm="1">
        <f t="array" ref="B49">(1+B48)*(1+INDEX(Data!$F:$F,717-(ROW()-5)))-1</f>
        <v>8.8324955314016851E-2</v>
      </c>
      <c r="C49" s="11" cm="1">
        <f t="array" ref="C49">(1+C48)*(1+INDEX(Data!$G:$G,717-(ROW()-5)))-1</f>
        <v>0.13872135102533223</v>
      </c>
      <c r="D49" s="11" cm="1">
        <f t="array" ref="D49">(1+D48)*(1+INDEX(Data!$H:$H,717-(ROW()-5)))-1</f>
        <v>6.3430240645430347E-2</v>
      </c>
      <c r="E49" s="11" cm="1">
        <f t="array" ref="E49">(1+E48)*(1+INDEX(Data!$I:$I,717-(ROW()-5)))-1</f>
        <v>4.2325780247969291E-2</v>
      </c>
    </row>
    <row r="50" spans="1:5" x14ac:dyDescent="0.2">
      <c r="A50" s="1" cm="1">
        <f t="array" ref="A50">INDEX(Data!$A:$A,717-(ROW()-5))</f>
        <v>45145</v>
      </c>
      <c r="B50" s="11" cm="1">
        <f t="array" ref="B50">(1+B49)*(1+INDEX(Data!$F:$F,717-(ROW()-5)))-1</f>
        <v>9.487889953896822E-2</v>
      </c>
      <c r="C50" s="11" cm="1">
        <f t="array" ref="C50">(1+C49)*(1+INDEX(Data!$G:$G,717-(ROW()-5)))-1</f>
        <v>0.13872135102533223</v>
      </c>
      <c r="D50" s="11" cm="1">
        <f t="array" ref="D50">(1+D49)*(1+INDEX(Data!$H:$H,717-(ROW()-5)))-1</f>
        <v>5.814438725831117E-2</v>
      </c>
      <c r="E50" s="11" cm="1">
        <f t="array" ref="E50">(1+E49)*(1+INDEX(Data!$I:$I,717-(ROW()-5)))-1</f>
        <v>4.788371098760158E-2</v>
      </c>
    </row>
    <row r="51" spans="1:5" x14ac:dyDescent="0.2">
      <c r="A51" s="1" cm="1">
        <f t="array" ref="A51">INDEX(Data!$A:$A,717-(ROW()-5))</f>
        <v>45146</v>
      </c>
      <c r="B51" s="11" cm="1">
        <f t="array" ref="B51">(1+B50)*(1+INDEX(Data!$F:$F,717-(ROW()-5)))-1</f>
        <v>8.8573692826526162E-2</v>
      </c>
      <c r="C51" s="11" cm="1">
        <f t="array" ref="C51">(1+C50)*(1+INDEX(Data!$G:$G,717-(ROW()-5)))-1</f>
        <v>0.14897466827503059</v>
      </c>
      <c r="D51" s="11" cm="1">
        <f t="array" ref="D51">(1+D50)*(1+INDEX(Data!$H:$H,717-(ROW()-5)))-1</f>
        <v>5.8283488663235294E-2</v>
      </c>
      <c r="E51" s="11" cm="1">
        <f t="array" ref="E51">(1+E50)*(1+INDEX(Data!$I:$I,717-(ROW()-5)))-1</f>
        <v>5.0021376656691041E-2</v>
      </c>
    </row>
    <row r="52" spans="1:5" x14ac:dyDescent="0.2">
      <c r="A52" s="1" cm="1">
        <f t="array" ref="A52">INDEX(Data!$A:$A,717-(ROW()-5))</f>
        <v>45147</v>
      </c>
      <c r="B52" s="11" cm="1">
        <f t="array" ref="B52">(1+B51)*(1+INDEX(Data!$F:$F,717-(ROW()-5)))-1</f>
        <v>0.10418631018146307</v>
      </c>
      <c r="C52" s="11" cm="1">
        <f t="array" ref="C52">(1+C51)*(1+INDEX(Data!$G:$G,717-(ROW()-5)))-1</f>
        <v>0.16284680337756385</v>
      </c>
      <c r="D52" s="11" cm="1">
        <f t="array" ref="D52">(1+D51)*(1+INDEX(Data!$H:$H,717-(ROW()-5)))-1</f>
        <v>5.6057866184448191E-2</v>
      </c>
      <c r="E52" s="11" cm="1">
        <f t="array" ref="E52">(1+E51)*(1+INDEX(Data!$I:$I,717-(ROW()-5)))-1</f>
        <v>5.0021376656691041E-2</v>
      </c>
    </row>
    <row r="53" spans="1:5" x14ac:dyDescent="0.2">
      <c r="A53" s="1" cm="1">
        <f t="array" ref="A53">INDEX(Data!$A:$A,717-(ROW()-5))</f>
        <v>45148</v>
      </c>
      <c r="B53" s="11" cm="1">
        <f t="array" ref="B53">(1+B52)*(1+INDEX(Data!$F:$F,717-(ROW()-5)))-1</f>
        <v>0.10642494779404577</v>
      </c>
      <c r="C53" s="11" cm="1">
        <f t="array" ref="C53">(1+C52)*(1+INDEX(Data!$G:$G,717-(ROW()-5)))-1</f>
        <v>0.16676718938480151</v>
      </c>
      <c r="D53" s="11" cm="1">
        <f t="array" ref="D53">(1+D52)*(1+INDEX(Data!$H:$H,717-(ROW()-5)))-1</f>
        <v>6.2873835025733404E-2</v>
      </c>
      <c r="E53" s="11" cm="1">
        <f t="array" ref="E53">(1+E52)*(1+INDEX(Data!$I:$I,717-(ROW()-5)))-1</f>
        <v>5.2586575459598217E-2</v>
      </c>
    </row>
    <row r="54" spans="1:5" x14ac:dyDescent="0.2">
      <c r="A54" s="1" cm="1">
        <f t="array" ref="A54">INDEX(Data!$A:$A,717-(ROW()-5))</f>
        <v>45151</v>
      </c>
      <c r="B54" s="11" cm="1">
        <f t="array" ref="B54">(1+B53)*(1+INDEX(Data!$F:$F,717-(ROW()-5)))-1</f>
        <v>9.1749434556003928E-2</v>
      </c>
      <c r="C54" s="11" cm="1">
        <f t="array" ref="C54">(1+C53)*(1+INDEX(Data!$G:$G,717-(ROW()-5)))-1</f>
        <v>0.14173703256936121</v>
      </c>
      <c r="D54" s="11" cm="1">
        <f t="array" ref="D54">(1+D53)*(1+INDEX(Data!$H:$H,717-(ROW()-5)))-1</f>
        <v>2.712477396021673E-2</v>
      </c>
      <c r="E54" s="11" cm="1">
        <f t="array" ref="E54">(1+E53)*(1+INDEX(Data!$I:$I,717-(ROW()-5)))-1</f>
        <v>5.6006840530141044E-2</v>
      </c>
    </row>
    <row r="55" spans="1:5" x14ac:dyDescent="0.2">
      <c r="A55" s="1" cm="1">
        <f t="array" ref="A55">INDEX(Data!$A:$A,717-(ROW()-5))</f>
        <v>45152</v>
      </c>
      <c r="B55" s="11" cm="1">
        <f t="array" ref="B55">(1+B54)*(1+INDEX(Data!$F:$F,717-(ROW()-5)))-1</f>
        <v>8.3714634442626057E-2</v>
      </c>
      <c r="C55" s="11" cm="1">
        <f t="array" ref="C55">(1+C54)*(1+INDEX(Data!$G:$G,717-(ROW()-5)))-1</f>
        <v>0.15832328106152049</v>
      </c>
      <c r="D55" s="11" cm="1">
        <f t="array" ref="D55">(1+D54)*(1+INDEX(Data!$H:$H,717-(ROW()-5)))-1</f>
        <v>2.712477396021673E-2</v>
      </c>
      <c r="E55" s="11" cm="1">
        <f t="array" ref="E55">(1+E54)*(1+INDEX(Data!$I:$I,717-(ROW()-5)))-1</f>
        <v>3.7195382642154717E-2</v>
      </c>
    </row>
    <row r="56" spans="1:5" x14ac:dyDescent="0.2">
      <c r="A56" s="1" cm="1">
        <f t="array" ref="A56">INDEX(Data!$A:$A,717-(ROW()-5))</f>
        <v>45153</v>
      </c>
      <c r="B56" s="11" cm="1">
        <f t="array" ref="B56">(1+B55)*(1+INDEX(Data!$F:$F,717-(ROW()-5)))-1</f>
        <v>8.2453593100137557E-2</v>
      </c>
      <c r="C56" s="11" cm="1">
        <f t="array" ref="C56">(1+C55)*(1+INDEX(Data!$G:$G,717-(ROW()-5)))-1</f>
        <v>0.13992762364294387</v>
      </c>
      <c r="D56" s="11" cm="1">
        <f t="array" ref="D56">(1+D55)*(1+INDEX(Data!$H:$H,717-(ROW()-5)))-1</f>
        <v>9.3197941299203446E-3</v>
      </c>
      <c r="E56" s="11" cm="1">
        <f t="array" ref="E56">(1+E55)*(1+INDEX(Data!$I:$I,717-(ROW()-5)))-1</f>
        <v>4.1043180846515481E-2</v>
      </c>
    </row>
    <row r="57" spans="1:5" x14ac:dyDescent="0.2">
      <c r="A57" s="1" cm="1">
        <f t="array" ref="A57">INDEX(Data!$A:$A,717-(ROW()-5))</f>
        <v>45154</v>
      </c>
      <c r="B57" s="11" cm="1">
        <f t="array" ref="B57">(1+B56)*(1+INDEX(Data!$F:$F,717-(ROW()-5)))-1</f>
        <v>7.8381239406963843E-2</v>
      </c>
      <c r="C57" s="11" cm="1">
        <f t="array" ref="C57">(1+C56)*(1+INDEX(Data!$G:$G,717-(ROW()-5)))-1</f>
        <v>0.13057901085645418</v>
      </c>
      <c r="D57" s="11" cm="1">
        <f t="array" ref="D57">(1+D56)*(1+INDEX(Data!$H:$H,717-(ROW()-5)))-1</f>
        <v>-2.7820280984841572E-3</v>
      </c>
      <c r="E57" s="11" cm="1">
        <f t="array" ref="E57">(1+E56)*(1+INDEX(Data!$I:$I,717-(ROW()-5)))-1</f>
        <v>4.1043180846515481E-2</v>
      </c>
    </row>
    <row r="58" spans="1:5" x14ac:dyDescent="0.2">
      <c r="A58" s="1" cm="1">
        <f t="array" ref="A58">INDEX(Data!$A:$A,717-(ROW()-5))</f>
        <v>45155</v>
      </c>
      <c r="B58" s="11" cm="1">
        <f t="array" ref="B58">(1+B57)*(1+INDEX(Data!$F:$F,717-(ROW()-5)))-1</f>
        <v>6.9889456421766472E-2</v>
      </c>
      <c r="C58" s="11" cm="1">
        <f t="array" ref="C58">(1+C57)*(1+INDEX(Data!$G:$G,717-(ROW()-5)))-1</f>
        <v>0.1218335343787702</v>
      </c>
      <c r="D58" s="11" cm="1">
        <f t="array" ref="D58">(1+D57)*(1+INDEX(Data!$H:$H,717-(ROW()-5)))-1</f>
        <v>-1.0710808179162923E-2</v>
      </c>
      <c r="E58" s="11" cm="1">
        <f t="array" ref="E58">(1+E57)*(1+INDEX(Data!$I:$I,717-(ROW()-5)))-1</f>
        <v>4.1043180846515481E-2</v>
      </c>
    </row>
    <row r="59" spans="1:5" x14ac:dyDescent="0.2">
      <c r="A59" s="1" cm="1">
        <f t="array" ref="A59">INDEX(Data!$A:$A,717-(ROW()-5))</f>
        <v>45158</v>
      </c>
      <c r="B59" s="11" cm="1">
        <f t="array" ref="B59">(1+B58)*(1+INDEX(Data!$F:$F,717-(ROW()-5)))-1</f>
        <v>7.2689199585823427E-2</v>
      </c>
      <c r="C59" s="11" cm="1">
        <f t="array" ref="C59">(1+C58)*(1+INDEX(Data!$G:$G,717-(ROW()-5)))-1</f>
        <v>0.11700844390832388</v>
      </c>
      <c r="D59" s="11" cm="1">
        <f t="array" ref="D59">(1+D58)*(1+INDEX(Data!$H:$H,717-(ROW()-5)))-1</f>
        <v>1.0849909584086381E-2</v>
      </c>
      <c r="E59" s="11" cm="1">
        <f t="array" ref="E59">(1+E58)*(1+INDEX(Data!$I:$I,717-(ROW()-5)))-1</f>
        <v>4.1043180846515481E-2</v>
      </c>
    </row>
    <row r="60" spans="1:5" x14ac:dyDescent="0.2">
      <c r="A60" s="1" cm="1">
        <f t="array" ref="A60">INDEX(Data!$A:$A,717-(ROW()-5))</f>
        <v>45159</v>
      </c>
      <c r="B60" s="11" cm="1">
        <f t="array" ref="B60">(1+B59)*(1+INDEX(Data!$F:$F,717-(ROW()-5)))-1</f>
        <v>7.8109363521197794E-2</v>
      </c>
      <c r="C60" s="11" cm="1">
        <f t="array" ref="C60">(1+C59)*(1+INDEX(Data!$G:$G,717-(ROW()-5)))-1</f>
        <v>0.11067551266586295</v>
      </c>
      <c r="D60" s="11" cm="1">
        <f t="array" ref="D60">(1+D59)*(1+INDEX(Data!$H:$H,717-(ROW()-5)))-1</f>
        <v>4.6181666434830682E-2</v>
      </c>
      <c r="E60" s="11" cm="1">
        <f t="array" ref="E60">(1+E59)*(1+INDEX(Data!$I:$I,717-(ROW()-5)))-1</f>
        <v>4.8311244121419294E-2</v>
      </c>
    </row>
    <row r="61" spans="1:5" x14ac:dyDescent="0.2">
      <c r="A61" s="1" cm="1">
        <f t="array" ref="A61">INDEX(Data!$A:$A,717-(ROW()-5))</f>
        <v>45160</v>
      </c>
      <c r="B61" s="11" cm="1">
        <f t="array" ref="B61">(1+B60)*(1+INDEX(Data!$F:$F,717-(ROW()-5)))-1</f>
        <v>8.4842630138888264E-2</v>
      </c>
      <c r="C61" s="11" cm="1">
        <f t="array" ref="C61">(1+C60)*(1+INDEX(Data!$G:$G,717-(ROW()-5)))-1</f>
        <v>0.10765983112183397</v>
      </c>
      <c r="D61" s="11" cm="1">
        <f t="array" ref="D61">(1+D60)*(1+INDEX(Data!$H:$H,717-(ROW()-5)))-1</f>
        <v>5.0911114202253138E-2</v>
      </c>
      <c r="E61" s="11" cm="1">
        <f t="array" ref="E61">(1+E60)*(1+INDEX(Data!$I:$I,717-(ROW()-5)))-1</f>
        <v>4.8311244121419294E-2</v>
      </c>
    </row>
    <row r="62" spans="1:5" x14ac:dyDescent="0.2">
      <c r="A62" s="1" cm="1">
        <f t="array" ref="A62">INDEX(Data!$A:$A,717-(ROW()-5))</f>
        <v>45161</v>
      </c>
      <c r="B62" s="11" cm="1">
        <f t="array" ref="B62">(1+B61)*(1+INDEX(Data!$F:$F,717-(ROW()-5)))-1</f>
        <v>8.5351674350534701E-2</v>
      </c>
      <c r="C62" s="11" cm="1">
        <f t="array" ref="C62">(1+C61)*(1+INDEX(Data!$G:$G,717-(ROW()-5)))-1</f>
        <v>0.11580217129071202</v>
      </c>
      <c r="D62" s="11" cm="1">
        <f t="array" ref="D62">(1+D61)*(1+INDEX(Data!$H:$H,717-(ROW()-5)))-1</f>
        <v>6.3986646265126845E-2</v>
      </c>
      <c r="E62" s="11" cm="1">
        <f t="array" ref="E62">(1+E61)*(1+INDEX(Data!$I:$I,717-(ROW()-5)))-1</f>
        <v>5.0021376656690597E-2</v>
      </c>
    </row>
    <row r="63" spans="1:5" x14ac:dyDescent="0.2">
      <c r="A63" s="1" cm="1">
        <f t="array" ref="A63">INDEX(Data!$A:$A,717-(ROW()-5))</f>
        <v>45162</v>
      </c>
      <c r="B63" s="11" cm="1">
        <f t="array" ref="B63">(1+B62)*(1+INDEX(Data!$F:$F,717-(ROW()-5)))-1</f>
        <v>8.2852730038814659E-2</v>
      </c>
      <c r="C63" s="11" cm="1">
        <f t="array" ref="C63">(1+C62)*(1+INDEX(Data!$G:$G,717-(ROW()-5)))-1</f>
        <v>0.1203256936067556</v>
      </c>
      <c r="D63" s="11" cm="1">
        <f t="array" ref="D63">(1+D62)*(1+INDEX(Data!$H:$H,717-(ROW()-5)))-1</f>
        <v>6.3986646265126845E-2</v>
      </c>
      <c r="E63" s="11" cm="1">
        <f t="array" ref="E63">(1+E62)*(1+INDEX(Data!$I:$I,717-(ROW()-5)))-1</f>
        <v>4.9166310389054946E-2</v>
      </c>
    </row>
    <row r="64" spans="1:5" x14ac:dyDescent="0.2">
      <c r="A64" s="1" cm="1">
        <f t="array" ref="A64">INDEX(Data!$A:$A,717-(ROW()-5))</f>
        <v>45165</v>
      </c>
      <c r="B64" s="11" cm="1">
        <f t="array" ref="B64">(1+B63)*(1+INDEX(Data!$F:$F,717-(ROW()-5)))-1</f>
        <v>8.2366824200424515E-2</v>
      </c>
      <c r="C64" s="11" cm="1">
        <f t="array" ref="C64">(1+C63)*(1+INDEX(Data!$G:$G,717-(ROW()-5)))-1</f>
        <v>0.15772014475271456</v>
      </c>
      <c r="D64" s="11" cm="1">
        <f t="array" ref="D64">(1+D63)*(1+INDEX(Data!$H:$H,717-(ROW()-5)))-1</f>
        <v>6.3430240645430125E-2</v>
      </c>
      <c r="E64" s="11" cm="1">
        <f t="array" ref="E64">(1+E63)*(1+INDEX(Data!$I:$I,717-(ROW()-5)))-1</f>
        <v>4.9166310389054946E-2</v>
      </c>
    </row>
    <row r="65" spans="1:5" x14ac:dyDescent="0.2">
      <c r="A65" s="1" cm="1">
        <f t="array" ref="A65">INDEX(Data!$A:$A,717-(ROW()-5))</f>
        <v>45166</v>
      </c>
      <c r="B65" s="11" cm="1">
        <f t="array" ref="B65">(1+B64)*(1+INDEX(Data!$F:$F,717-(ROW()-5)))-1</f>
        <v>8.4958322005171283E-2</v>
      </c>
      <c r="C65" s="11" cm="1">
        <f t="array" ref="C65">(1+C64)*(1+INDEX(Data!$G:$G,717-(ROW()-5)))-1</f>
        <v>0.14234016887816692</v>
      </c>
      <c r="D65" s="11" cm="1">
        <f t="array" ref="D65">(1+D64)*(1+INDEX(Data!$H:$H,717-(ROW()-5)))-1</f>
        <v>6.3430240645430125E-2</v>
      </c>
      <c r="E65" s="11" cm="1">
        <f t="array" ref="E65">(1+E64)*(1+INDEX(Data!$I:$I,717-(ROW()-5)))-1</f>
        <v>4.9166310389054946E-2</v>
      </c>
    </row>
    <row r="66" spans="1:5" x14ac:dyDescent="0.2">
      <c r="A66" s="1" cm="1">
        <f t="array" ref="A66">INDEX(Data!$A:$A,717-(ROW()-5))</f>
        <v>45167</v>
      </c>
      <c r="B66" s="11" cm="1">
        <f t="array" ref="B66">(1+B65)*(1+INDEX(Data!$F:$F,717-(ROW()-5)))-1</f>
        <v>7.5170790117600861E-2</v>
      </c>
      <c r="C66" s="11" cm="1">
        <f t="array" ref="C66">(1+C65)*(1+INDEX(Data!$G:$G,717-(ROW()-5)))-1</f>
        <v>0.11761158021712959</v>
      </c>
      <c r="D66" s="11" cm="1">
        <f t="array" ref="D66">(1+D65)*(1+INDEX(Data!$H:$H,717-(ROW()-5)))-1</f>
        <v>6.2456530810960809E-2</v>
      </c>
      <c r="E66" s="11" cm="1">
        <f t="array" ref="E66">(1+E65)*(1+INDEX(Data!$I:$I,717-(ROW()-5)))-1</f>
        <v>4.9166310389054946E-2</v>
      </c>
    </row>
    <row r="67" spans="1:5" x14ac:dyDescent="0.2">
      <c r="A67" s="1" cm="1">
        <f t="array" ref="A67">INDEX(Data!$A:$A,717-(ROW()-5))</f>
        <v>45168</v>
      </c>
      <c r="B67" s="11" cm="1">
        <f t="array" ref="B67">(1+B66)*(1+INDEX(Data!$F:$F,717-(ROW()-5)))-1</f>
        <v>8.1435504676843795E-2</v>
      </c>
      <c r="C67" s="11" cm="1">
        <f t="array" ref="C67">(1+C66)*(1+INDEX(Data!$G:$G,717-(ROW()-5)))-1</f>
        <v>0.10916767189384857</v>
      </c>
      <c r="D67" s="11" cm="1">
        <f t="array" ref="D67">(1+D66)*(1+INDEX(Data!$H:$H,717-(ROW()-5)))-1</f>
        <v>5.953540130755286E-2</v>
      </c>
      <c r="E67" s="11" cm="1">
        <f t="array" ref="E67">(1+E66)*(1+INDEX(Data!$I:$I,717-(ROW()-5)))-1</f>
        <v>4.9166310389054946E-2</v>
      </c>
    </row>
    <row r="68" spans="1:5" x14ac:dyDescent="0.2">
      <c r="A68" s="1" cm="1">
        <f t="array" ref="A68">INDEX(Data!$A:$A,717-(ROW()-5))</f>
        <v>45169</v>
      </c>
      <c r="B68" s="11" cm="1">
        <f t="array" ref="B68">(1+B67)*(1+INDEX(Data!$F:$F,717-(ROW()-5)))-1</f>
        <v>8.3893956835364714E-2</v>
      </c>
      <c r="C68" s="11" cm="1">
        <f t="array" ref="C68">(1+C67)*(1+INDEX(Data!$G:$G,717-(ROW()-5)))-1</f>
        <v>0.12484921592279918</v>
      </c>
      <c r="D68" s="11" cm="1">
        <f t="array" ref="D68">(1+D67)*(1+INDEX(Data!$H:$H,717-(ROW()-5)))-1</f>
        <v>5.5918764779523844E-2</v>
      </c>
      <c r="E68" s="11" cm="1">
        <f t="array" ref="E68">(1+E67)*(1+INDEX(Data!$I:$I,717-(ROW()-5)))-1</f>
        <v>4.9166310389054946E-2</v>
      </c>
    </row>
    <row r="69" spans="1:5" x14ac:dyDescent="0.2">
      <c r="A69" s="1" cm="1">
        <f t="array" ref="A69">INDEX(Data!$A:$A,717-(ROW()-5))</f>
        <v>45172</v>
      </c>
      <c r="B69" s="11" cm="1">
        <f t="array" ref="B69">(1+B68)*(1+INDEX(Data!$F:$F,717-(ROW()-5)))-1</f>
        <v>8.1047936924794506E-2</v>
      </c>
      <c r="C69" s="11" cm="1">
        <f t="array" ref="C69">(1+C68)*(1+INDEX(Data!$G:$G,717-(ROW()-5)))-1</f>
        <v>0.10072376357056756</v>
      </c>
      <c r="D69" s="11" cm="1">
        <f t="array" ref="D69">(1+D68)*(1+INDEX(Data!$H:$H,717-(ROW()-5)))-1</f>
        <v>7.5532062873834516E-2</v>
      </c>
      <c r="E69" s="11" cm="1">
        <f t="array" ref="E69">(1+E68)*(1+INDEX(Data!$I:$I,717-(ROW()-5)))-1</f>
        <v>4.9166310389054946E-2</v>
      </c>
    </row>
    <row r="70" spans="1:5" x14ac:dyDescent="0.2">
      <c r="A70" s="1" cm="1">
        <f t="array" ref="A70">INDEX(Data!$A:$A,717-(ROW()-5))</f>
        <v>45173</v>
      </c>
      <c r="B70" s="11" cm="1">
        <f t="array" ref="B70">(1+B69)*(1+INDEX(Data!$F:$F,717-(ROW()-5)))-1</f>
        <v>7.2313201020402396E-2</v>
      </c>
      <c r="C70" s="11" cm="1">
        <f t="array" ref="C70">(1+C69)*(1+INDEX(Data!$G:$G,717-(ROW()-5)))-1</f>
        <v>0.10193003618817897</v>
      </c>
      <c r="D70" s="11" cm="1">
        <f t="array" ref="D70">(1+D69)*(1+INDEX(Data!$H:$H,717-(ROW()-5)))-1</f>
        <v>7.0663513701487934E-2</v>
      </c>
      <c r="E70" s="11" cm="1">
        <f t="array" ref="E70">(1+E69)*(1+INDEX(Data!$I:$I,717-(ROW()-5)))-1</f>
        <v>4.9166310389054946E-2</v>
      </c>
    </row>
    <row r="71" spans="1:5" x14ac:dyDescent="0.2">
      <c r="A71" s="1" cm="1">
        <f t="array" ref="A71">INDEX(Data!$A:$A,717-(ROW()-5))</f>
        <v>45174</v>
      </c>
      <c r="B71" s="11" cm="1">
        <f t="array" ref="B71">(1+B70)*(1+INDEX(Data!$F:$F,717-(ROW()-5)))-1</f>
        <v>7.9237359217460446E-2</v>
      </c>
      <c r="C71" s="11" cm="1">
        <f t="array" ref="C71">(1+C70)*(1+INDEX(Data!$G:$G,717-(ROW()-5)))-1</f>
        <v>0.10705669481302826</v>
      </c>
      <c r="D71" s="11" cm="1">
        <f t="array" ref="D71">(1+D70)*(1+INDEX(Data!$H:$H,717-(ROW()-5)))-1</f>
        <v>5.2997635276115895E-2</v>
      </c>
      <c r="E71" s="11" cm="1">
        <f t="array" ref="E71">(1+E70)*(1+INDEX(Data!$I:$I,717-(ROW()-5)))-1</f>
        <v>4.9166310389054946E-2</v>
      </c>
    </row>
    <row r="72" spans="1:5" x14ac:dyDescent="0.2">
      <c r="A72" s="1" cm="1">
        <f t="array" ref="A72">INDEX(Data!$A:$A,717-(ROW()-5))</f>
        <v>45175</v>
      </c>
      <c r="B72" s="11" cm="1">
        <f t="array" ref="B72">(1+B71)*(1+INDEX(Data!$F:$F,717-(ROW()-5)))-1</f>
        <v>7.9543942663111267E-2</v>
      </c>
      <c r="C72" s="11" cm="1">
        <f t="array" ref="C72">(1+C71)*(1+INDEX(Data!$G:$G,717-(ROW()-5)))-1</f>
        <v>9.9819059107358887E-2</v>
      </c>
      <c r="D72" s="11" cm="1">
        <f t="array" ref="D72">(1+D71)*(1+INDEX(Data!$H:$H,717-(ROW()-5)))-1</f>
        <v>-4.5903463624986651E-3</v>
      </c>
      <c r="E72" s="11" cm="1">
        <f t="array" ref="E72">(1+E71)*(1+INDEX(Data!$I:$I,717-(ROW()-5)))-1</f>
        <v>4.9166310389054946E-2</v>
      </c>
    </row>
    <row r="73" spans="1:5" x14ac:dyDescent="0.2">
      <c r="A73" s="1" cm="1">
        <f t="array" ref="A73">INDEX(Data!$A:$A,717-(ROW()-5))</f>
        <v>45176</v>
      </c>
      <c r="B73" s="11" cm="1">
        <f t="array" ref="B73">(1+B72)*(1+INDEX(Data!$F:$F,717-(ROW()-5)))-1</f>
        <v>7.2076032694521563E-2</v>
      </c>
      <c r="C73" s="11" cm="1">
        <f t="array" ref="C73">(1+C72)*(1+INDEX(Data!$G:$G,717-(ROW()-5)))-1</f>
        <v>6.8757539203860629E-2</v>
      </c>
      <c r="D73" s="11" cm="1">
        <f t="array" ref="D73">(1+D72)*(1+INDEX(Data!$H:$H,717-(ROW()-5)))-1</f>
        <v>-2.8237585199610948E-2</v>
      </c>
      <c r="E73" s="11" cm="1">
        <f t="array" ref="E73">(1+E72)*(1+INDEX(Data!$I:$I,717-(ROW()-5)))-1</f>
        <v>4.9166310389054946E-2</v>
      </c>
    </row>
    <row r="74" spans="1:5" x14ac:dyDescent="0.2">
      <c r="A74" s="1" cm="1">
        <f t="array" ref="A74">INDEX(Data!$A:$A,717-(ROW()-5))</f>
        <v>45179</v>
      </c>
      <c r="B74" s="11" cm="1">
        <f t="array" ref="B74">(1+B73)*(1+INDEX(Data!$F:$F,717-(ROW()-5)))-1</f>
        <v>7.2446246666628467E-2</v>
      </c>
      <c r="C74" s="11" cm="1">
        <f t="array" ref="C74">(1+C73)*(1+INDEX(Data!$G:$G,717-(ROW()-5)))-1</f>
        <v>5.8504221954162272E-2</v>
      </c>
      <c r="D74" s="11" cm="1">
        <f t="array" ref="D74">(1+D73)*(1+INDEX(Data!$H:$H,717-(ROW()-5)))-1</f>
        <v>-2.8933092224231904E-2</v>
      </c>
      <c r="E74" s="11" cm="1">
        <f t="array" ref="E74">(1+E73)*(1+INDEX(Data!$I:$I,717-(ROW()-5)))-1</f>
        <v>6.4557503206498223E-2</v>
      </c>
    </row>
    <row r="75" spans="1:5" x14ac:dyDescent="0.2">
      <c r="A75" s="1" cm="1">
        <f t="array" ref="A75">INDEX(Data!$A:$A,717-(ROW()-5))</f>
        <v>45180</v>
      </c>
      <c r="B75" s="11" cm="1">
        <f t="array" ref="B75">(1+B74)*(1+INDEX(Data!$F:$F,717-(ROW()-5)))-1</f>
        <v>8.085704534542737E-2</v>
      </c>
      <c r="C75" s="11" cm="1">
        <f t="array" ref="C75">(1+C74)*(1+INDEX(Data!$G:$G,717-(ROW()-5)))-1</f>
        <v>6.81544028950547E-2</v>
      </c>
      <c r="D75" s="11" cm="1">
        <f t="array" ref="D75">(1+D74)*(1+INDEX(Data!$H:$H,717-(ROW()-5)))-1</f>
        <v>2.9211295034075047E-3</v>
      </c>
      <c r="E75" s="11" cm="1">
        <f t="array" ref="E75">(1+E74)*(1+INDEX(Data!$I:$I,717-(ROW()-5)))-1</f>
        <v>6.6695168875587685E-2</v>
      </c>
    </row>
    <row r="76" spans="1:5" x14ac:dyDescent="0.2">
      <c r="A76" s="1" cm="1">
        <f t="array" ref="A76">INDEX(Data!$A:$A,717-(ROW()-5))</f>
        <v>45181</v>
      </c>
      <c r="B76" s="11" cm="1">
        <f t="array" ref="B76">(1+B75)*(1+INDEX(Data!$F:$F,717-(ROW()-5)))-1</f>
        <v>8.3014698651611818E-2</v>
      </c>
      <c r="C76" s="11" cm="1">
        <f t="array" ref="C76">(1+C75)*(1+INDEX(Data!$G:$G,717-(ROW()-5)))-1</f>
        <v>9.3184559710494996E-2</v>
      </c>
      <c r="D76" s="11" cm="1">
        <f t="array" ref="D76">(1+D75)*(1+INDEX(Data!$H:$H,717-(ROW()-5)))-1</f>
        <v>-6.9550702462140013E-4</v>
      </c>
      <c r="E76" s="11" cm="1">
        <f t="array" ref="E76">(1+E75)*(1+INDEX(Data!$I:$I,717-(ROW()-5)))-1</f>
        <v>7.4390765284309213E-2</v>
      </c>
    </row>
    <row r="77" spans="1:5" x14ac:dyDescent="0.2">
      <c r="A77" s="1" cm="1">
        <f t="array" ref="A77">INDEX(Data!$A:$A,717-(ROW()-5))</f>
        <v>45182</v>
      </c>
      <c r="B77" s="11" cm="1">
        <f t="array" ref="B77">(1+B76)*(1+INDEX(Data!$F:$F,717-(ROW()-5)))-1</f>
        <v>7.3909748775112805E-2</v>
      </c>
      <c r="C77" s="11" cm="1">
        <f t="array" ref="C77">(1+C76)*(1+INDEX(Data!$G:$G,717-(ROW()-5)))-1</f>
        <v>8.2931242460796417E-2</v>
      </c>
      <c r="D77" s="11" cm="1">
        <f t="array" ref="D77">(1+D76)*(1+INDEX(Data!$H:$H,717-(ROW()-5)))-1</f>
        <v>5.0076505772702617E-3</v>
      </c>
      <c r="E77" s="11" cm="1">
        <f t="array" ref="E77">(1+E76)*(1+INDEX(Data!$I:$I,717-(ROW()-5)))-1</f>
        <v>7.4390765284309213E-2</v>
      </c>
    </row>
    <row r="78" spans="1:5" x14ac:dyDescent="0.2">
      <c r="A78" s="1" cm="1">
        <f t="array" ref="A78">INDEX(Data!$A:$A,717-(ROW()-5))</f>
        <v>45183</v>
      </c>
      <c r="B78" s="11" cm="1">
        <f t="array" ref="B78">(1+B77)*(1+INDEX(Data!$F:$F,717-(ROW()-5)))-1</f>
        <v>7.9254712997403054E-2</v>
      </c>
      <c r="C78" s="11" cm="1">
        <f t="array" ref="C78">(1+C77)*(1+INDEX(Data!$G:$G,717-(ROW()-5)))-1</f>
        <v>8.5645355850422433E-2</v>
      </c>
      <c r="D78" s="11" cm="1">
        <f t="array" ref="D78">(1+D77)*(1+INDEX(Data!$H:$H,717-(ROW()-5)))-1</f>
        <v>-6.2595632215890484E-3</v>
      </c>
      <c r="E78" s="11" cm="1">
        <f t="array" ref="E78">(1+E77)*(1+INDEX(Data!$I:$I,717-(ROW()-5)))-1</f>
        <v>7.4390765284309213E-2</v>
      </c>
    </row>
    <row r="79" spans="1:5" x14ac:dyDescent="0.2">
      <c r="A79" s="1" cm="1">
        <f t="array" ref="A79">INDEX(Data!$A:$A,717-(ROW()-5))</f>
        <v>45187</v>
      </c>
      <c r="B79" s="11" cm="1">
        <f t="array" ref="B79">(1+B78)*(1+INDEX(Data!$F:$F,717-(ROW()-5)))-1</f>
        <v>7.9225790030832188E-2</v>
      </c>
      <c r="C79" s="11" cm="1">
        <f t="array" ref="C79">(1+C78)*(1+INDEX(Data!$G:$G,717-(ROW()-5)))-1</f>
        <v>8.0217129071170401E-2</v>
      </c>
      <c r="D79" s="11" cm="1">
        <f t="array" ref="D79">(1+D78)*(1+INDEX(Data!$H:$H,717-(ROW()-5)))-1</f>
        <v>-3.3523438586730236E-2</v>
      </c>
      <c r="E79" s="11" cm="1">
        <f t="array" ref="E79">(1+E78)*(1+INDEX(Data!$I:$I,717-(ROW()-5)))-1</f>
        <v>7.4390765284309213E-2</v>
      </c>
    </row>
    <row r="80" spans="1:5" x14ac:dyDescent="0.2">
      <c r="A80" s="1" cm="1">
        <f t="array" ref="A80">INDEX(Data!$A:$A,717-(ROW()-5))</f>
        <v>45188</v>
      </c>
      <c r="B80" s="11" cm="1">
        <f t="array" ref="B80">(1+B79)*(1+INDEX(Data!$F:$F,717-(ROW()-5)))-1</f>
        <v>7.6969798638306886E-2</v>
      </c>
      <c r="C80" s="11" cm="1">
        <f t="array" ref="C80">(1+C79)*(1+INDEX(Data!$G:$G,717-(ROW()-5)))-1</f>
        <v>7.7503015681544385E-2</v>
      </c>
      <c r="D80" s="11" cm="1">
        <f t="array" ref="D80">(1+D79)*(1+INDEX(Data!$H:$H,717-(ROW()-5)))-1</f>
        <v>-2.7263875365141632E-2</v>
      </c>
      <c r="E80" s="11" cm="1">
        <f t="array" ref="E80">(1+E79)*(1+INDEX(Data!$I:$I,717-(ROW()-5)))-1</f>
        <v>7.4390765284309213E-2</v>
      </c>
    </row>
    <row r="81" spans="1:5" x14ac:dyDescent="0.2">
      <c r="A81" s="1" cm="1">
        <f t="array" ref="A81">INDEX(Data!$A:$A,717-(ROW()-5))</f>
        <v>45189</v>
      </c>
      <c r="B81" s="11" cm="1">
        <f t="array" ref="B81">(1+B80)*(1+INDEX(Data!$F:$F,717-(ROW()-5)))-1</f>
        <v>8.9175290531199325E-2</v>
      </c>
      <c r="C81" s="11" cm="1">
        <f t="array" ref="C81">(1+C80)*(1+INDEX(Data!$G:$G,717-(ROW()-5)))-1</f>
        <v>0.10373944511459632</v>
      </c>
      <c r="D81" s="11" cm="1">
        <f t="array" ref="D81">(1+D80)*(1+INDEX(Data!$H:$H,717-(ROW()-5)))-1</f>
        <v>-1.488385032688877E-2</v>
      </c>
      <c r="E81" s="11" cm="1">
        <f t="array" ref="E81">(1+E80)*(1+INDEX(Data!$I:$I,717-(ROW()-5)))-1</f>
        <v>7.4390765284309213E-2</v>
      </c>
    </row>
    <row r="82" spans="1:5" x14ac:dyDescent="0.2">
      <c r="A82" s="1" cm="1">
        <f t="array" ref="A82">INDEX(Data!$A:$A,717-(ROW()-5))</f>
        <v>45190</v>
      </c>
      <c r="B82" s="11" cm="1">
        <f t="array" ref="B82">(1+B81)*(1+INDEX(Data!$F:$F,717-(ROW()-5)))-1</f>
        <v>8.900753732508826E-2</v>
      </c>
      <c r="C82" s="11" cm="1">
        <f t="array" ref="C82">(1+C81)*(1+INDEX(Data!$G:$G,717-(ROW()-5)))-1</f>
        <v>0.10675512665862508</v>
      </c>
      <c r="D82" s="11" cm="1">
        <f t="array" ref="D82">(1+D81)*(1+INDEX(Data!$H:$H,717-(ROW()-5)))-1</f>
        <v>-1.516205313673713E-2</v>
      </c>
      <c r="E82" s="11" cm="1">
        <f t="array" ref="E82">(1+E81)*(1+INDEX(Data!$I:$I,717-(ROW()-5)))-1</f>
        <v>5.3441641727233424E-2</v>
      </c>
    </row>
    <row r="83" spans="1:5" x14ac:dyDescent="0.2">
      <c r="A83" s="1" cm="1">
        <f t="array" ref="A83">INDEX(Data!$A:$A,717-(ROW()-5))</f>
        <v>45195</v>
      </c>
      <c r="B83" s="11" cm="1">
        <f t="array" ref="B83">(1+B82)*(1+INDEX(Data!$F:$F,717-(ROW()-5)))-1</f>
        <v>7.6911952705164932E-2</v>
      </c>
      <c r="C83" s="11" cm="1">
        <f t="array" ref="C83">(1+C82)*(1+INDEX(Data!$G:$G,717-(ROW()-5)))-1</f>
        <v>0.10102533172497008</v>
      </c>
      <c r="D83" s="11" cm="1">
        <f t="array" ref="D83">(1+D82)*(1+INDEX(Data!$H:$H,717-(ROW()-5)))-1</f>
        <v>-3.950479899847037E-2</v>
      </c>
      <c r="E83" s="11" cm="1">
        <f t="array" ref="E83">(1+E82)*(1+INDEX(Data!$I:$I,717-(ROW()-5)))-1</f>
        <v>2.5224454895254045E-2</v>
      </c>
    </row>
    <row r="84" spans="1:5" x14ac:dyDescent="0.2">
      <c r="A84" s="1" cm="1">
        <f t="array" ref="A84">INDEX(Data!$A:$A,717-(ROW()-5))</f>
        <v>45196</v>
      </c>
      <c r="B84" s="11" cm="1">
        <f t="array" ref="B84">(1+B83)*(1+INDEX(Data!$F:$F,717-(ROW()-5)))-1</f>
        <v>8.1904056735291109E-2</v>
      </c>
      <c r="C84" s="11" cm="1">
        <f t="array" ref="C84">(1+C83)*(1+INDEX(Data!$G:$G,717-(ROW()-5)))-1</f>
        <v>0.1381182147165263</v>
      </c>
      <c r="D84" s="11" cm="1">
        <f t="array" ref="D84">(1+D83)*(1+INDEX(Data!$H:$H,717-(ROW()-5)))-1</f>
        <v>-3.2967032967033516E-2</v>
      </c>
      <c r="E84" s="11" cm="1">
        <f t="array" ref="E84">(1+E83)*(1+INDEX(Data!$I:$I,717-(ROW()-5)))-1</f>
        <v>2.5224454895254045E-2</v>
      </c>
    </row>
    <row r="85" spans="1:5" x14ac:dyDescent="0.2">
      <c r="A85" s="1" cm="1">
        <f t="array" ref="A85">INDEX(Data!$A:$A,717-(ROW()-5))</f>
        <v>45197</v>
      </c>
      <c r="B85" s="11" cm="1">
        <f t="array" ref="B85">(1+B84)*(1+INDEX(Data!$F:$F,717-(ROW()-5)))-1</f>
        <v>8.428730918072791E-2</v>
      </c>
      <c r="C85" s="11" cm="1">
        <f t="array" ref="C85">(1+C84)*(1+INDEX(Data!$G:$G,717-(ROW()-5)))-1</f>
        <v>0.15802171290711731</v>
      </c>
      <c r="D85" s="11" cm="1">
        <f t="array" ref="D85">(1+D84)*(1+INDEX(Data!$H:$H,717-(ROW()-5)))-1</f>
        <v>-4.0895813047712282E-2</v>
      </c>
      <c r="E85" s="11" cm="1">
        <f t="array" ref="E85">(1+E84)*(1+INDEX(Data!$I:$I,717-(ROW()-5)))-1</f>
        <v>2.5224454895254045E-2</v>
      </c>
    </row>
    <row r="86" spans="1:5" x14ac:dyDescent="0.2">
      <c r="A86" s="1" cm="1">
        <f t="array" ref="A86">INDEX(Data!$A:$A,717-(ROW()-5))</f>
        <v>45200</v>
      </c>
      <c r="B86" s="11" cm="1">
        <f t="array" ref="B86">(1+B85)*(1+INDEX(Data!$F:$F,717-(ROW()-5)))-1</f>
        <v>9.8100918014958571E-2</v>
      </c>
      <c r="C86" s="11" cm="1">
        <f t="array" ref="C86">(1+C85)*(1+INDEX(Data!$G:$G,717-(ROW()-5)))-1</f>
        <v>0.1679734620024127</v>
      </c>
      <c r="D86" s="11" cm="1">
        <f t="array" ref="D86">(1+D85)*(1+INDEX(Data!$H:$H,717-(ROW()-5)))-1</f>
        <v>-4.0895813047712282E-2</v>
      </c>
      <c r="E86" s="11" cm="1">
        <f t="array" ref="E86">(1+E85)*(1+INDEX(Data!$I:$I,717-(ROW()-5)))-1</f>
        <v>2.7789653698161221E-2</v>
      </c>
    </row>
    <row r="87" spans="1:5" x14ac:dyDescent="0.2">
      <c r="A87" s="1" cm="1">
        <f t="array" ref="A87">INDEX(Data!$A:$A,717-(ROW()-5))</f>
        <v>45201</v>
      </c>
      <c r="B87" s="11" cm="1">
        <f t="array" ref="B87">(1+B86)*(1+INDEX(Data!$F:$F,717-(ROW()-5)))-1</f>
        <v>0.10101056845198464</v>
      </c>
      <c r="C87" s="11" cm="1">
        <f t="array" ref="C87">(1+C86)*(1+INDEX(Data!$G:$G,717-(ROW()-5)))-1</f>
        <v>0.1544028950542824</v>
      </c>
      <c r="D87" s="11" cm="1">
        <f t="array" ref="D87">(1+D86)*(1+INDEX(Data!$H:$H,717-(ROW()-5)))-1</f>
        <v>-4.1591320072333238E-2</v>
      </c>
      <c r="E87" s="11" cm="1">
        <f t="array" ref="E87">(1+E86)*(1+INDEX(Data!$I:$I,717-(ROW()-5)))-1</f>
        <v>2.7789653698161221E-2</v>
      </c>
    </row>
    <row r="88" spans="1:5" x14ac:dyDescent="0.2">
      <c r="A88" s="1" cm="1">
        <f t="array" ref="A88">INDEX(Data!$A:$A,717-(ROW()-5))</f>
        <v>45202</v>
      </c>
      <c r="B88" s="11" cm="1">
        <f t="array" ref="B88">(1+B87)*(1+INDEX(Data!$F:$F,717-(ROW()-5)))-1</f>
        <v>9.1298236277498113E-2</v>
      </c>
      <c r="C88" s="11" cm="1">
        <f t="array" ref="C88">(1+C87)*(1+INDEX(Data!$G:$G,717-(ROW()-5)))-1</f>
        <v>0.15199034981905912</v>
      </c>
      <c r="D88" s="11" cm="1">
        <f t="array" ref="D88">(1+D87)*(1+INDEX(Data!$H:$H,717-(ROW()-5)))-1</f>
        <v>-4.3816942551120341E-2</v>
      </c>
      <c r="E88" s="11" cm="1">
        <f t="array" ref="E88">(1+E87)*(1+INDEX(Data!$I:$I,717-(ROW()-5)))-1</f>
        <v>2.7789653698161221E-2</v>
      </c>
    </row>
    <row r="89" spans="1:5" x14ac:dyDescent="0.2">
      <c r="A89" s="1" cm="1">
        <f t="array" ref="A89">INDEX(Data!$A:$A,717-(ROW()-5))</f>
        <v>45203</v>
      </c>
      <c r="B89" s="11" cm="1">
        <f t="array" ref="B89">(1+B88)*(1+INDEX(Data!$F:$F,717-(ROW()-5)))-1</f>
        <v>7.8710961225870513E-2</v>
      </c>
      <c r="C89" s="11" cm="1">
        <f t="array" ref="C89">(1+C88)*(1+INDEX(Data!$G:$G,717-(ROW()-5)))-1</f>
        <v>0.13238841978287086</v>
      </c>
      <c r="D89" s="11" cm="1">
        <f t="array" ref="D89">(1+D88)*(1+INDEX(Data!$H:$H,717-(ROW()-5)))-1</f>
        <v>-4.2565029906802554E-2</v>
      </c>
      <c r="E89" s="11" cm="1">
        <f t="array" ref="E89">(1+E88)*(1+INDEX(Data!$I:$I,717-(ROW()-5)))-1</f>
        <v>3.0782385634886333E-2</v>
      </c>
    </row>
    <row r="90" spans="1:5" x14ac:dyDescent="0.2">
      <c r="A90" s="1" cm="1">
        <f t="array" ref="A90">INDEX(Data!$A:$A,717-(ROW()-5))</f>
        <v>45204</v>
      </c>
      <c r="B90" s="11" cm="1">
        <f t="array" ref="B90">(1+B89)*(1+INDEX(Data!$F:$F,717-(ROW()-5)))-1</f>
        <v>7.5344327917025389E-2</v>
      </c>
      <c r="C90" s="11" cm="1">
        <f t="array" ref="C90">(1+C89)*(1+INDEX(Data!$G:$G,717-(ROW()-5)))-1</f>
        <v>0.12273823884197821</v>
      </c>
      <c r="D90" s="11" cm="1">
        <f t="array" ref="D90">(1+D89)*(1+INDEX(Data!$H:$H,717-(ROW()-5)))-1</f>
        <v>-3.7418277924607501E-2</v>
      </c>
      <c r="E90" s="11" cm="1">
        <f t="array" ref="E90">(1+E89)*(1+INDEX(Data!$I:$I,717-(ROW()-5)))-1</f>
        <v>3.2064985036339921E-2</v>
      </c>
    </row>
    <row r="91" spans="1:5" x14ac:dyDescent="0.2">
      <c r="A91" s="1" cm="1">
        <f t="array" ref="A91">INDEX(Data!$A:$A,717-(ROW()-5))</f>
        <v>45207</v>
      </c>
      <c r="B91" s="11" cm="1">
        <f t="array" ref="B91">(1+B90)*(1+INDEX(Data!$F:$F,717-(ROW()-5)))-1</f>
        <v>3.3666333088449019E-3</v>
      </c>
      <c r="C91" s="11" cm="1">
        <f t="array" ref="C91">(1+C90)*(1+INDEX(Data!$G:$G,717-(ROW()-5)))-1</f>
        <v>2.7141133896260383E-2</v>
      </c>
      <c r="D91" s="11" cm="1">
        <f t="array" ref="D91">(1+D90)*(1+INDEX(Data!$H:$H,717-(ROW()-5)))-1</f>
        <v>-0.1009876199749622</v>
      </c>
      <c r="E91" s="11" cm="1">
        <f t="array" ref="E91">(1+E90)*(1+INDEX(Data!$I:$I,717-(ROW()-5)))-1</f>
        <v>-2.3086789226165361E-2</v>
      </c>
    </row>
    <row r="92" spans="1:5" x14ac:dyDescent="0.2">
      <c r="A92" s="1" cm="1">
        <f t="array" ref="A92">INDEX(Data!$A:$A,717-(ROW()-5))</f>
        <v>45208</v>
      </c>
      <c r="B92" s="11" cm="1">
        <f t="array" ref="B92">(1+B91)*(1+INDEX(Data!$F:$F,717-(ROW()-5)))-1</f>
        <v>1.0516390645155527E-2</v>
      </c>
      <c r="C92" s="11" cm="1">
        <f t="array" ref="C92">(1+C91)*(1+INDEX(Data!$G:$G,717-(ROW()-5)))-1</f>
        <v>1.8395657418576405E-2</v>
      </c>
      <c r="D92" s="11" cm="1">
        <f t="array" ref="D92">(1+D91)*(1+INDEX(Data!$H:$H,717-(ROW()-5)))-1</f>
        <v>-9.8761997496175202E-2</v>
      </c>
      <c r="E92" s="11" cm="1">
        <f t="array" ref="E92">(1+E91)*(1+INDEX(Data!$I:$I,717-(ROW()-5)))-1</f>
        <v>-5.130397605814796E-3</v>
      </c>
    </row>
    <row r="93" spans="1:5" x14ac:dyDescent="0.2">
      <c r="A93" s="1" cm="1">
        <f t="array" ref="A93">INDEX(Data!$A:$A,717-(ROW()-5))</f>
        <v>45209</v>
      </c>
      <c r="B93" s="11" cm="1">
        <f t="array" ref="B93">(1+B92)*(1+INDEX(Data!$F:$F,717-(ROW()-5)))-1</f>
        <v>2.4931597184059795E-2</v>
      </c>
      <c r="C93" s="11" cm="1">
        <f t="array" ref="C93">(1+C92)*(1+INDEX(Data!$G:$G,717-(ROW()-5)))-1</f>
        <v>4.5235223160434046E-2</v>
      </c>
      <c r="D93" s="11" cm="1">
        <f t="array" ref="D93">(1+D92)*(1+INDEX(Data!$H:$H,717-(ROW()-5)))-1</f>
        <v>-5.1050215607178151E-2</v>
      </c>
      <c r="E93" s="11" cm="1">
        <f t="array" ref="E93">(1+E92)*(1+INDEX(Data!$I:$I,717-(ROW()-5)))-1</f>
        <v>0</v>
      </c>
    </row>
    <row r="94" spans="1:5" x14ac:dyDescent="0.2">
      <c r="A94" s="1" cm="1">
        <f t="array" ref="A94">INDEX(Data!$A:$A,717-(ROW()-5))</f>
        <v>45210</v>
      </c>
      <c r="B94" s="11" cm="1">
        <f t="array" ref="B94">(1+B93)*(1+INDEX(Data!$F:$F,717-(ROW()-5)))-1</f>
        <v>1.0175099639619711E-2</v>
      </c>
      <c r="C94" s="11" cm="1">
        <f t="array" ref="C94">(1+C93)*(1+INDEX(Data!$G:$G,717-(ROW()-5)))-1</f>
        <v>-6.3329312424610373E-3</v>
      </c>
      <c r="D94" s="11" cm="1">
        <f t="array" ref="D94">(1+D93)*(1+INDEX(Data!$H:$H,717-(ROW()-5)))-1</f>
        <v>-9.0137710390875481E-2</v>
      </c>
      <c r="E94" s="11" cm="1">
        <f t="array" ref="E94">(1+E93)*(1+INDEX(Data!$I:$I,717-(ROW()-5)))-1</f>
        <v>-2.9072253099615253E-2</v>
      </c>
    </row>
    <row r="95" spans="1:5" x14ac:dyDescent="0.2">
      <c r="A95" s="1" cm="1">
        <f t="array" ref="A95">INDEX(Data!$A:$A,717-(ROW()-5))</f>
        <v>45211</v>
      </c>
      <c r="B95" s="11" cm="1">
        <f t="array" ref="B95">(1+B94)*(1+INDEX(Data!$F:$F,717-(ROW()-5)))-1</f>
        <v>5.6284092946845554E-3</v>
      </c>
      <c r="C95" s="11" cm="1">
        <f t="array" ref="C95">(1+C94)*(1+INDEX(Data!$G:$G,717-(ROW()-5)))-1</f>
        <v>-2.1712907117008684E-2</v>
      </c>
      <c r="D95" s="11" cm="1">
        <f t="array" ref="D95">(1+D94)*(1+INDEX(Data!$H:$H,717-(ROW()-5)))-1</f>
        <v>-0.10015301154541711</v>
      </c>
      <c r="E95" s="11" cm="1">
        <f t="array" ref="E95">(1+E94)*(1+INDEX(Data!$I:$I,717-(ROW()-5)))-1</f>
        <v>-1.5818725951261214E-2</v>
      </c>
    </row>
    <row r="96" spans="1:5" x14ac:dyDescent="0.2">
      <c r="A96" s="1" cm="1">
        <f t="array" ref="A96">INDEX(Data!$A:$A,717-(ROW()-5))</f>
        <v>45214</v>
      </c>
      <c r="B96" s="11" cm="1">
        <f t="array" ref="B96">(1+B95)*(1+INDEX(Data!$F:$F,717-(ROW()-5)))-1</f>
        <v>-3.3203565623318831E-2</v>
      </c>
      <c r="C96" s="11" cm="1">
        <f t="array" ref="C96">(1+C95)*(1+INDEX(Data!$G:$G,717-(ROW()-5)))-1</f>
        <v>-5.9107358262967646E-2</v>
      </c>
      <c r="D96" s="11" cm="1">
        <f t="array" ref="D96">(1+D95)*(1+INDEX(Data!$H:$H,717-(ROW()-5)))-1</f>
        <v>-0.11865349840033435</v>
      </c>
      <c r="E96" s="11" cm="1">
        <f t="array" ref="E96">(1+E95)*(1+INDEX(Data!$I:$I,717-(ROW()-5)))-1</f>
        <v>-1.5818725951261214E-2</v>
      </c>
    </row>
    <row r="97" spans="1:5" x14ac:dyDescent="0.2">
      <c r="A97" s="1" cm="1">
        <f t="array" ref="A97">INDEX(Data!$A:$A,717-(ROW()-5))</f>
        <v>45215</v>
      </c>
      <c r="B97" s="11" cm="1">
        <f t="array" ref="B97">(1+B96)*(1+INDEX(Data!$F:$F,717-(ROW()-5)))-1</f>
        <v>-1.0389129592243918E-2</v>
      </c>
      <c r="C97" s="11" cm="1">
        <f t="array" ref="C97">(1+C96)*(1+INDEX(Data!$G:$G,717-(ROW()-5)))-1</f>
        <v>-2.0506634499397047E-2</v>
      </c>
      <c r="D97" s="11" cm="1">
        <f t="array" ref="D97">(1+D96)*(1+INDEX(Data!$H:$H,717-(ROW()-5)))-1</f>
        <v>-0.12060091806927298</v>
      </c>
      <c r="E97" s="11" cm="1">
        <f t="array" ref="E97">(1+E96)*(1+INDEX(Data!$I:$I,717-(ROW()-5)))-1</f>
        <v>-1.6673792218896866E-2</v>
      </c>
    </row>
    <row r="98" spans="1:5" x14ac:dyDescent="0.2">
      <c r="A98" s="1" cm="1">
        <f t="array" ref="A98">INDEX(Data!$A:$A,717-(ROW()-5))</f>
        <v>45216</v>
      </c>
      <c r="B98" s="11" cm="1">
        <f t="array" ref="B98">(1+B97)*(1+INDEX(Data!$F:$F,717-(ROW()-5)))-1</f>
        <v>-1.4287945485992437E-2</v>
      </c>
      <c r="C98" s="11" cm="1">
        <f t="array" ref="C98">(1+C97)*(1+INDEX(Data!$G:$G,717-(ROW()-5)))-1</f>
        <v>-3.3474065138721532E-2</v>
      </c>
      <c r="D98" s="11" cm="1">
        <f t="array" ref="D98">(1+D97)*(1+INDEX(Data!$H:$H,717-(ROW()-5)))-1</f>
        <v>-0.1054388649325364</v>
      </c>
      <c r="E98" s="11" cm="1">
        <f t="array" ref="E98">(1+E97)*(1+INDEX(Data!$I:$I,717-(ROW()-5)))-1</f>
        <v>-2.9927319367250904E-2</v>
      </c>
    </row>
    <row r="99" spans="1:5" x14ac:dyDescent="0.2">
      <c r="A99" s="1" cm="1">
        <f t="array" ref="A99">INDEX(Data!$A:$A,717-(ROW()-5))</f>
        <v>45217</v>
      </c>
      <c r="B99" s="11" cm="1">
        <f t="array" ref="B99">(1+B98)*(1+INDEX(Data!$F:$F,717-(ROW()-5)))-1</f>
        <v>-8.8793507372461056E-3</v>
      </c>
      <c r="C99" s="11" cm="1">
        <f t="array" ref="C99">(1+C98)*(1+INDEX(Data!$G:$G,717-(ROW()-5)))-1</f>
        <v>-2.8045838359469499E-2</v>
      </c>
      <c r="D99" s="11" cm="1">
        <f t="array" ref="D99">(1+D98)*(1+INDEX(Data!$H:$H,717-(ROW()-5)))-1</f>
        <v>-0.10126582278481067</v>
      </c>
      <c r="E99" s="11" cm="1">
        <f t="array" ref="E99">(1+E98)*(1+INDEX(Data!$I:$I,717-(ROW()-5)))-1</f>
        <v>-2.9927319367250904E-2</v>
      </c>
    </row>
    <row r="100" spans="1:5" x14ac:dyDescent="0.2">
      <c r="A100" s="1" cm="1">
        <f t="array" ref="A100">INDEX(Data!$A:$A,717-(ROW()-5))</f>
        <v>45218</v>
      </c>
      <c r="B100" s="11" cm="1">
        <f t="array" ref="B100">(1+B99)*(1+INDEX(Data!$F:$F,717-(ROW()-5)))-1</f>
        <v>-2.6609129245168117E-2</v>
      </c>
      <c r="C100" s="11" cm="1">
        <f t="array" ref="C100">(1+C99)*(1+INDEX(Data!$G:$G,717-(ROW()-5)))-1</f>
        <v>-3.3775633293124496E-2</v>
      </c>
      <c r="D100" s="11" cm="1">
        <f t="array" ref="D100">(1+D99)*(1+INDEX(Data!$H:$H,717-(ROW()-5)))-1</f>
        <v>-8.1652524690499884E-2</v>
      </c>
      <c r="E100" s="11" cm="1">
        <f t="array" ref="E100">(1+E99)*(1+INDEX(Data!$I:$I,717-(ROW()-5)))-1</f>
        <v>-2.9927319367250904E-2</v>
      </c>
    </row>
    <row r="101" spans="1:5" x14ac:dyDescent="0.2">
      <c r="A101" s="1" cm="1">
        <f t="array" ref="A101">INDEX(Data!$A:$A,717-(ROW()-5))</f>
        <v>45221</v>
      </c>
      <c r="B101" s="11" cm="1">
        <f t="array" ref="B101">(1+B100)*(1+INDEX(Data!$F:$F,717-(ROW()-5)))-1</f>
        <v>-5.1158943270493085E-2</v>
      </c>
      <c r="C101" s="11" cm="1">
        <f t="array" ref="C101">(1+C100)*(1+INDEX(Data!$G:$G,717-(ROW()-5)))-1</f>
        <v>-4.7044632086851945E-2</v>
      </c>
      <c r="D101" s="11" cm="1">
        <f t="array" ref="D101">(1+D100)*(1+INDEX(Data!$H:$H,717-(ROW()-5)))-1</f>
        <v>-6.8994296842398661E-2</v>
      </c>
      <c r="E101" s="11" cm="1">
        <f t="array" ref="E101">(1+E100)*(1+INDEX(Data!$I:$I,717-(ROW()-5)))-1</f>
        <v>-1.2825994014536102E-2</v>
      </c>
    </row>
    <row r="102" spans="1:5" x14ac:dyDescent="0.2">
      <c r="A102" s="1" cm="1">
        <f t="array" ref="A102">INDEX(Data!$A:$A,717-(ROW()-5))</f>
        <v>45222</v>
      </c>
      <c r="B102" s="11" cm="1">
        <f t="array" ref="B102">(1+B101)*(1+INDEX(Data!$F:$F,717-(ROW()-5)))-1</f>
        <v>-6.094647515806384E-2</v>
      </c>
      <c r="C102" s="11" cm="1">
        <f t="array" ref="C102">(1+C101)*(1+INDEX(Data!$G:$G,717-(ROW()-5)))-1</f>
        <v>-4.5536791314837455E-2</v>
      </c>
      <c r="D102" s="11" cm="1">
        <f t="array" ref="D102">(1+D101)*(1+INDEX(Data!$H:$H,717-(ROW()-5)))-1</f>
        <v>-7.0663513701488934E-2</v>
      </c>
      <c r="E102" s="11" cm="1">
        <f t="array" ref="E102">(1+E101)*(1+INDEX(Data!$I:$I,717-(ROW()-5)))-1</f>
        <v>-3.6767849508336892E-2</v>
      </c>
    </row>
    <row r="103" spans="1:5" x14ac:dyDescent="0.2">
      <c r="A103" s="1" cm="1">
        <f t="array" ref="A103">INDEX(Data!$A:$A,717-(ROW()-5))</f>
        <v>45223</v>
      </c>
      <c r="B103" s="11" cm="1">
        <f t="array" ref="B103">(1+B102)*(1+INDEX(Data!$F:$F,717-(ROW()-5)))-1</f>
        <v>-5.5537880409317508E-2</v>
      </c>
      <c r="C103" s="11" cm="1">
        <f t="array" ref="C103">(1+C102)*(1+INDEX(Data!$G:$G,717-(ROW()-5)))-1</f>
        <v>-3.4981905910736244E-2</v>
      </c>
      <c r="D103" s="11" cm="1">
        <f t="array" ref="D103">(1+D102)*(1+INDEX(Data!$H:$H,717-(ROW()-5)))-1</f>
        <v>-7.2332730560579206E-2</v>
      </c>
      <c r="E103" s="11" cm="1">
        <f t="array" ref="E103">(1+E102)*(1+INDEX(Data!$I:$I,717-(ROW()-5)))-1</f>
        <v>-6.5412569474134208E-2</v>
      </c>
    </row>
    <row r="104" spans="1:5" x14ac:dyDescent="0.2">
      <c r="A104" s="1" cm="1">
        <f t="array" ref="A104">INDEX(Data!$A:$A,717-(ROW()-5))</f>
        <v>45224</v>
      </c>
      <c r="B104" s="11" cm="1">
        <f t="array" ref="B104">(1+B103)*(1+INDEX(Data!$F:$F,717-(ROW()-5)))-1</f>
        <v>-5.8412823286458471E-2</v>
      </c>
      <c r="C104" s="11" cm="1">
        <f t="array" ref="C104">(1+C103)*(1+INDEX(Data!$G:$G,717-(ROW()-5)))-1</f>
        <v>-9.0470446320872755E-3</v>
      </c>
      <c r="D104" s="11" cm="1">
        <f t="array" ref="D104">(1+D103)*(1+INDEX(Data!$H:$H,717-(ROW()-5)))-1</f>
        <v>-9.3476144109056025E-2</v>
      </c>
      <c r="E104" s="11" cm="1">
        <f t="array" ref="E104">(1+E103)*(1+INDEX(Data!$I:$I,717-(ROW()-5)))-1</f>
        <v>-0.10346301838392469</v>
      </c>
    </row>
    <row r="105" spans="1:5" x14ac:dyDescent="0.2">
      <c r="A105" s="1" cm="1">
        <f t="array" ref="A105">INDEX(Data!$A:$A,717-(ROW()-5))</f>
        <v>45225</v>
      </c>
      <c r="B105" s="11" cm="1">
        <f t="array" ref="B105">(1+B104)*(1+INDEX(Data!$F:$F,717-(ROW()-5)))-1</f>
        <v>-6.9594442162743353E-2</v>
      </c>
      <c r="C105" s="11" cm="1">
        <f t="array" ref="C105">(1+C104)*(1+INDEX(Data!$G:$G,717-(ROW()-5)))-1</f>
        <v>-2.8950542822678282E-2</v>
      </c>
      <c r="D105" s="11" cm="1">
        <f t="array" ref="D105">(1+D104)*(1+INDEX(Data!$H:$H,717-(ROW()-5)))-1</f>
        <v>-0.10794269022117176</v>
      </c>
      <c r="E105" s="11" cm="1">
        <f t="array" ref="E105">(1+E104)*(1+INDEX(Data!$I:$I,717-(ROW()-5)))-1</f>
        <v>-9.020949123557076E-2</v>
      </c>
    </row>
    <row r="106" spans="1:5" x14ac:dyDescent="0.2">
      <c r="A106" s="1" cm="1">
        <f t="array" ref="A106">INDEX(Data!$A:$A,717-(ROW()-5))</f>
        <v>45228</v>
      </c>
      <c r="B106" s="11" cm="1">
        <f t="array" ref="B106">(1+B105)*(1+INDEX(Data!$F:$F,717-(ROW()-5)))-1</f>
        <v>-5.8262423860290125E-2</v>
      </c>
      <c r="C106" s="11" cm="1">
        <f t="array" ref="C106">(1+C105)*(1+INDEX(Data!$G:$G,717-(ROW()-5)))-1</f>
        <v>-2.5331724969843483E-2</v>
      </c>
      <c r="D106" s="11" cm="1">
        <f t="array" ref="D106">(1+D105)*(1+INDEX(Data!$H:$H,717-(ROW()-5)))-1</f>
        <v>-0.10808179162609599</v>
      </c>
      <c r="E106" s="11" cm="1">
        <f t="array" ref="E106">(1+E105)*(1+INDEX(Data!$I:$I,717-(ROW()-5)))-1</f>
        <v>-9.9615220179563924E-2</v>
      </c>
    </row>
    <row r="107" spans="1:5" x14ac:dyDescent="0.2">
      <c r="A107" s="1" cm="1">
        <f t="array" ref="A107">INDEX(Data!$A:$A,717-(ROW()-5))</f>
        <v>45229</v>
      </c>
      <c r="B107" s="11" cm="1">
        <f t="array" ref="B107">(1+B106)*(1+INDEX(Data!$F:$F,717-(ROW()-5)))-1</f>
        <v>-4.1516026215776436E-2</v>
      </c>
      <c r="C107" s="11" cm="1">
        <f t="array" ref="C107">(1+C106)*(1+INDEX(Data!$G:$G,717-(ROW()-5)))-1</f>
        <v>4.2219541616401735E-3</v>
      </c>
      <c r="D107" s="11" cm="1">
        <f t="array" ref="D107">(1+D106)*(1+INDEX(Data!$H:$H,717-(ROW()-5)))-1</f>
        <v>-9.9040200306023674E-2</v>
      </c>
      <c r="E107" s="11" cm="1">
        <f t="array" ref="E107">(1+E106)*(1+INDEX(Data!$I:$I,717-(ROW()-5)))-1</f>
        <v>-9.9615220179563924E-2</v>
      </c>
    </row>
    <row r="108" spans="1:5" x14ac:dyDescent="0.2">
      <c r="A108" s="1" cm="1">
        <f t="array" ref="A108">INDEX(Data!$A:$A,717-(ROW()-5))</f>
        <v>45230</v>
      </c>
      <c r="B108" s="11" cm="1">
        <f t="array" ref="B108">(1+B107)*(1+INDEX(Data!$F:$F,717-(ROW()-5)))-1</f>
        <v>-4.092599769773142E-2</v>
      </c>
      <c r="C108" s="11" cm="1">
        <f t="array" ref="C108">(1+C107)*(1+INDEX(Data!$G:$G,717-(ROW()-5)))-1</f>
        <v>8.1423401688778263E-3</v>
      </c>
      <c r="D108" s="11" cm="1">
        <f t="array" ref="D108">(1+D107)*(1+INDEX(Data!$H:$H,717-(ROW()-5)))-1</f>
        <v>-9.1806927249965753E-2</v>
      </c>
      <c r="E108" s="11" cm="1">
        <f t="array" ref="E108">(1+E107)*(1+INDEX(Data!$I:$I,717-(ROW()-5)))-1</f>
        <v>-8.807182556648141E-2</v>
      </c>
    </row>
    <row r="109" spans="1:5" x14ac:dyDescent="0.2">
      <c r="A109" s="1" cm="1">
        <f t="array" ref="A109">INDEX(Data!$A:$A,717-(ROW()-5))</f>
        <v>45231</v>
      </c>
      <c r="B109" s="11" cm="1">
        <f t="array" ref="B109">(1+B108)*(1+INDEX(Data!$F:$F,717-(ROW()-5)))-1</f>
        <v>-3.4186946486726821E-2</v>
      </c>
      <c r="C109" s="11" cm="1">
        <f t="array" ref="C109">(1+C108)*(1+INDEX(Data!$G:$G,717-(ROW()-5)))-1</f>
        <v>5.7599517490952712E-2</v>
      </c>
      <c r="D109" s="11" cm="1">
        <f t="array" ref="D109">(1+D108)*(1+INDEX(Data!$H:$H,717-(ROW()-5)))-1</f>
        <v>-6.9411601057171257E-2</v>
      </c>
      <c r="E109" s="11" cm="1">
        <f t="array" ref="E109">(1+E108)*(1+INDEX(Data!$I:$I,717-(ROW()-5)))-1</f>
        <v>-8.807182556648141E-2</v>
      </c>
    </row>
    <row r="110" spans="1:5" x14ac:dyDescent="0.2">
      <c r="A110" s="1" cm="1">
        <f t="array" ref="A110">INDEX(Data!$A:$A,717-(ROW()-5))</f>
        <v>45232</v>
      </c>
      <c r="B110" s="11" cm="1">
        <f t="array" ref="B110">(1+B109)*(1+INDEX(Data!$F:$F,717-(ROW()-5)))-1</f>
        <v>-1.5658894101449827E-2</v>
      </c>
      <c r="C110" s="11" cm="1">
        <f t="array" ref="C110">(1+C109)*(1+INDEX(Data!$G:$G,717-(ROW()-5)))-1</f>
        <v>0.10886610373944472</v>
      </c>
      <c r="D110" s="11" cm="1">
        <f t="array" ref="D110">(1+D109)*(1+INDEX(Data!$H:$H,717-(ROW()-5)))-1</f>
        <v>-6.1621922381416616E-2</v>
      </c>
      <c r="E110" s="11" cm="1">
        <f t="array" ref="E110">(1+E109)*(1+INDEX(Data!$I:$I,717-(ROW()-5)))-1</f>
        <v>-8.4224027362120646E-2</v>
      </c>
    </row>
    <row r="111" spans="1:5" x14ac:dyDescent="0.2">
      <c r="A111" s="1" cm="1">
        <f t="array" ref="A111">INDEX(Data!$A:$A,717-(ROW()-5))</f>
        <v>45235</v>
      </c>
      <c r="B111" s="11" cm="1">
        <f t="array" ref="B111">(1+B110)*(1+INDEX(Data!$F:$F,717-(ROW()-5)))-1</f>
        <v>7.4679099685899253E-3</v>
      </c>
      <c r="C111" s="11" cm="1">
        <f t="array" ref="C111">(1+C110)*(1+INDEX(Data!$G:$G,717-(ROW()-5)))-1</f>
        <v>9.469240048250871E-2</v>
      </c>
      <c r="D111" s="11" cm="1">
        <f t="array" ref="D111">(1+D110)*(1+INDEX(Data!$H:$H,717-(ROW()-5)))-1</f>
        <v>-5.1884824036723343E-2</v>
      </c>
      <c r="E111" s="11" cm="1">
        <f t="array" ref="E111">(1+E110)*(1+INDEX(Data!$I:$I,717-(ROW()-5)))-1</f>
        <v>-7.952116289012412E-2</v>
      </c>
    </row>
    <row r="112" spans="1:5" x14ac:dyDescent="0.2">
      <c r="A112" s="1" cm="1">
        <f t="array" ref="A112">INDEX(Data!$A:$A,717-(ROW()-5))</f>
        <v>45236</v>
      </c>
      <c r="B112" s="11" cm="1">
        <f t="array" ref="B112">(1+B111)*(1+INDEX(Data!$F:$F,717-(ROW()-5)))-1</f>
        <v>-3.6558629745532256E-3</v>
      </c>
      <c r="C112" s="11" cm="1">
        <f t="array" ref="C112">(1+C111)*(1+INDEX(Data!$G:$G,717-(ROW()-5)))-1</f>
        <v>0.10072376357056667</v>
      </c>
      <c r="D112" s="11" cm="1">
        <f t="array" ref="D112">(1+D111)*(1+INDEX(Data!$H:$H,717-(ROW()-5)))-1</f>
        <v>-6.2873835025734404E-2</v>
      </c>
      <c r="E112" s="11" cm="1">
        <f t="array" ref="E112">(1+E111)*(1+INDEX(Data!$I:$I,717-(ROW()-5)))-1</f>
        <v>-4.3608379649422879E-2</v>
      </c>
    </row>
    <row r="113" spans="1:5" x14ac:dyDescent="0.2">
      <c r="A113" s="1" cm="1">
        <f t="array" ref="A113">INDEX(Data!$A:$A,717-(ROW()-5))</f>
        <v>45237</v>
      </c>
      <c r="B113" s="11" cm="1">
        <f t="array" ref="B113">(1+B112)*(1+INDEX(Data!$F:$F,717-(ROW()-5)))-1</f>
        <v>9.8569470073408549E-3</v>
      </c>
      <c r="C113" s="11" cm="1">
        <f t="array" ref="C113">(1+C112)*(1+INDEX(Data!$G:$G,717-(ROW()-5)))-1</f>
        <v>0.11942098914354626</v>
      </c>
      <c r="D113" s="11" cm="1">
        <f t="array" ref="D113">(1+D112)*(1+INDEX(Data!$H:$H,717-(ROW()-5)))-1</f>
        <v>-4.2982334121575372E-2</v>
      </c>
      <c r="E113" s="11" cm="1">
        <f t="array" ref="E113">(1+E112)*(1+INDEX(Data!$I:$I,717-(ROW()-5)))-1</f>
        <v>-4.2753313381787117E-2</v>
      </c>
    </row>
    <row r="114" spans="1:5" x14ac:dyDescent="0.2">
      <c r="A114" s="1" cm="1">
        <f t="array" ref="A114">INDEX(Data!$A:$A,717-(ROW()-5))</f>
        <v>45238</v>
      </c>
      <c r="B114" s="11" cm="1">
        <f t="array" ref="B114">(1+B113)*(1+INDEX(Data!$F:$F,717-(ROW()-5)))-1</f>
        <v>2.9270042169686761E-3</v>
      </c>
      <c r="C114" s="11" cm="1">
        <f t="array" ref="C114">(1+C113)*(1+INDEX(Data!$G:$G,717-(ROW()-5)))-1</f>
        <v>8.866103739445097E-2</v>
      </c>
      <c r="D114" s="11" cm="1">
        <f t="array" ref="D114">(1+D113)*(1+INDEX(Data!$H:$H,717-(ROW()-5)))-1</f>
        <v>-4.1034914452636628E-2</v>
      </c>
      <c r="E114" s="11" cm="1">
        <f t="array" ref="E114">(1+E113)*(1+INDEX(Data!$I:$I,717-(ROW()-5)))-1</f>
        <v>-8.1231295425395755E-3</v>
      </c>
    </row>
    <row r="115" spans="1:5" x14ac:dyDescent="0.2">
      <c r="A115" s="1" cm="1">
        <f t="array" ref="A115">INDEX(Data!$A:$A,717-(ROW()-5))</f>
        <v>45239</v>
      </c>
      <c r="B115" s="11" cm="1">
        <f t="array" ref="B115">(1+B114)*(1+INDEX(Data!$F:$F,717-(ROW()-5)))-1</f>
        <v>-3.3666333088450129E-3</v>
      </c>
      <c r="C115" s="11" cm="1">
        <f t="array" ref="C115">(1+C114)*(1+INDEX(Data!$G:$G,717-(ROW()-5)))-1</f>
        <v>8.5645355850421989E-2</v>
      </c>
      <c r="D115" s="11" cm="1">
        <f t="array" ref="D115">(1+D114)*(1+INDEX(Data!$H:$H,717-(ROW()-5)))-1</f>
        <v>-4.965920155793635E-2</v>
      </c>
      <c r="E115" s="11" cm="1">
        <f t="array" ref="E115">(1+E114)*(1+INDEX(Data!$I:$I,717-(ROW()-5)))-1</f>
        <v>-1.7101325352716357E-3</v>
      </c>
    </row>
    <row r="116" spans="1:5" x14ac:dyDescent="0.2">
      <c r="A116" s="1" cm="1">
        <f t="array" ref="A116">INDEX(Data!$A:$A,717-(ROW()-5))</f>
        <v>45242</v>
      </c>
      <c r="B116" s="11" cm="1">
        <f t="array" ref="B116">(1+B115)*(1+INDEX(Data!$F:$F,717-(ROW()-5)))-1</f>
        <v>-2.0072538800159467E-2</v>
      </c>
      <c r="C116" s="11" cm="1">
        <f t="array" ref="C116">(1+C115)*(1+INDEX(Data!$G:$G,717-(ROW()-5)))-1</f>
        <v>6.9059107358262928E-2</v>
      </c>
      <c r="D116" s="11" cm="1">
        <f t="array" ref="D116">(1+D115)*(1+INDEX(Data!$H:$H,717-(ROW()-5)))-1</f>
        <v>-5.7031576018918395E-2</v>
      </c>
      <c r="E116" s="11" cm="1">
        <f t="array" ref="E116">(1+E115)*(1+INDEX(Data!$I:$I,717-(ROW()-5)))-1</f>
        <v>-8.5506626763587334E-4</v>
      </c>
    </row>
    <row r="117" spans="1:5" x14ac:dyDescent="0.2">
      <c r="A117" s="1" cm="1">
        <f t="array" ref="A117">INDEX(Data!$A:$A,717-(ROW()-5))</f>
        <v>45243</v>
      </c>
      <c r="B117" s="11" cm="1">
        <f t="array" ref="B117">(1+B116)*(1+INDEX(Data!$F:$F,717-(ROW()-5)))-1</f>
        <v>-2.5666240534959028E-2</v>
      </c>
      <c r="C117" s="11" cm="1">
        <f t="array" ref="C117">(1+C116)*(1+INDEX(Data!$G:$G,717-(ROW()-5)))-1</f>
        <v>6.1218335343787622E-2</v>
      </c>
      <c r="D117" s="11" cm="1">
        <f t="array" ref="D117">(1+D116)*(1+INDEX(Data!$H:$H,717-(ROW()-5)))-1</f>
        <v>-7.831409097231945E-2</v>
      </c>
      <c r="E117" s="11" cm="1">
        <f t="array" ref="E117">(1+E116)*(1+INDEX(Data!$I:$I,717-(ROW()-5)))-1</f>
        <v>-8.5506626763587334E-4</v>
      </c>
    </row>
    <row r="118" spans="1:5" x14ac:dyDescent="0.2">
      <c r="A118" s="1" cm="1">
        <f t="array" ref="A118">INDEX(Data!$A:$A,717-(ROW()-5))</f>
        <v>45244</v>
      </c>
      <c r="B118" s="11" cm="1">
        <f t="array" ref="B118">(1+B117)*(1+INDEX(Data!$F:$F,717-(ROW()-5)))-1</f>
        <v>-5.5416403949717363E-3</v>
      </c>
      <c r="C118" s="11" cm="1">
        <f t="array" ref="C118">(1+C117)*(1+INDEX(Data!$G:$G,717-(ROW()-5)))-1</f>
        <v>0.12846803377563321</v>
      </c>
      <c r="D118" s="11" cm="1">
        <f t="array" ref="D118">(1+D117)*(1+INDEX(Data!$H:$H,717-(ROW()-5)))-1</f>
        <v>-7.831409097231945E-2</v>
      </c>
      <c r="E118" s="11" cm="1">
        <f t="array" ref="E118">(1+E117)*(1+INDEX(Data!$I:$I,717-(ROW()-5)))-1</f>
        <v>5.9854638734500032E-3</v>
      </c>
    </row>
    <row r="119" spans="1:5" x14ac:dyDescent="0.2">
      <c r="A119" s="1" cm="1">
        <f t="array" ref="A119">INDEX(Data!$A:$A,717-(ROW()-5))</f>
        <v>45245</v>
      </c>
      <c r="B119" s="11" cm="1">
        <f t="array" ref="B119">(1+B118)*(1+INDEX(Data!$F:$F,717-(ROW()-5)))-1</f>
        <v>-2.8228815373133598E-3</v>
      </c>
      <c r="C119" s="11" cm="1">
        <f t="array" ref="C119">(1+C118)*(1+INDEX(Data!$G:$G,717-(ROW()-5)))-1</f>
        <v>0.11278648974668259</v>
      </c>
      <c r="D119" s="11" cm="1">
        <f t="array" ref="D119">(1+D118)*(1+INDEX(Data!$H:$H,717-(ROW()-5)))-1</f>
        <v>-0.10029211295034146</v>
      </c>
      <c r="E119" s="11" cm="1">
        <f t="array" ref="E119">(1+E118)*(1+INDEX(Data!$I:$I,717-(ROW()-5)))-1</f>
        <v>-2.9927319367251126E-2</v>
      </c>
    </row>
    <row r="120" spans="1:5" x14ac:dyDescent="0.2">
      <c r="A120" s="1" cm="1">
        <f t="array" ref="A120">INDEX(Data!$A:$A,717-(ROW()-5))</f>
        <v>45246</v>
      </c>
      <c r="B120" s="11" cm="1">
        <f t="array" ref="B120">(1+B119)*(1+INDEX(Data!$F:$F,717-(ROW()-5)))-1</f>
        <v>8.43393705205564E-3</v>
      </c>
      <c r="C120" s="11" cm="1">
        <f t="array" ref="C120">(1+C119)*(1+INDEX(Data!$G:$G,717-(ROW()-5)))-1</f>
        <v>0.10404101326899862</v>
      </c>
      <c r="D120" s="11" cm="1">
        <f t="array" ref="D120">(1+D119)*(1+INDEX(Data!$H:$H,717-(ROW()-5)))-1</f>
        <v>-9.3476144109056136E-2</v>
      </c>
      <c r="E120" s="11" cm="1">
        <f t="array" ref="E120">(1+E119)*(1+INDEX(Data!$I:$I,717-(ROW()-5)))-1</f>
        <v>-2.9927319367251126E-2</v>
      </c>
    </row>
    <row r="121" spans="1:5" x14ac:dyDescent="0.2">
      <c r="A121" s="1" cm="1">
        <f t="array" ref="A121">INDEX(Data!$A:$A,717-(ROW()-5))</f>
        <v>45249</v>
      </c>
      <c r="B121" s="11" cm="1">
        <f t="array" ref="B121">(1+B120)*(1+INDEX(Data!$F:$F,717-(ROW()-5)))-1</f>
        <v>3.8351853672928815E-3</v>
      </c>
      <c r="C121" s="11" cm="1">
        <f t="array" ref="C121">(1+C120)*(1+INDEX(Data!$G:$G,717-(ROW()-5)))-1</f>
        <v>0.10102533172496964</v>
      </c>
      <c r="D121" s="11" cm="1">
        <f t="array" ref="D121">(1+D120)*(1+INDEX(Data!$H:$H,717-(ROW()-5)))-1</f>
        <v>-9.625817220753996E-2</v>
      </c>
      <c r="E121" s="11" cm="1">
        <f t="array" ref="E121">(1+E120)*(1+INDEX(Data!$I:$I,717-(ROW()-5)))-1</f>
        <v>-2.9927319367251126E-2</v>
      </c>
    </row>
    <row r="122" spans="1:5" x14ac:dyDescent="0.2">
      <c r="A122" s="1" cm="1">
        <f t="array" ref="A122">INDEX(Data!$A:$A,717-(ROW()-5))</f>
        <v>45250</v>
      </c>
      <c r="B122" s="11" cm="1">
        <f t="array" ref="B122">(1+B121)*(1+INDEX(Data!$F:$F,717-(ROW()-5)))-1</f>
        <v>1.5832431900875354E-2</v>
      </c>
      <c r="C122" s="11" cm="1">
        <f t="array" ref="C122">(1+C121)*(1+INDEX(Data!$G:$G,717-(ROW()-5)))-1</f>
        <v>0.11610373944511432</v>
      </c>
      <c r="D122" s="11" cm="1">
        <f t="array" ref="D122">(1+D121)*(1+INDEX(Data!$H:$H,717-(ROW()-5)))-1</f>
        <v>-9.6536375017388321E-2</v>
      </c>
      <c r="E122" s="11" cm="1">
        <f t="array" ref="E122">(1+E121)*(1+INDEX(Data!$I:$I,717-(ROW()-5)))-1</f>
        <v>-2.9499786233433301E-2</v>
      </c>
    </row>
    <row r="123" spans="1:5" x14ac:dyDescent="0.2">
      <c r="A123" s="1" cm="1">
        <f t="array" ref="A123">INDEX(Data!$A:$A,717-(ROW()-5))</f>
        <v>45251</v>
      </c>
      <c r="B123" s="11" cm="1">
        <f t="array" ref="B123">(1+B122)*(1+INDEX(Data!$F:$F,717-(ROW()-5)))-1</f>
        <v>2.2311176412742606E-2</v>
      </c>
      <c r="C123" s="11" cm="1">
        <f t="array" ref="C123">(1+C122)*(1+INDEX(Data!$G:$G,717-(ROW()-5)))-1</f>
        <v>0.12907117008443891</v>
      </c>
      <c r="D123" s="11" cm="1">
        <f t="array" ref="D123">(1+D122)*(1+INDEX(Data!$H:$H,717-(ROW()-5)))-1</f>
        <v>-8.8746696341633791E-2</v>
      </c>
      <c r="E123" s="11" cm="1">
        <f t="array" ref="E123">(1+E122)*(1+INDEX(Data!$I:$I,717-(ROW()-5)))-1</f>
        <v>-2.9499786233433301E-2</v>
      </c>
    </row>
    <row r="124" spans="1:5" x14ac:dyDescent="0.2">
      <c r="A124" s="1" cm="1">
        <f t="array" ref="A124">INDEX(Data!$A:$A,717-(ROW()-5))</f>
        <v>45252</v>
      </c>
      <c r="B124" s="11" cm="1">
        <f t="array" ref="B124">(1+B123)*(1+INDEX(Data!$F:$F,717-(ROW()-5)))-1</f>
        <v>4.5669364215349395E-2</v>
      </c>
      <c r="C124" s="11" cm="1">
        <f t="array" ref="C124">(1+C123)*(1+INDEX(Data!$G:$G,717-(ROW()-5)))-1</f>
        <v>0.13540410132689984</v>
      </c>
      <c r="D124" s="11" cm="1">
        <f t="array" ref="D124">(1+D123)*(1+INDEX(Data!$H:$H,717-(ROW()-5)))-1</f>
        <v>-7.8592293782167921E-2</v>
      </c>
      <c r="E124" s="11" cm="1">
        <f t="array" ref="E124">(1+E123)*(1+INDEX(Data!$I:$I,717-(ROW()-5)))-1</f>
        <v>4.7028644719964152E-3</v>
      </c>
    </row>
    <row r="125" spans="1:5" x14ac:dyDescent="0.2">
      <c r="A125" s="1" cm="1">
        <f t="array" ref="A125">INDEX(Data!$A:$A,717-(ROW()-5))</f>
        <v>45253</v>
      </c>
      <c r="B125" s="11" cm="1">
        <f t="array" ref="B125">(1+B124)*(1+INDEX(Data!$F:$F,717-(ROW()-5)))-1</f>
        <v>4.7855940488104487E-2</v>
      </c>
      <c r="C125" s="11" cm="1">
        <f t="array" ref="C125">(1+C124)*(1+INDEX(Data!$G:$G,717-(ROW()-5)))-1</f>
        <v>0.14022919179734616</v>
      </c>
      <c r="D125" s="11" cm="1">
        <f t="array" ref="D125">(1+D124)*(1+INDEX(Data!$H:$H,717-(ROW()-5)))-1</f>
        <v>-6.5516761719294103E-2</v>
      </c>
      <c r="E125" s="11" cm="1">
        <f t="array" ref="E125">(1+E124)*(1+INDEX(Data!$I:$I,717-(ROW()-5)))-1</f>
        <v>-3.4202650705429827E-2</v>
      </c>
    </row>
    <row r="126" spans="1:5" x14ac:dyDescent="0.2">
      <c r="A126" s="1" cm="1">
        <f t="array" ref="A126">INDEX(Data!$A:$A,717-(ROW()-5))</f>
        <v>45256</v>
      </c>
      <c r="B126" s="11" cm="1">
        <f t="array" ref="B126">(1+B125)*(1+INDEX(Data!$F:$F,717-(ROW()-5)))-1</f>
        <v>5.1297773510033728E-2</v>
      </c>
      <c r="C126" s="11" cm="1">
        <f t="array" ref="C126">(1+C125)*(1+INDEX(Data!$G:$G,717-(ROW()-5)))-1</f>
        <v>0.16917973462002411</v>
      </c>
      <c r="D126" s="11" cm="1">
        <f t="array" ref="D126">(1+D125)*(1+INDEX(Data!$H:$H,717-(ROW()-5)))-1</f>
        <v>-5.6196967589373426E-2</v>
      </c>
      <c r="E126" s="11" cm="1">
        <f t="array" ref="E126">(1+E125)*(1+INDEX(Data!$I:$I,717-(ROW()-5)))-1</f>
        <v>-3.0354852501068952E-2</v>
      </c>
    </row>
    <row r="127" spans="1:5" x14ac:dyDescent="0.2">
      <c r="A127" s="1" cm="1">
        <f t="array" ref="A127">INDEX(Data!$A:$A,717-(ROW()-5))</f>
        <v>45257</v>
      </c>
      <c r="B127" s="11" cm="1">
        <f t="array" ref="B127">(1+B126)*(1+INDEX(Data!$F:$F,717-(ROW()-5)))-1</f>
        <v>4.1354057602980498E-2</v>
      </c>
      <c r="C127" s="11" cm="1">
        <f t="array" ref="C127">(1+C126)*(1+INDEX(Data!$G:$G,717-(ROW()-5)))-1</f>
        <v>0.14505428226779249</v>
      </c>
      <c r="D127" s="11" cm="1">
        <f t="array" ref="D127">(1+D126)*(1+INDEX(Data!$H:$H,717-(ROW()-5)))-1</f>
        <v>-7.2471831965503553E-2</v>
      </c>
      <c r="E127" s="11" cm="1">
        <f t="array" ref="E127">(1+E126)*(1+INDEX(Data!$I:$I,717-(ROW()-5)))-1</f>
        <v>-3.0354852501068952E-2</v>
      </c>
    </row>
    <row r="128" spans="1:5" x14ac:dyDescent="0.2">
      <c r="A128" s="1" cm="1">
        <f t="array" ref="A128">INDEX(Data!$A:$A,717-(ROW()-5))</f>
        <v>45258</v>
      </c>
      <c r="B128" s="11" cm="1">
        <f t="array" ref="B128">(1+B127)*(1+INDEX(Data!$F:$F,717-(ROW()-5)))-1</f>
        <v>4.6282531106650815E-2</v>
      </c>
      <c r="C128" s="11" cm="1">
        <f t="array" ref="C128">(1+C127)*(1+INDEX(Data!$G:$G,717-(ROW()-5)))-1</f>
        <v>0.15802171290711686</v>
      </c>
      <c r="D128" s="11" cm="1">
        <f t="array" ref="D128">(1+D127)*(1+INDEX(Data!$H:$H,717-(ROW()-5)))-1</f>
        <v>-0.10724718319655102</v>
      </c>
      <c r="E128" s="11" cm="1">
        <f t="array" ref="E128">(1+E127)*(1+INDEX(Data!$I:$I,717-(ROW()-5)))-1</f>
        <v>-2.949978623343319E-2</v>
      </c>
    </row>
    <row r="129" spans="1:5" x14ac:dyDescent="0.2">
      <c r="A129" s="1" cm="1">
        <f t="array" ref="A129">INDEX(Data!$A:$A,717-(ROW()-5))</f>
        <v>45259</v>
      </c>
      <c r="B129" s="11" cm="1">
        <f t="array" ref="B129">(1+B128)*(1+INDEX(Data!$F:$F,717-(ROW()-5)))-1</f>
        <v>5.5705633615428907E-2</v>
      </c>
      <c r="C129" s="11" cm="1">
        <f t="array" ref="C129">(1+C128)*(1+INDEX(Data!$G:$G,717-(ROW()-5)))-1</f>
        <v>0.17581423401688778</v>
      </c>
      <c r="D129" s="11" cm="1">
        <f t="array" ref="D129">(1+D128)*(1+INDEX(Data!$H:$H,717-(ROW()-5)))-1</f>
        <v>-7.052441229656492E-2</v>
      </c>
      <c r="E129" s="11" cm="1">
        <f t="array" ref="E129">(1+E128)*(1+INDEX(Data!$I:$I,717-(ROW()-5)))-1</f>
        <v>-2.949978623343319E-2</v>
      </c>
    </row>
    <row r="130" spans="1:5" x14ac:dyDescent="0.2">
      <c r="A130" s="1" cm="1">
        <f t="array" ref="A130">INDEX(Data!$A:$A,717-(ROW()-5))</f>
        <v>45260</v>
      </c>
      <c r="B130" s="11" cm="1">
        <f t="array" ref="B130">(1+B129)*(1+INDEX(Data!$F:$F,717-(ROW()-5)))-1</f>
        <v>3.6969335870841835E-2</v>
      </c>
      <c r="C130" s="11" cm="1">
        <f t="array" ref="C130">(1+C129)*(1+INDEX(Data!$G:$G,717-(ROW()-5)))-1</f>
        <v>0.15500603136308788</v>
      </c>
      <c r="D130" s="11" cm="1">
        <f t="array" ref="D130">(1+D129)*(1+INDEX(Data!$H:$H,717-(ROW()-5)))-1</f>
        <v>-9.5840867992767476E-2</v>
      </c>
      <c r="E130" s="11" cm="1">
        <f t="array" ref="E130">(1+E129)*(1+INDEX(Data!$I:$I,717-(ROW()-5)))-1</f>
        <v>-8.1231295425395533E-2</v>
      </c>
    </row>
    <row r="131" spans="1:5" x14ac:dyDescent="0.2">
      <c r="A131" s="1" cm="1">
        <f t="array" ref="A131">INDEX(Data!$A:$A,717-(ROW()-5))</f>
        <v>45263</v>
      </c>
      <c r="B131" s="11" cm="1">
        <f t="array" ref="B131">(1+B130)*(1+INDEX(Data!$F:$F,717-(ROW()-5)))-1</f>
        <v>4.6068501154026498E-2</v>
      </c>
      <c r="C131" s="11" cm="1">
        <f t="array" ref="C131">(1+C130)*(1+INDEX(Data!$G:$G,717-(ROW()-5)))-1</f>
        <v>0.14656212303980687</v>
      </c>
      <c r="D131" s="11" cm="1">
        <f t="array" ref="D131">(1+D130)*(1+INDEX(Data!$H:$H,717-(ROW()-5)))-1</f>
        <v>-9.0555014605648299E-2</v>
      </c>
      <c r="E131" s="11" cm="1">
        <f t="array" ref="E131">(1+E130)*(1+INDEX(Data!$I:$I,717-(ROW()-5)))-1</f>
        <v>-8.1231295425395533E-2</v>
      </c>
    </row>
    <row r="132" spans="1:5" x14ac:dyDescent="0.2">
      <c r="A132" s="1" cm="1">
        <f t="array" ref="A132">INDEX(Data!$A:$A,717-(ROW()-5))</f>
        <v>45264</v>
      </c>
      <c r="B132" s="11" cm="1">
        <f t="array" ref="B132">(1+B131)*(1+INDEX(Data!$F:$F,717-(ROW()-5)))-1</f>
        <v>4.7543572449139315E-2</v>
      </c>
      <c r="C132" s="11" cm="1">
        <f t="array" ref="C132">(1+C131)*(1+INDEX(Data!$G:$G,717-(ROW()-5)))-1</f>
        <v>0.14053075995174891</v>
      </c>
      <c r="D132" s="11" cm="1">
        <f t="array" ref="D132">(1+D131)*(1+INDEX(Data!$H:$H,717-(ROW()-5)))-1</f>
        <v>-7.2193629155655192E-2</v>
      </c>
      <c r="E132" s="11" cm="1">
        <f t="array" ref="E132">(1+E131)*(1+INDEX(Data!$I:$I,717-(ROW()-5)))-1</f>
        <v>-5.9427105600684094E-2</v>
      </c>
    </row>
    <row r="133" spans="1:5" x14ac:dyDescent="0.2">
      <c r="A133" s="1" cm="1">
        <f t="array" ref="A133">INDEX(Data!$A:$A,717-(ROW()-5))</f>
        <v>45265</v>
      </c>
      <c r="B133" s="11" cm="1">
        <f t="array" ref="B133">(1+B132)*(1+INDEX(Data!$F:$F,717-(ROW()-5)))-1</f>
        <v>6.0258108553678635E-2</v>
      </c>
      <c r="C133" s="11" cm="1">
        <f t="array" ref="C133">(1+C132)*(1+INDEX(Data!$G:$G,717-(ROW()-5)))-1</f>
        <v>0.18214716525934849</v>
      </c>
      <c r="D133" s="11" cm="1">
        <f t="array" ref="D133">(1+D132)*(1+INDEX(Data!$H:$H,717-(ROW()-5)))-1</f>
        <v>-6.273473362081039E-2</v>
      </c>
      <c r="E133" s="11" cm="1">
        <f t="array" ref="E133">(1+E132)*(1+INDEX(Data!$I:$I,717-(ROW()-5)))-1</f>
        <v>-8.0803762291577597E-2</v>
      </c>
    </row>
    <row r="134" spans="1:5" x14ac:dyDescent="0.2">
      <c r="A134" s="1" cm="1">
        <f t="array" ref="A134">INDEX(Data!$A:$A,717-(ROW()-5))</f>
        <v>45266</v>
      </c>
      <c r="B134" s="11" cm="1">
        <f t="array" ref="B134">(1+B133)*(1+INDEX(Data!$F:$F,717-(ROW()-5)))-1</f>
        <v>6.1600134202565382E-2</v>
      </c>
      <c r="C134" s="11" cm="1">
        <f t="array" ref="C134">(1+C133)*(1+INDEX(Data!$G:$G,717-(ROW()-5)))-1</f>
        <v>0.22738238841978275</v>
      </c>
      <c r="D134" s="11" cm="1">
        <f t="array" ref="D134">(1+D133)*(1+INDEX(Data!$H:$H,717-(ROW()-5)))-1</f>
        <v>-5.2580331061344521E-2</v>
      </c>
      <c r="E134" s="11" cm="1">
        <f t="array" ref="E134">(1+E133)*(1+INDEX(Data!$I:$I,717-(ROW()-5)))-1</f>
        <v>-9.1492090637024348E-2</v>
      </c>
    </row>
    <row r="135" spans="1:5" x14ac:dyDescent="0.2">
      <c r="A135" s="1" cm="1">
        <f t="array" ref="A135">INDEX(Data!$A:$A,717-(ROW()-5))</f>
        <v>45267</v>
      </c>
      <c r="B135" s="11" cm="1">
        <f t="array" ref="B135">(1+B134)*(1+INDEX(Data!$F:$F,717-(ROW()-5)))-1</f>
        <v>5.960444950917787E-2</v>
      </c>
      <c r="C135" s="11" cm="1">
        <f t="array" ref="C135">(1+C134)*(1+INDEX(Data!$G:$G,717-(ROW()-5)))-1</f>
        <v>0.20627261761158011</v>
      </c>
      <c r="D135" s="11" cm="1">
        <f t="array" ref="D135">(1+D134)*(1+INDEX(Data!$H:$H,717-(ROW()-5)))-1</f>
        <v>-3.3106134371957974E-2</v>
      </c>
      <c r="E135" s="11" cm="1">
        <f t="array" ref="E135">(1+E134)*(1+INDEX(Data!$I:$I,717-(ROW()-5)))-1</f>
        <v>-9.1492090637024348E-2</v>
      </c>
    </row>
    <row r="136" spans="1:5" x14ac:dyDescent="0.2">
      <c r="A136" s="1" cm="1">
        <f t="array" ref="A136">INDEX(Data!$A:$A,717-(ROW()-5))</f>
        <v>45270</v>
      </c>
      <c r="B136" s="11" cm="1">
        <f t="array" ref="B136">(1+B135)*(1+INDEX(Data!$F:$F,717-(ROW()-5)))-1</f>
        <v>5.9280512283584663E-2</v>
      </c>
      <c r="C136" s="11" cm="1">
        <f t="array" ref="C136">(1+C135)*(1+INDEX(Data!$G:$G,717-(ROW()-5)))-1</f>
        <v>0.19270205066344981</v>
      </c>
      <c r="D136" s="11" cm="1">
        <f t="array" ref="D136">(1+D135)*(1+INDEX(Data!$H:$H,717-(ROW()-5)))-1</f>
        <v>-1.0989010989011838E-2</v>
      </c>
      <c r="E136" s="11" cm="1">
        <f t="array" ref="E136">(1+E135)*(1+INDEX(Data!$I:$I,717-(ROW()-5)))-1</f>
        <v>-9.0637024369388586E-2</v>
      </c>
    </row>
    <row r="137" spans="1:5" x14ac:dyDescent="0.2">
      <c r="A137" s="1" cm="1">
        <f t="array" ref="A137">INDEX(Data!$A:$A,717-(ROW()-5))</f>
        <v>45271</v>
      </c>
      <c r="B137" s="11" cm="1">
        <f t="array" ref="B137">(1+B136)*(1+INDEX(Data!$F:$F,717-(ROW()-5)))-1</f>
        <v>4.803526288084381E-2</v>
      </c>
      <c r="C137" s="11" cm="1">
        <f t="array" ref="C137">(1+C136)*(1+INDEX(Data!$G:$G,717-(ROW()-5)))-1</f>
        <v>0.17702050663449942</v>
      </c>
      <c r="D137" s="11" cm="1">
        <f t="array" ref="D137">(1+D136)*(1+INDEX(Data!$H:$H,717-(ROW()-5)))-1</f>
        <v>-2.1560717763250303E-2</v>
      </c>
      <c r="E137" s="11" cm="1">
        <f t="array" ref="E137">(1+E136)*(1+INDEX(Data!$I:$I,717-(ROW()-5)))-1</f>
        <v>-8.2941427960666947E-2</v>
      </c>
    </row>
    <row r="138" spans="1:5" x14ac:dyDescent="0.2">
      <c r="A138" s="1" cm="1">
        <f t="array" ref="A138">INDEX(Data!$A:$A,717-(ROW()-5))</f>
        <v>45272</v>
      </c>
      <c r="B138" s="11" cm="1">
        <f t="array" ref="B138">(1+B137)*(1+INDEX(Data!$F:$F,717-(ROW()-5)))-1</f>
        <v>4.1978793680910842E-2</v>
      </c>
      <c r="C138" s="11" cm="1">
        <f t="array" ref="C138">(1+C137)*(1+INDEX(Data!$G:$G,717-(ROW()-5)))-1</f>
        <v>0.19149577804583839</v>
      </c>
      <c r="D138" s="11" cm="1">
        <f t="array" ref="D138">(1+D137)*(1+INDEX(Data!$H:$H,717-(ROW()-5)))-1</f>
        <v>-1.8361385449993883E-2</v>
      </c>
      <c r="E138" s="11" cm="1">
        <f t="array" ref="E138">(1+E137)*(1+INDEX(Data!$I:$I,717-(ROW()-5)))-1</f>
        <v>-8.1658828559213359E-2</v>
      </c>
    </row>
    <row r="139" spans="1:5" x14ac:dyDescent="0.2">
      <c r="A139" s="1" cm="1">
        <f t="array" ref="A139">INDEX(Data!$A:$A,717-(ROW()-5))</f>
        <v>45273</v>
      </c>
      <c r="B139" s="11" cm="1">
        <f t="array" ref="B139">(1+B138)*(1+INDEX(Data!$F:$F,717-(ROW()-5)))-1</f>
        <v>4.2516760859128588E-2</v>
      </c>
      <c r="C139" s="11" cm="1">
        <f t="array" ref="C139">(1+C138)*(1+INDEX(Data!$G:$G,717-(ROW()-5)))-1</f>
        <v>0.1857659831121834</v>
      </c>
      <c r="D139" s="11" cm="1">
        <f t="array" ref="D139">(1+D138)*(1+INDEX(Data!$H:$H,717-(ROW()-5)))-1</f>
        <v>-1.265822784810211E-2</v>
      </c>
      <c r="E139" s="11" cm="1">
        <f t="array" ref="E139">(1+E138)*(1+INDEX(Data!$I:$I,717-(ROW()-5)))-1</f>
        <v>-0.1303976058144507</v>
      </c>
    </row>
    <row r="140" spans="1:5" x14ac:dyDescent="0.2">
      <c r="A140" s="1" cm="1">
        <f t="array" ref="A140">INDEX(Data!$A:$A,717-(ROW()-5))</f>
        <v>45274</v>
      </c>
      <c r="B140" s="11" cm="1">
        <f t="array" ref="B140">(1+B139)*(1+INDEX(Data!$F:$F,717-(ROW()-5)))-1</f>
        <v>6.7957402254835486E-2</v>
      </c>
      <c r="C140" s="11" cm="1">
        <f t="array" ref="C140">(1+C139)*(1+INDEX(Data!$G:$G,717-(ROW()-5)))-1</f>
        <v>0.24065138721351031</v>
      </c>
      <c r="D140" s="11" cm="1">
        <f t="array" ref="D140">(1+D139)*(1+INDEX(Data!$H:$H,717-(ROW()-5)))-1</f>
        <v>-1.6692168590911605E-3</v>
      </c>
      <c r="E140" s="11" cm="1">
        <f t="array" ref="E140">(1+E139)*(1+INDEX(Data!$I:$I,717-(ROW()-5)))-1</f>
        <v>-0.13253527148354005</v>
      </c>
    </row>
    <row r="141" spans="1:5" x14ac:dyDescent="0.2">
      <c r="A141" s="1" cm="1">
        <f t="array" ref="A141">INDEX(Data!$A:$A,717-(ROW()-5))</f>
        <v>45277</v>
      </c>
      <c r="B141" s="11" cm="1">
        <f t="array" ref="B141">(1+B140)*(1+INDEX(Data!$F:$F,717-(ROW()-5)))-1</f>
        <v>6.6580669046063745E-2</v>
      </c>
      <c r="C141" s="11" cm="1">
        <f t="array" ref="C141">(1+C140)*(1+INDEX(Data!$G:$G,717-(ROW()-5)))-1</f>
        <v>0.21924004825090471</v>
      </c>
      <c r="D141" s="11" cm="1">
        <f t="array" ref="D141">(1+D140)*(1+INDEX(Data!$H:$H,717-(ROW()-5)))-1</f>
        <v>-7.9287800806796538E-3</v>
      </c>
      <c r="E141" s="11" cm="1">
        <f t="array" ref="E141">(1+E140)*(1+INDEX(Data!$I:$I,717-(ROW()-5)))-1</f>
        <v>-0.10645575032064991</v>
      </c>
    </row>
    <row r="142" spans="1:5" x14ac:dyDescent="0.2">
      <c r="A142" s="1" cm="1">
        <f t="array" ref="A142">INDEX(Data!$A:$A,717-(ROW()-5))</f>
        <v>45278</v>
      </c>
      <c r="B142" s="11" cm="1">
        <f t="array" ref="B142">(1+B141)*(1+INDEX(Data!$F:$F,717-(ROW()-5)))-1</f>
        <v>7.2342123986974149E-2</v>
      </c>
      <c r="C142" s="11" cm="1">
        <f t="array" ref="C142">(1+C141)*(1+INDEX(Data!$G:$G,717-(ROW()-5)))-1</f>
        <v>0.22738238841978298</v>
      </c>
      <c r="D142" s="11" cm="1">
        <f t="array" ref="D142">(1+D141)*(1+INDEX(Data!$H:$H,717-(ROW()-5)))-1</f>
        <v>-1.1267213798860198E-2</v>
      </c>
      <c r="E142" s="11" cm="1">
        <f t="array" ref="E142">(1+E141)*(1+INDEX(Data!$I:$I,717-(ROW()-5)))-1</f>
        <v>-0.11372381359555372</v>
      </c>
    </row>
    <row r="143" spans="1:5" x14ac:dyDescent="0.2">
      <c r="A143" s="1" cm="1">
        <f t="array" ref="A143">INDEX(Data!$A:$A,717-(ROW()-5))</f>
        <v>45279</v>
      </c>
      <c r="B143" s="11" cm="1">
        <f t="array" ref="B143">(1+B142)*(1+INDEX(Data!$F:$F,717-(ROW()-5)))-1</f>
        <v>8.1036367738167137E-2</v>
      </c>
      <c r="C143" s="11" cm="1">
        <f t="array" ref="C143">(1+C142)*(1+INDEX(Data!$G:$G,717-(ROW()-5)))-1</f>
        <v>0.23733413751507837</v>
      </c>
      <c r="D143" s="11" cm="1">
        <f t="array" ref="D143">(1+D142)*(1+INDEX(Data!$H:$H,717-(ROW()-5)))-1</f>
        <v>-1.8083182640145412E-2</v>
      </c>
      <c r="E143" s="11" cm="1">
        <f t="array" ref="E143">(1+E142)*(1+INDEX(Data!$I:$I,717-(ROW()-5)))-1</f>
        <v>-0.11030354852501079</v>
      </c>
    </row>
    <row r="144" spans="1:5" x14ac:dyDescent="0.2">
      <c r="A144" s="1" cm="1">
        <f t="array" ref="A144">INDEX(Data!$A:$A,717-(ROW()-5))</f>
        <v>45280</v>
      </c>
      <c r="B144" s="11" cm="1">
        <f t="array" ref="B144">(1+B143)*(1+INDEX(Data!$F:$F,717-(ROW()-5)))-1</f>
        <v>9.648701648030733E-2</v>
      </c>
      <c r="C144" s="11" cm="1">
        <f t="array" ref="C144">(1+C143)*(1+INDEX(Data!$G:$G,717-(ROW()-5)))-1</f>
        <v>0.26688781664656225</v>
      </c>
      <c r="D144" s="11" cm="1">
        <f t="array" ref="D144">(1+D143)*(1+INDEX(Data!$H:$H,717-(ROW()-5)))-1</f>
        <v>-2.2951731812491993E-2</v>
      </c>
      <c r="E144" s="11" cm="1">
        <f t="array" ref="E144">(1+E143)*(1+INDEX(Data!$I:$I,717-(ROW()-5)))-1</f>
        <v>-0.11030354852501079</v>
      </c>
    </row>
    <row r="145" spans="1:5" x14ac:dyDescent="0.2">
      <c r="A145" s="1" cm="1">
        <f t="array" ref="A145">INDEX(Data!$A:$A,717-(ROW()-5))</f>
        <v>45281</v>
      </c>
      <c r="B145" s="11" cm="1">
        <f t="array" ref="B145">(1+B144)*(1+INDEX(Data!$F:$F,717-(ROW()-5)))-1</f>
        <v>8.7711788422715875E-2</v>
      </c>
      <c r="C145" s="11" cm="1">
        <f t="array" ref="C145">(1+C144)*(1+INDEX(Data!$G:$G,717-(ROW()-5)))-1</f>
        <v>0.25271411338962624</v>
      </c>
      <c r="D145" s="11" cm="1">
        <f t="array" ref="D145">(1+D144)*(1+INDEX(Data!$H:$H,717-(ROW()-5)))-1</f>
        <v>-3.3523438586730459E-2</v>
      </c>
      <c r="E145" s="11" cm="1">
        <f t="array" ref="E145">(1+E144)*(1+INDEX(Data!$I:$I,717-(ROW()-5)))-1</f>
        <v>-0.11030354852501079</v>
      </c>
    </row>
    <row r="146" spans="1:5" x14ac:dyDescent="0.2">
      <c r="A146" s="1" cm="1">
        <f t="array" ref="A146">INDEX(Data!$A:$A,717-(ROW()-5))</f>
        <v>45284</v>
      </c>
      <c r="B146" s="11" cm="1">
        <f t="array" ref="B146">(1+B145)*(1+INDEX(Data!$F:$F,717-(ROW()-5)))-1</f>
        <v>8.3361774250462206E-2</v>
      </c>
      <c r="C146" s="11" cm="1">
        <f t="array" ref="C146">(1+C145)*(1+INDEX(Data!$G:$G,717-(ROW()-5)))-1</f>
        <v>0.22135102533172524</v>
      </c>
      <c r="D146" s="11" cm="1">
        <f t="array" ref="D146">(1+D145)*(1+INDEX(Data!$H:$H,717-(ROW()-5)))-1</f>
        <v>-2.9072193629156362E-2</v>
      </c>
      <c r="E146" s="11" cm="1">
        <f t="array" ref="E146">(1+E145)*(1+INDEX(Data!$I:$I,717-(ROW()-5)))-1</f>
        <v>-0.10645575032065002</v>
      </c>
    </row>
    <row r="147" spans="1:5" x14ac:dyDescent="0.2">
      <c r="A147" s="1" cm="1">
        <f t="array" ref="A147">INDEX(Data!$A:$A,717-(ROW()-5))</f>
        <v>45285</v>
      </c>
      <c r="B147" s="11" cm="1">
        <f t="array" ref="B147">(1+B146)*(1+INDEX(Data!$F:$F,717-(ROW()-5)))-1</f>
        <v>9.4497116380233726E-2</v>
      </c>
      <c r="C147" s="11" cm="1">
        <f t="array" ref="C147">(1+C146)*(1+INDEX(Data!$G:$G,717-(ROW()-5)))-1</f>
        <v>0.21833534378769626</v>
      </c>
      <c r="D147" s="11" cm="1">
        <f t="array" ref="D147">(1+D146)*(1+INDEX(Data!$H:$H,717-(ROW()-5)))-1</f>
        <v>-2.8793990819308002E-2</v>
      </c>
      <c r="E147" s="11" cm="1">
        <f t="array" ref="E147">(1+E146)*(1+INDEX(Data!$I:$I,717-(ROW()-5)))-1</f>
        <v>-0.10602821718683209</v>
      </c>
    </row>
    <row r="148" spans="1:5" x14ac:dyDescent="0.2">
      <c r="A148" s="1" cm="1">
        <f t="array" ref="A148">INDEX(Data!$A:$A,717-(ROW()-5))</f>
        <v>45286</v>
      </c>
      <c r="B148" s="11" cm="1">
        <f t="array" ref="B148">(1+B147)*(1+INDEX(Data!$F:$F,717-(ROW()-5)))-1</f>
        <v>7.9295205150602843E-2</v>
      </c>
      <c r="C148" s="11" cm="1">
        <f t="array" ref="C148">(1+C147)*(1+INDEX(Data!$G:$G,717-(ROW()-5)))-1</f>
        <v>0.19420989143546463</v>
      </c>
      <c r="D148" s="11" cm="1">
        <f t="array" ref="D148">(1+D147)*(1+INDEX(Data!$H:$H,717-(ROW()-5)))-1</f>
        <v>-5.4110446515510446E-2</v>
      </c>
      <c r="E148" s="11" cm="1">
        <f t="array" ref="E148">(1+E147)*(1+INDEX(Data!$I:$I,717-(ROW()-5)))-1</f>
        <v>-7.4818298418127482E-2</v>
      </c>
    </row>
    <row r="149" spans="1:5" x14ac:dyDescent="0.2">
      <c r="A149" s="1" cm="1">
        <f t="array" ref="A149">INDEX(Data!$A:$A,717-(ROW()-5))</f>
        <v>45287</v>
      </c>
      <c r="B149" s="11" cm="1">
        <f t="array" ref="B149">(1+B148)*(1+INDEX(Data!$F:$F,717-(ROW()-5)))-1</f>
        <v>8.9354612923939314E-2</v>
      </c>
      <c r="C149" s="11" cm="1">
        <f t="array" ref="C149">(1+C148)*(1+INDEX(Data!$G:$G,717-(ROW()-5)))-1</f>
        <v>0.20627261761158056</v>
      </c>
      <c r="D149" s="11" cm="1">
        <f t="array" ref="D149">(1+D148)*(1+INDEX(Data!$H:$H,717-(ROW()-5)))-1</f>
        <v>-5.4110446515510446E-2</v>
      </c>
      <c r="E149" s="11" cm="1">
        <f t="array" ref="E149">(1+E148)*(1+INDEX(Data!$I:$I,717-(ROW()-5)))-1</f>
        <v>-7.8666096622488357E-2</v>
      </c>
    </row>
    <row r="150" spans="1:5" x14ac:dyDescent="0.2">
      <c r="A150" s="1" cm="1">
        <f t="array" ref="A150">INDEX(Data!$A:$A,717-(ROW()-5))</f>
        <v>45288</v>
      </c>
      <c r="B150" s="11" cm="1">
        <f t="array" ref="B150">(1+B149)*(1+INDEX(Data!$F:$F,717-(ROW()-5)))-1</f>
        <v>8.5050875498199119E-2</v>
      </c>
      <c r="C150" s="11" cm="1">
        <f t="array" ref="C150">(1+C149)*(1+INDEX(Data!$G:$G,717-(ROW()-5)))-1</f>
        <v>0.20325693606755157</v>
      </c>
      <c r="D150" s="11" cm="1">
        <f t="array" ref="D150">(1+D149)*(1+INDEX(Data!$H:$H,717-(ROW()-5)))-1</f>
        <v>-2.795938238976281E-2</v>
      </c>
      <c r="E150" s="11" cm="1">
        <f t="array" ref="E150">(1+E149)*(1+INDEX(Data!$I:$I,717-(ROW()-5)))-1</f>
        <v>-6.7977768277041606E-2</v>
      </c>
    </row>
    <row r="151" spans="1:5" x14ac:dyDescent="0.2">
      <c r="A151" s="1" cm="1">
        <f t="array" ref="A151">INDEX(Data!$A:$A,717-(ROW()-5))</f>
        <v>45291</v>
      </c>
      <c r="B151" s="11" cm="1">
        <f t="array" ref="B151">(1+B150)*(1+INDEX(Data!$F:$F,717-(ROW()-5)))-1</f>
        <v>9.1599035129836359E-2</v>
      </c>
      <c r="C151" s="11" cm="1">
        <f t="array" ref="C151">(1+C150)*(1+INDEX(Data!$G:$G,717-(ROW()-5)))-1</f>
        <v>0.20325693606755157</v>
      </c>
      <c r="D151" s="11" cm="1">
        <f t="array" ref="D151">(1+D150)*(1+INDEX(Data!$H:$H,717-(ROW()-5)))-1</f>
        <v>-2.6290165530672427E-2</v>
      </c>
      <c r="E151" s="11" cm="1">
        <f t="array" ref="E151">(1+E150)*(1+INDEX(Data!$I:$I,717-(ROW()-5)))-1</f>
        <v>-6.7977768277041606E-2</v>
      </c>
    </row>
    <row r="152" spans="1:5" x14ac:dyDescent="0.2">
      <c r="A152" s="1" cm="1">
        <f t="array" ref="A152">INDEX(Data!$A:$A,717-(ROW()-5))</f>
        <v>45292</v>
      </c>
      <c r="B152" s="11" cm="1">
        <f t="array" ref="B152">(1+B151)*(1+INDEX(Data!$F:$F,717-(ROW()-5)))-1</f>
        <v>0.11431513307457042</v>
      </c>
      <c r="C152" s="11" cm="1">
        <f t="array" ref="C152">(1+C151)*(1+INDEX(Data!$G:$G,717-(ROW()-5)))-1</f>
        <v>0.27442702050663481</v>
      </c>
      <c r="D152" s="11" cm="1">
        <f t="array" ref="D152">(1+D151)*(1+INDEX(Data!$H:$H,717-(ROW()-5)))-1</f>
        <v>-1.808318264015063E-3</v>
      </c>
      <c r="E152" s="11" cm="1">
        <f t="array" ref="E152">(1+E151)*(1+INDEX(Data!$I:$I,717-(ROW()-5)))-1</f>
        <v>-5.5151774262505504E-2</v>
      </c>
    </row>
    <row r="153" spans="1:5" x14ac:dyDescent="0.2">
      <c r="A153" s="1" cm="1">
        <f t="array" ref="A153">INDEX(Data!$A:$A,717-(ROW()-5))</f>
        <v>45293</v>
      </c>
      <c r="B153" s="11" cm="1">
        <f t="array" ref="B153">(1+B152)*(1+INDEX(Data!$F:$F,717-(ROW()-5)))-1</f>
        <v>0.11079810033955684</v>
      </c>
      <c r="C153" s="11" cm="1">
        <f t="array" ref="C153">(1+C152)*(1+INDEX(Data!$G:$G,717-(ROW()-5)))-1</f>
        <v>0.2530156815440292</v>
      </c>
      <c r="D153" s="11" cm="1">
        <f t="array" ref="D153">(1+D152)*(1+INDEX(Data!$H:$H,717-(ROW()-5)))-1</f>
        <v>1.9195993879537632E-2</v>
      </c>
      <c r="E153" s="11" cm="1">
        <f t="array" ref="E153">(1+E152)*(1+INDEX(Data!$I:$I,717-(ROW()-5)))-1</f>
        <v>-5.0448909790508978E-2</v>
      </c>
    </row>
    <row r="154" spans="1:5" x14ac:dyDescent="0.2">
      <c r="A154" s="1" cm="1">
        <f t="array" ref="A154">INDEX(Data!$A:$A,717-(ROW()-5))</f>
        <v>45294</v>
      </c>
      <c r="B154" s="11" cm="1">
        <f t="array" ref="B154">(1+B153)*(1+INDEX(Data!$F:$F,717-(ROW()-5)))-1</f>
        <v>0.10039740156068455</v>
      </c>
      <c r="C154" s="11" cm="1">
        <f t="array" ref="C154">(1+C153)*(1+INDEX(Data!$G:$G,717-(ROW()-5)))-1</f>
        <v>0.25603136308805818</v>
      </c>
      <c r="D154" s="11" cm="1">
        <f t="array" ref="D154">(1+D153)*(1+INDEX(Data!$H:$H,717-(ROW()-5)))-1</f>
        <v>1.3631937682569983E-2</v>
      </c>
      <c r="E154" s="11" cm="1">
        <f t="array" ref="E154">(1+E153)*(1+INDEX(Data!$I:$I,717-(ROW()-5)))-1</f>
        <v>-5.0021376656691152E-2</v>
      </c>
    </row>
    <row r="155" spans="1:5" x14ac:dyDescent="0.2">
      <c r="A155" s="1" cm="1">
        <f t="array" ref="A155">INDEX(Data!$A:$A,717-(ROW()-5))</f>
        <v>45295</v>
      </c>
      <c r="B155" s="11" cm="1">
        <f t="array" ref="B155">(1+B154)*(1+INDEX(Data!$F:$F,717-(ROW()-5)))-1</f>
        <v>0.10608944138182497</v>
      </c>
      <c r="C155" s="11" cm="1">
        <f t="array" ref="C155">(1+C154)*(1+INDEX(Data!$G:$G,717-(ROW()-5)))-1</f>
        <v>0.29071170084439113</v>
      </c>
      <c r="D155" s="11" cm="1">
        <f t="array" ref="D155">(1+D154)*(1+INDEX(Data!$H:$H,717-(ROW()-5)))-1</f>
        <v>-5.5640561969682034E-3</v>
      </c>
      <c r="E155" s="11" cm="1">
        <f t="array" ref="E155">(1+E154)*(1+INDEX(Data!$I:$I,717-(ROW()-5)))-1</f>
        <v>-4.9593843522873327E-2</v>
      </c>
    </row>
    <row r="156" spans="1:5" x14ac:dyDescent="0.2">
      <c r="A156" s="1" cm="1">
        <f t="array" ref="A156">INDEX(Data!$A:$A,717-(ROW()-5))</f>
        <v>45298</v>
      </c>
      <c r="B156" s="11" cm="1">
        <f t="array" ref="B156">(1+B155)*(1+INDEX(Data!$F:$F,717-(ROW()-5)))-1</f>
        <v>9.72043060512644E-2</v>
      </c>
      <c r="C156" s="11" cm="1">
        <f t="array" ref="C156">(1+C155)*(1+INDEX(Data!$G:$G,717-(ROW()-5)))-1</f>
        <v>0.27623642943305216</v>
      </c>
      <c r="D156" s="11" cm="1">
        <f t="array" ref="D156">(1+D155)*(1+INDEX(Data!$H:$H,717-(ROW()-5)))-1</f>
        <v>-7.7896786757551961E-3</v>
      </c>
      <c r="E156" s="11" cm="1">
        <f t="array" ref="E156">(1+E155)*(1+INDEX(Data!$I:$I,717-(ROW()-5)))-1</f>
        <v>-4.9593843522873327E-2</v>
      </c>
    </row>
    <row r="157" spans="1:5" x14ac:dyDescent="0.2">
      <c r="A157" s="1" cm="1">
        <f t="array" ref="A157">INDEX(Data!$A:$A,717-(ROW()-5))</f>
        <v>45299</v>
      </c>
      <c r="B157" s="11" cm="1">
        <f t="array" ref="B157">(1+B156)*(1+INDEX(Data!$F:$F,717-(ROW()-5)))-1</f>
        <v>9.6677908059675133E-2</v>
      </c>
      <c r="C157" s="11" cm="1">
        <f t="array" ref="C157">(1+C156)*(1+INDEX(Data!$G:$G,717-(ROW()-5)))-1</f>
        <v>0.26145958986731022</v>
      </c>
      <c r="D157" s="11" cm="1">
        <f t="array" ref="D157">(1+D156)*(1+INDEX(Data!$H:$H,717-(ROW()-5)))-1</f>
        <v>-1.7665878425372594E-2</v>
      </c>
      <c r="E157" s="11" cm="1">
        <f t="array" ref="E157">(1+E156)*(1+INDEX(Data!$I:$I,717-(ROW()-5)))-1</f>
        <v>-4.702864471996604E-2</v>
      </c>
    </row>
    <row r="158" spans="1:5" x14ac:dyDescent="0.2">
      <c r="A158" s="1" cm="1">
        <f t="array" ref="A158">INDEX(Data!$A:$A,717-(ROW()-5))</f>
        <v>45300</v>
      </c>
      <c r="B158" s="11" cm="1">
        <f t="array" ref="B158">(1+B157)*(1+INDEX(Data!$F:$F,717-(ROW()-5)))-1</f>
        <v>9.1957679915315005E-2</v>
      </c>
      <c r="C158" s="11" cm="1">
        <f t="array" ref="C158">(1+C157)*(1+INDEX(Data!$G:$G,717-(ROW()-5)))-1</f>
        <v>0.29764776839565754</v>
      </c>
      <c r="D158" s="11" cm="1">
        <f t="array" ref="D158">(1+D157)*(1+INDEX(Data!$H:$H,717-(ROW()-5)))-1</f>
        <v>-1.9056892474614506E-2</v>
      </c>
      <c r="E158" s="11" cm="1">
        <f t="array" ref="E158">(1+E157)*(1+INDEX(Data!$I:$I,717-(ROW()-5)))-1</f>
        <v>-5.8572039333048553E-2</v>
      </c>
    </row>
    <row r="159" spans="1:5" x14ac:dyDescent="0.2">
      <c r="A159" s="1" cm="1">
        <f t="array" ref="A159">INDEX(Data!$A:$A,717-(ROW()-5))</f>
        <v>45301</v>
      </c>
      <c r="B159" s="11" cm="1">
        <f t="array" ref="B159">(1+B158)*(1+INDEX(Data!$F:$F,717-(ROW()-5)))-1</f>
        <v>8.7509327656720481E-2</v>
      </c>
      <c r="C159" s="11" cm="1">
        <f t="array" ref="C159">(1+C158)*(1+INDEX(Data!$G:$G,717-(ROW()-5)))-1</f>
        <v>0.28528347406513888</v>
      </c>
      <c r="D159" s="11" cm="1">
        <f t="array" ref="D159">(1+D158)*(1+INDEX(Data!$H:$H,717-(ROW()-5)))-1</f>
        <v>-2.0169703714008058E-2</v>
      </c>
      <c r="E159" s="11" cm="1">
        <f t="array" ref="E159">(1+E158)*(1+INDEX(Data!$I:$I,717-(ROW()-5)))-1</f>
        <v>-5.8572039333048553E-2</v>
      </c>
    </row>
    <row r="160" spans="1:5" x14ac:dyDescent="0.2">
      <c r="A160" s="1" cm="1">
        <f t="array" ref="A160">INDEX(Data!$A:$A,717-(ROW()-5))</f>
        <v>45302</v>
      </c>
      <c r="B160" s="11" cm="1">
        <f t="array" ref="B160">(1+B159)*(1+INDEX(Data!$F:$F,717-(ROW()-5)))-1</f>
        <v>9.015867139460898E-2</v>
      </c>
      <c r="C160" s="11" cm="1">
        <f t="array" ref="C160">(1+C159)*(1+INDEX(Data!$G:$G,717-(ROW()-5)))-1</f>
        <v>0.30277442702050683</v>
      </c>
      <c r="D160" s="11" cm="1">
        <f t="array" ref="D160">(1+D159)*(1+INDEX(Data!$H:$H,717-(ROW()-5)))-1</f>
        <v>-2.5177354291278875E-2</v>
      </c>
      <c r="E160" s="11" cm="1">
        <f t="array" ref="E160">(1+E159)*(1+INDEX(Data!$I:$I,717-(ROW()-5)))-1</f>
        <v>-5.8572039333048553E-2</v>
      </c>
    </row>
    <row r="161" spans="1:5" x14ac:dyDescent="0.2">
      <c r="A161" s="1" cm="1">
        <f t="array" ref="A161">INDEX(Data!$A:$A,717-(ROW()-5))</f>
        <v>45305</v>
      </c>
      <c r="B161" s="11" cm="1">
        <f t="array" ref="B161">(1+B160)*(1+INDEX(Data!$F:$F,717-(ROW()-5)))-1</f>
        <v>8.6167302007833735E-2</v>
      </c>
      <c r="C161" s="11" cm="1">
        <f t="array" ref="C161">(1+C160)*(1+INDEX(Data!$G:$G,717-(ROW()-5)))-1</f>
        <v>0.28468033775633317</v>
      </c>
      <c r="D161" s="11" cm="1">
        <f t="array" ref="D161">(1+D160)*(1+INDEX(Data!$H:$H,717-(ROW()-5)))-1</f>
        <v>-2.6429266935596551E-2</v>
      </c>
      <c r="E161" s="11" cm="1">
        <f t="array" ref="E161">(1+E160)*(1+INDEX(Data!$I:$I,717-(ROW()-5)))-1</f>
        <v>-5.8144506199230728E-2</v>
      </c>
    </row>
    <row r="162" spans="1:5" x14ac:dyDescent="0.2">
      <c r="A162" s="1" cm="1">
        <f t="array" ref="A162">INDEX(Data!$A:$A,717-(ROW()-5))</f>
        <v>45306</v>
      </c>
      <c r="B162" s="11" cm="1">
        <f t="array" ref="B162">(1+B161)*(1+INDEX(Data!$F:$F,717-(ROW()-5)))-1</f>
        <v>8.1458643050101642E-2</v>
      </c>
      <c r="C162" s="11" cm="1">
        <f t="array" ref="C162">(1+C161)*(1+INDEX(Data!$G:$G,717-(ROW()-5)))-1</f>
        <v>0.26537997587454787</v>
      </c>
      <c r="D162" s="11" cm="1">
        <f t="array" ref="D162">(1+D161)*(1+INDEX(Data!$H:$H,717-(ROW()-5)))-1</f>
        <v>-3.1854221727639964E-2</v>
      </c>
      <c r="E162" s="11" cm="1">
        <f t="array" ref="E162">(1+E161)*(1+INDEX(Data!$I:$I,717-(ROW()-5)))-1</f>
        <v>-5.8144506199230728E-2</v>
      </c>
    </row>
    <row r="163" spans="1:5" x14ac:dyDescent="0.2">
      <c r="A163" s="1" cm="1">
        <f t="array" ref="A163">INDEX(Data!$A:$A,717-(ROW()-5))</f>
        <v>45307</v>
      </c>
      <c r="B163" s="11" cm="1">
        <f t="array" ref="B163">(1+B162)*(1+INDEX(Data!$F:$F,717-(ROW()-5)))-1</f>
        <v>6.6586453639378096E-2</v>
      </c>
      <c r="C163" s="11" cm="1">
        <f t="array" ref="C163">(1+C162)*(1+INDEX(Data!$G:$G,717-(ROW()-5)))-1</f>
        <v>0.24155609167671921</v>
      </c>
      <c r="D163" s="11" cm="1">
        <f t="array" ref="D163">(1+D162)*(1+INDEX(Data!$H:$H,717-(ROW()-5)))-1</f>
        <v>-2.9211295034080376E-2</v>
      </c>
      <c r="E163" s="11" cm="1">
        <f t="array" ref="E163">(1+E162)*(1+INDEX(Data!$I:$I,717-(ROW()-5)))-1</f>
        <v>-5.8144506199230728E-2</v>
      </c>
    </row>
    <row r="164" spans="1:5" x14ac:dyDescent="0.2">
      <c r="A164" s="1" cm="1">
        <f t="array" ref="A164">INDEX(Data!$A:$A,717-(ROW()-5))</f>
        <v>45308</v>
      </c>
      <c r="B164" s="11" cm="1">
        <f t="array" ref="B164">(1+B163)*(1+INDEX(Data!$F:$F,717-(ROW()-5)))-1</f>
        <v>5.88177448184517E-2</v>
      </c>
      <c r="C164" s="11" cm="1">
        <f t="array" ref="C164">(1+C163)*(1+INDEX(Data!$G:$G,717-(ROW()-5)))-1</f>
        <v>0.22828709288299187</v>
      </c>
      <c r="D164" s="11" cm="1">
        <f t="array" ref="D164">(1+D163)*(1+INDEX(Data!$H:$H,717-(ROW()-5)))-1</f>
        <v>-2.879399081930778E-2</v>
      </c>
      <c r="E164" s="11" cm="1">
        <f t="array" ref="E164">(1+E163)*(1+INDEX(Data!$I:$I,717-(ROW()-5)))-1</f>
        <v>-5.7289439931594965E-2</v>
      </c>
    </row>
    <row r="165" spans="1:5" x14ac:dyDescent="0.2">
      <c r="A165" s="1" cm="1">
        <f t="array" ref="A165">INDEX(Data!$A:$A,717-(ROW()-5))</f>
        <v>45309</v>
      </c>
      <c r="B165" s="11" cm="1">
        <f t="array" ref="B165">(1+B164)*(1+INDEX(Data!$F:$F,717-(ROW()-5)))-1</f>
        <v>7.9538158069798026E-2</v>
      </c>
      <c r="C165" s="11" cm="1">
        <f t="array" ref="C165">(1+C164)*(1+INDEX(Data!$G:$G,717-(ROW()-5)))-1</f>
        <v>0.25452352231604358</v>
      </c>
      <c r="D165" s="11" cm="1">
        <f t="array" ref="D165">(1+D164)*(1+INDEX(Data!$H:$H,717-(ROW()-5)))-1</f>
        <v>-2.8654889414383544E-2</v>
      </c>
      <c r="E165" s="11" cm="1">
        <f t="array" ref="E165">(1+E164)*(1+INDEX(Data!$I:$I,717-(ROW()-5)))-1</f>
        <v>-5.7289439931594965E-2</v>
      </c>
    </row>
    <row r="166" spans="1:5" x14ac:dyDescent="0.2">
      <c r="A166" s="1" cm="1">
        <f t="array" ref="A166">INDEX(Data!$A:$A,717-(ROW()-5))</f>
        <v>45312</v>
      </c>
      <c r="B166" s="11" cm="1">
        <f t="array" ref="B166">(1+B165)*(1+INDEX(Data!$F:$F,717-(ROW()-5)))-1</f>
        <v>7.8051517588057173E-2</v>
      </c>
      <c r="C166" s="11" cm="1">
        <f t="array" ref="C166">(1+C165)*(1+INDEX(Data!$G:$G,717-(ROW()-5)))-1</f>
        <v>0.22858866103739461</v>
      </c>
      <c r="D166" s="11" cm="1">
        <f t="array" ref="D166">(1+D165)*(1+INDEX(Data!$H:$H,717-(ROW()-5)))-1</f>
        <v>-4.6459869244679819E-2</v>
      </c>
      <c r="E166" s="11" cm="1">
        <f t="array" ref="E166">(1+E165)*(1+INDEX(Data!$I:$I,717-(ROW()-5)))-1</f>
        <v>-5.7289439931594965E-2</v>
      </c>
    </row>
    <row r="167" spans="1:5" x14ac:dyDescent="0.2">
      <c r="A167" s="1" cm="1">
        <f t="array" ref="A167">INDEX(Data!$A:$A,717-(ROW()-5))</f>
        <v>45313</v>
      </c>
      <c r="B167" s="11" cm="1">
        <f t="array" ref="B167">(1+B166)*(1+INDEX(Data!$F:$F,717-(ROW()-5)))-1</f>
        <v>7.8658899886044686E-2</v>
      </c>
      <c r="C167" s="11" cm="1">
        <f t="array" ref="C167">(1+C166)*(1+INDEX(Data!$G:$G,717-(ROW()-5)))-1</f>
        <v>0.23823884197828726</v>
      </c>
      <c r="D167" s="11" cm="1">
        <f t="array" ref="D167">(1+D166)*(1+INDEX(Data!$H:$H,717-(ROW()-5)))-1</f>
        <v>-3.5470858255668758E-2</v>
      </c>
      <c r="E167" s="11" cm="1">
        <f t="array" ref="E167">(1+E166)*(1+INDEX(Data!$I:$I,717-(ROW()-5)))-1</f>
        <v>-5.7289439931594965E-2</v>
      </c>
    </row>
    <row r="168" spans="1:5" x14ac:dyDescent="0.2">
      <c r="A168" s="1" cm="1">
        <f t="array" ref="A168">INDEX(Data!$A:$A,717-(ROW()-5))</f>
        <v>45314</v>
      </c>
      <c r="B168" s="11" cm="1">
        <f t="array" ref="B168">(1+B167)*(1+INDEX(Data!$F:$F,717-(ROW()-5)))-1</f>
        <v>7.1879356521840965E-2</v>
      </c>
      <c r="C168" s="11" cm="1">
        <f t="array" ref="C168">(1+C167)*(1+INDEX(Data!$G:$G,717-(ROW()-5)))-1</f>
        <v>0.21411338962605564</v>
      </c>
      <c r="D168" s="11" cm="1">
        <f t="array" ref="D168">(1+D167)*(1+INDEX(Data!$H:$H,717-(ROW()-5)))-1</f>
        <v>-2.8098483794686713E-2</v>
      </c>
      <c r="E168" s="11" cm="1">
        <f t="array" ref="E168">(1+E167)*(1+INDEX(Data!$I:$I,717-(ROW()-5)))-1</f>
        <v>-5.7289439931594965E-2</v>
      </c>
    </row>
    <row r="169" spans="1:5" x14ac:dyDescent="0.2">
      <c r="A169" s="1" cm="1">
        <f t="array" ref="A169">INDEX(Data!$A:$A,717-(ROW()-5))</f>
        <v>45315</v>
      </c>
      <c r="B169" s="11" cm="1">
        <f t="array" ref="B169">(1+B168)*(1+INDEX(Data!$F:$F,717-(ROW()-5)))-1</f>
        <v>8.0498400559950056E-2</v>
      </c>
      <c r="C169" s="11" cm="1">
        <f t="array" ref="C169">(1+C168)*(1+INDEX(Data!$G:$G,717-(ROW()-5)))-1</f>
        <v>0.23642943305186992</v>
      </c>
      <c r="D169" s="11" cm="1">
        <f t="array" ref="D169">(1+D168)*(1+INDEX(Data!$H:$H,717-(ROW()-5)))-1</f>
        <v>-3.1019613298094773E-2</v>
      </c>
      <c r="E169" s="11" cm="1">
        <f t="array" ref="E169">(1+E168)*(1+INDEX(Data!$I:$I,717-(ROW()-5)))-1</f>
        <v>-7.738349722103488E-2</v>
      </c>
    </row>
    <row r="170" spans="1:5" x14ac:dyDescent="0.2">
      <c r="A170" s="1" cm="1">
        <f t="array" ref="A170">INDEX(Data!$A:$A,717-(ROW()-5))</f>
        <v>45316</v>
      </c>
      <c r="B170" s="11" cm="1">
        <f t="array" ref="B170">(1+B169)*(1+INDEX(Data!$F:$F,717-(ROW()-5)))-1</f>
        <v>7.6842537585396498E-2</v>
      </c>
      <c r="C170" s="11" cm="1">
        <f t="array" ref="C170">(1+C169)*(1+INDEX(Data!$G:$G,717-(ROW()-5)))-1</f>
        <v>0.2530156815440292</v>
      </c>
      <c r="D170" s="11" cm="1">
        <f t="array" ref="D170">(1+D169)*(1+INDEX(Data!$H:$H,717-(ROW()-5)))-1</f>
        <v>-5.4666852135207056E-2</v>
      </c>
      <c r="E170" s="11" cm="1">
        <f t="array" ref="E170">(1+E169)*(1+INDEX(Data!$I:$I,717-(ROW()-5)))-1</f>
        <v>-9.149209063702457E-2</v>
      </c>
    </row>
    <row r="171" spans="1:5" x14ac:dyDescent="0.2">
      <c r="A171" s="1" cm="1">
        <f t="array" ref="A171">INDEX(Data!$A:$A,717-(ROW()-5))</f>
        <v>45319</v>
      </c>
      <c r="B171" s="11" cm="1">
        <f t="array" ref="B171">(1+B170)*(1+INDEX(Data!$F:$F,717-(ROW()-5)))-1</f>
        <v>8.2864299225444471E-2</v>
      </c>
      <c r="C171" s="11" cm="1">
        <f t="array" ref="C171">(1+C170)*(1+INDEX(Data!$G:$G,717-(ROW()-5)))-1</f>
        <v>0.23823884197828726</v>
      </c>
      <c r="D171" s="11" cm="1">
        <f t="array" ref="D171">(1+D170)*(1+INDEX(Data!$H:$H,717-(ROW()-5)))-1</f>
        <v>-4.353873974127187E-2</v>
      </c>
      <c r="E171" s="11" cm="1">
        <f t="array" ref="E171">(1+E170)*(1+INDEX(Data!$I:$I,717-(ROW()-5)))-1</f>
        <v>-9.149209063702457E-2</v>
      </c>
    </row>
    <row r="172" spans="1:5" x14ac:dyDescent="0.2">
      <c r="A172" s="1" cm="1">
        <f t="array" ref="A172">INDEX(Data!$A:$A,717-(ROW()-5))</f>
        <v>45320</v>
      </c>
      <c r="B172" s="11" cm="1">
        <f t="array" ref="B172">(1+B171)*(1+INDEX(Data!$F:$F,717-(ROW()-5)))-1</f>
        <v>9.3079891018263528E-2</v>
      </c>
      <c r="C172" s="11" cm="1">
        <f t="array" ref="C172">(1+C171)*(1+INDEX(Data!$G:$G,717-(ROW()-5)))-1</f>
        <v>0.26658624849215951</v>
      </c>
      <c r="D172" s="11" cm="1">
        <f t="array" ref="D172">(1+D171)*(1+INDEX(Data!$H:$H,717-(ROW()-5)))-1</f>
        <v>-2.93503964390045E-2</v>
      </c>
      <c r="E172" s="11" cm="1">
        <f t="array" ref="E172">(1+E171)*(1+INDEX(Data!$I:$I,717-(ROW()-5)))-1</f>
        <v>-6.3702436938863016E-2</v>
      </c>
    </row>
    <row r="173" spans="1:5" x14ac:dyDescent="0.2">
      <c r="A173" s="1" cm="1">
        <f t="array" ref="A173">INDEX(Data!$A:$A,717-(ROW()-5))</f>
        <v>45321</v>
      </c>
      <c r="B173" s="11" cm="1">
        <f t="array" ref="B173">(1+B172)*(1+INDEX(Data!$F:$F,717-(ROW()-5)))-1</f>
        <v>8.2152794247801975E-2</v>
      </c>
      <c r="C173" s="11" cm="1">
        <f t="array" ref="C173">(1+C172)*(1+INDEX(Data!$G:$G,717-(ROW()-5)))-1</f>
        <v>0.26568154402895083</v>
      </c>
      <c r="D173" s="11" cm="1">
        <f t="array" ref="D173">(1+D172)*(1+INDEX(Data!$H:$H,717-(ROW()-5)))-1</f>
        <v>-3.686187230491067E-2</v>
      </c>
      <c r="E173" s="11" cm="1">
        <f t="array" ref="E173">(1+E172)*(1+INDEX(Data!$I:$I,717-(ROW()-5)))-1</f>
        <v>-6.3702436938863016E-2</v>
      </c>
    </row>
    <row r="174" spans="1:5" x14ac:dyDescent="0.2">
      <c r="A174" s="1" cm="1">
        <f t="array" ref="A174">INDEX(Data!$A:$A,717-(ROW()-5))</f>
        <v>45322</v>
      </c>
      <c r="B174" s="11" cm="1">
        <f t="array" ref="B174">(1+B173)*(1+INDEX(Data!$F:$F,717-(ROW()-5)))-1</f>
        <v>7.7044998351392557E-2</v>
      </c>
      <c r="C174" s="11" cm="1">
        <f t="array" ref="C174">(1+C173)*(1+INDEX(Data!$G:$G,717-(ROW()-5)))-1</f>
        <v>0.2530156815440292</v>
      </c>
      <c r="D174" s="11" cm="1">
        <f t="array" ref="D174">(1+D173)*(1+INDEX(Data!$H:$H,717-(ROW()-5)))-1</f>
        <v>-2.5872861315899609E-2</v>
      </c>
      <c r="E174" s="11" cm="1">
        <f t="array" ref="E174">(1+E173)*(1+INDEX(Data!$I:$I,717-(ROW()-5)))-1</f>
        <v>-6.3702436938863016E-2</v>
      </c>
    </row>
    <row r="175" spans="1:5" x14ac:dyDescent="0.2">
      <c r="A175" s="1" cm="1">
        <f t="array" ref="A175">INDEX(Data!$A:$A,717-(ROW()-5))</f>
        <v>45323</v>
      </c>
      <c r="B175" s="11" cm="1">
        <f t="array" ref="B175">(1+B174)*(1+INDEX(Data!$F:$F,717-(ROW()-5)))-1</f>
        <v>6.9623365129316106E-2</v>
      </c>
      <c r="C175" s="11" cm="1">
        <f t="array" ref="C175">(1+C174)*(1+INDEX(Data!$G:$G,717-(ROW()-5)))-1</f>
        <v>0.28136308805790144</v>
      </c>
      <c r="D175" s="11" cm="1">
        <f t="array" ref="D175">(1+D174)*(1+INDEX(Data!$H:$H,717-(ROW()-5)))-1</f>
        <v>-1.3075532062874262E-2</v>
      </c>
      <c r="E175" s="11" cm="1">
        <f t="array" ref="E175">(1+E174)*(1+INDEX(Data!$I:$I,717-(ROW()-5)))-1</f>
        <v>-6.3702436938863016E-2</v>
      </c>
    </row>
    <row r="176" spans="1:5" x14ac:dyDescent="0.2">
      <c r="A176" s="1" cm="1">
        <f t="array" ref="A176">INDEX(Data!$A:$A,717-(ROW()-5))</f>
        <v>45326</v>
      </c>
      <c r="B176" s="11" cm="1">
        <f t="array" ref="B176">(1+B175)*(1+INDEX(Data!$F:$F,717-(ROW()-5)))-1</f>
        <v>7.3267658917241407E-2</v>
      </c>
      <c r="C176" s="11" cm="1">
        <f t="array" ref="C176">(1+C175)*(1+INDEX(Data!$G:$G,717-(ROW()-5)))-1</f>
        <v>0.29372738238842011</v>
      </c>
      <c r="D176" s="11" cm="1">
        <f t="array" ref="D176">(1+D175)*(1+INDEX(Data!$H:$H,717-(ROW()-5)))-1</f>
        <v>-1.1962720823480821E-2</v>
      </c>
      <c r="E176" s="11" cm="1">
        <f t="array" ref="E176">(1+E175)*(1+INDEX(Data!$I:$I,717-(ROW()-5)))-1</f>
        <v>-6.3702436938863016E-2</v>
      </c>
    </row>
    <row r="177" spans="1:5" x14ac:dyDescent="0.2">
      <c r="A177" s="1" cm="1">
        <f t="array" ref="A177">INDEX(Data!$A:$A,717-(ROW()-5))</f>
        <v>45327</v>
      </c>
      <c r="B177" s="11" cm="1">
        <f t="array" ref="B177">(1+B176)*(1+INDEX(Data!$F:$F,717-(ROW()-5)))-1</f>
        <v>6.8871367998474486E-2</v>
      </c>
      <c r="C177" s="11" cm="1">
        <f t="array" ref="C177">(1+C176)*(1+INDEX(Data!$G:$G,717-(ROW()-5)))-1</f>
        <v>0.30579010856453581</v>
      </c>
      <c r="D177" s="11" cm="1">
        <f t="array" ref="D177">(1+D176)*(1+INDEX(Data!$H:$H,717-(ROW()-5)))-1</f>
        <v>-5.8422590068164526E-3</v>
      </c>
      <c r="E177" s="11" cm="1">
        <f t="array" ref="E177">(1+E176)*(1+INDEX(Data!$I:$I,717-(ROW()-5)))-1</f>
        <v>-6.3702436938863016E-2</v>
      </c>
    </row>
    <row r="178" spans="1:5" x14ac:dyDescent="0.2">
      <c r="A178" s="1" cm="1">
        <f t="array" ref="A178">INDEX(Data!$A:$A,717-(ROW()-5))</f>
        <v>45328</v>
      </c>
      <c r="B178" s="11" cm="1">
        <f t="array" ref="B178">(1+B177)*(1+INDEX(Data!$F:$F,717-(ROW()-5)))-1</f>
        <v>8.4524477506610518E-2</v>
      </c>
      <c r="C178" s="11" cm="1">
        <f t="array" ref="C178">(1+C177)*(1+INDEX(Data!$G:$G,717-(ROW()-5)))-1</f>
        <v>0.31182147165259355</v>
      </c>
      <c r="D178" s="11" cm="1">
        <f t="array" ref="D178">(1+D177)*(1+INDEX(Data!$H:$H,717-(ROW()-5)))-1</f>
        <v>-5.2858533871196212E-3</v>
      </c>
      <c r="E178" s="11" cm="1">
        <f t="array" ref="E178">(1+E177)*(1+INDEX(Data!$I:$I,717-(ROW()-5)))-1</f>
        <v>-6.3702436938863016E-2</v>
      </c>
    </row>
    <row r="179" spans="1:5" x14ac:dyDescent="0.2">
      <c r="A179" s="1" cm="1">
        <f t="array" ref="A179">INDEX(Data!$A:$A,717-(ROW()-5))</f>
        <v>45329</v>
      </c>
      <c r="B179" s="11" cm="1">
        <f t="array" ref="B179">(1+B178)*(1+INDEX(Data!$F:$F,717-(ROW()-5)))-1</f>
        <v>8.5542565929903835E-2</v>
      </c>
      <c r="C179" s="11" cm="1">
        <f t="array" ref="C179">(1+C178)*(1+INDEX(Data!$G:$G,717-(ROW()-5)))-1</f>
        <v>0.32629674306393253</v>
      </c>
      <c r="D179" s="11" cm="1">
        <f t="array" ref="D179">(1+D178)*(1+INDEX(Data!$H:$H,717-(ROW()-5)))-1</f>
        <v>-3.6166365280292379E-3</v>
      </c>
      <c r="E179" s="11" cm="1">
        <f t="array" ref="E179">(1+E178)*(1+INDEX(Data!$I:$I,717-(ROW()-5)))-1</f>
        <v>-6.3702436938863016E-2</v>
      </c>
    </row>
    <row r="180" spans="1:5" x14ac:dyDescent="0.2">
      <c r="A180" s="1" cm="1">
        <f t="array" ref="A180">INDEX(Data!$A:$A,717-(ROW()-5))</f>
        <v>45330</v>
      </c>
      <c r="B180" s="11" cm="1">
        <f t="array" ref="B180">(1+B179)*(1+INDEX(Data!$F:$F,717-(ROW()-5)))-1</f>
        <v>7.9167944097691789E-2</v>
      </c>
      <c r="C180" s="11" cm="1">
        <f t="array" ref="C180">(1+C179)*(1+INDEX(Data!$G:$G,717-(ROW()-5)))-1</f>
        <v>0.32629674306393253</v>
      </c>
      <c r="D180" s="11" cm="1">
        <f t="array" ref="D180">(1+D179)*(1+INDEX(Data!$H:$H,717-(ROW()-5)))-1</f>
        <v>1.7248574210599221E-2</v>
      </c>
      <c r="E180" s="11" cm="1">
        <f t="array" ref="E180">(1+E179)*(1+INDEX(Data!$I:$I,717-(ROW()-5)))-1</f>
        <v>-6.3702436938863016E-2</v>
      </c>
    </row>
    <row r="181" spans="1:5" x14ac:dyDescent="0.2">
      <c r="A181" s="1" cm="1">
        <f t="array" ref="A181">INDEX(Data!$A:$A,717-(ROW()-5))</f>
        <v>45333</v>
      </c>
      <c r="B181" s="11" cm="1">
        <f t="array" ref="B181">(1+B180)*(1+INDEX(Data!$F:$F,717-(ROW()-5)))-1</f>
        <v>7.1225697477340422E-2</v>
      </c>
      <c r="C181" s="11" cm="1">
        <f t="array" ref="C181">(1+C180)*(1+INDEX(Data!$G:$G,717-(ROW()-5)))-1</f>
        <v>0.3021712907117009</v>
      </c>
      <c r="D181" s="11" cm="1">
        <f t="array" ref="D181">(1+D180)*(1+INDEX(Data!$H:$H,717-(ROW()-5)))-1</f>
        <v>5.0076505772704838E-3</v>
      </c>
      <c r="E181" s="11" cm="1">
        <f t="array" ref="E181">(1+E180)*(1+INDEX(Data!$I:$I,717-(ROW()-5)))-1</f>
        <v>-9.149209063702457E-2</v>
      </c>
    </row>
    <row r="182" spans="1:5" x14ac:dyDescent="0.2">
      <c r="A182" s="1" cm="1">
        <f t="array" ref="A182">INDEX(Data!$A:$A,717-(ROW()-5))</f>
        <v>45334</v>
      </c>
      <c r="B182" s="11" cm="1">
        <f t="array" ref="B182">(1+B181)*(1+INDEX(Data!$F:$F,717-(ROW()-5)))-1</f>
        <v>8.4935183631916322E-2</v>
      </c>
      <c r="C182" s="11" cm="1">
        <f t="array" ref="C182">(1+C181)*(1+INDEX(Data!$G:$G,717-(ROW()-5)))-1</f>
        <v>0.34620024125452376</v>
      </c>
      <c r="D182" s="11" cm="1">
        <f t="array" ref="D182">(1+D181)*(1+INDEX(Data!$H:$H,717-(ROW()-5)))-1</f>
        <v>-1.2519126443180095E-3</v>
      </c>
      <c r="E182" s="11" cm="1">
        <f t="array" ref="E182">(1+E181)*(1+INDEX(Data!$I:$I,717-(ROW()-5)))-1</f>
        <v>-9.149209063702457E-2</v>
      </c>
    </row>
    <row r="183" spans="1:5" x14ac:dyDescent="0.2">
      <c r="A183" s="1" cm="1">
        <f t="array" ref="A183">INDEX(Data!$A:$A,717-(ROW()-5))</f>
        <v>45335</v>
      </c>
      <c r="B183" s="11" cm="1">
        <f t="array" ref="B183">(1+B182)*(1+INDEX(Data!$F:$F,717-(ROW()-5)))-1</f>
        <v>9.1662665656292663E-2</v>
      </c>
      <c r="C183" s="11" cm="1">
        <f t="array" ref="C183">(1+C182)*(1+INDEX(Data!$G:$G,717-(ROW()-5)))-1</f>
        <v>0.41405307599517505</v>
      </c>
      <c r="D183" s="11" cm="1">
        <f t="array" ref="D183">(1+D182)*(1+INDEX(Data!$H:$H,717-(ROW()-5)))-1</f>
        <v>-1.8083182640147299E-3</v>
      </c>
      <c r="E183" s="11" cm="1">
        <f t="array" ref="E183">(1+E182)*(1+INDEX(Data!$I:$I,717-(ROW()-5)))-1</f>
        <v>-6.4129970072680842E-2</v>
      </c>
    </row>
    <row r="184" spans="1:5" x14ac:dyDescent="0.2">
      <c r="A184" s="1" cm="1">
        <f t="array" ref="A184">INDEX(Data!$A:$A,717-(ROW()-5))</f>
        <v>45336</v>
      </c>
      <c r="B184" s="11" cm="1">
        <f t="array" ref="B184">(1+B183)*(1+INDEX(Data!$F:$F,717-(ROW()-5)))-1</f>
        <v>9.1234605751044251E-2</v>
      </c>
      <c r="C184" s="11" cm="1">
        <f t="array" ref="C184">(1+C183)*(1+INDEX(Data!$G:$G,717-(ROW()-5)))-1</f>
        <v>0.40410132689987965</v>
      </c>
      <c r="D184" s="11" cm="1">
        <f t="array" ref="D184">(1+D183)*(1+INDEX(Data!$H:$H,717-(ROW()-5)))-1</f>
        <v>-4.8685491723469143E-3</v>
      </c>
      <c r="E184" s="11" cm="1">
        <f t="array" ref="E184">(1+E183)*(1+INDEX(Data!$I:$I,717-(ROW()-5)))-1</f>
        <v>-6.4129970072680842E-2</v>
      </c>
    </row>
    <row r="185" spans="1:5" x14ac:dyDescent="0.2">
      <c r="A185" s="1" cm="1">
        <f t="array" ref="A185">INDEX(Data!$A:$A,717-(ROW()-5))</f>
        <v>45337</v>
      </c>
      <c r="B185" s="11" cm="1">
        <f t="array" ref="B185">(1+B184)*(1+INDEX(Data!$F:$F,717-(ROW()-5)))-1</f>
        <v>9.785218050245148E-2</v>
      </c>
      <c r="C185" s="11" cm="1">
        <f t="array" ref="C185">(1+C184)*(1+INDEX(Data!$G:$G,717-(ROW()-5)))-1</f>
        <v>0.39324487334137537</v>
      </c>
      <c r="D185" s="11" cm="1">
        <f t="array" ref="D185">(1+D184)*(1+INDEX(Data!$H:$H,717-(ROW()-5)))-1</f>
        <v>-4.7294477674226787E-3</v>
      </c>
      <c r="E185" s="11" cm="1">
        <f t="array" ref="E185">(1+E184)*(1+INDEX(Data!$I:$I,717-(ROW()-5)))-1</f>
        <v>-6.4129970072680842E-2</v>
      </c>
    </row>
    <row r="186" spans="1:5" x14ac:dyDescent="0.2">
      <c r="A186" s="1" cm="1">
        <f t="array" ref="A186">INDEX(Data!$A:$A,717-(ROW()-5))</f>
        <v>45340</v>
      </c>
      <c r="B186" s="11" cm="1">
        <f t="array" ref="B186">(1+B185)*(1+INDEX(Data!$F:$F,717-(ROW()-5)))-1</f>
        <v>0.10654642425364447</v>
      </c>
      <c r="C186" s="11" cm="1">
        <f t="array" ref="C186">(1+C185)*(1+INDEX(Data!$G:$G,717-(ROW()-5)))-1</f>
        <v>0.40108564535585067</v>
      </c>
      <c r="D186" s="11" cm="1">
        <f t="array" ref="D186">(1+D185)*(1+INDEX(Data!$H:$H,717-(ROW()-5)))-1</f>
        <v>1.0154402559465536E-2</v>
      </c>
      <c r="E186" s="11" cm="1">
        <f t="array" ref="E186">(1+E185)*(1+INDEX(Data!$I:$I,717-(ROW()-5)))-1</f>
        <v>-6.4129970072680842E-2</v>
      </c>
    </row>
    <row r="187" spans="1:5" x14ac:dyDescent="0.2">
      <c r="A187" s="1" cm="1">
        <f t="array" ref="A187">INDEX(Data!$A:$A,717-(ROW()-5))</f>
        <v>45341</v>
      </c>
      <c r="B187" s="11" cm="1">
        <f t="array" ref="B187">(1+B186)*(1+INDEX(Data!$F:$F,717-(ROW()-5)))-1</f>
        <v>0.11866514724682431</v>
      </c>
      <c r="C187" s="11" cm="1">
        <f t="array" ref="C187">(1+C186)*(1+INDEX(Data!$G:$G,717-(ROW()-5)))-1</f>
        <v>0.4267189384800969</v>
      </c>
      <c r="D187" s="11" cm="1">
        <f t="array" ref="D187">(1+D186)*(1+INDEX(Data!$H:$H,717-(ROW()-5)))-1</f>
        <v>3.700097370983424E-2</v>
      </c>
      <c r="E187" s="11" cm="1">
        <f t="array" ref="E187">(1+E186)*(1+INDEX(Data!$I:$I,717-(ROW()-5)))-1</f>
        <v>-6.5840102607952367E-2</v>
      </c>
    </row>
    <row r="188" spans="1:5" x14ac:dyDescent="0.2">
      <c r="A188" s="1" cm="1">
        <f t="array" ref="A188">INDEX(Data!$A:$A,717-(ROW()-5))</f>
        <v>45342</v>
      </c>
      <c r="B188" s="11" cm="1">
        <f t="array" ref="B188">(1+B187)*(1+INDEX(Data!$F:$F,717-(ROW()-5)))-1</f>
        <v>0.11864779346688192</v>
      </c>
      <c r="C188" s="11" cm="1">
        <f t="array" ref="C188">(1+C187)*(1+INDEX(Data!$G:$G,717-(ROW()-5)))-1</f>
        <v>0.43576598311218384</v>
      </c>
      <c r="D188" s="11" cm="1">
        <f t="array" ref="D188">(1+D187)*(1+INDEX(Data!$H:$H,717-(ROW()-5)))-1</f>
        <v>3.7835582139379431E-2</v>
      </c>
      <c r="E188" s="11" cm="1">
        <f t="array" ref="E188">(1+E187)*(1+INDEX(Data!$I:$I,717-(ROW()-5)))-1</f>
        <v>-3.8477982043608638E-2</v>
      </c>
    </row>
    <row r="189" spans="1:5" x14ac:dyDescent="0.2">
      <c r="A189" s="1" cm="1">
        <f t="array" ref="A189">INDEX(Data!$A:$A,717-(ROW()-5))</f>
        <v>45343</v>
      </c>
      <c r="B189" s="11" cm="1">
        <f t="array" ref="B189">(1+B188)*(1+INDEX(Data!$F:$F,717-(ROW()-5)))-1</f>
        <v>0.11650170934732618</v>
      </c>
      <c r="C189" s="11" cm="1">
        <f t="array" ref="C189">(1+C188)*(1+INDEX(Data!$G:$G,717-(ROW()-5)))-1</f>
        <v>0.43033775633293159</v>
      </c>
      <c r="D189" s="11" cm="1">
        <f t="array" ref="D189">(1+D188)*(1+INDEX(Data!$H:$H,717-(ROW()-5)))-1</f>
        <v>3.5053554040895607E-2</v>
      </c>
      <c r="E189" s="11" cm="1">
        <f t="array" ref="E189">(1+E188)*(1+INDEX(Data!$I:$I,717-(ROW()-5)))-1</f>
        <v>-3.8050448909790702E-2</v>
      </c>
    </row>
    <row r="190" spans="1:5" x14ac:dyDescent="0.2">
      <c r="A190" s="1" cm="1">
        <f t="array" ref="A190">INDEX(Data!$A:$A,717-(ROW()-5))</f>
        <v>45344</v>
      </c>
      <c r="B190" s="11" cm="1">
        <f t="array" ref="B190">(1+B189)*(1+INDEX(Data!$F:$F,717-(ROW()-5)))-1</f>
        <v>0.12538684467788674</v>
      </c>
      <c r="C190" s="11" cm="1">
        <f t="array" ref="C190">(1+C189)*(1+INDEX(Data!$G:$G,717-(ROW()-5)))-1</f>
        <v>0.42792521109770854</v>
      </c>
      <c r="D190" s="11" cm="1">
        <f t="array" ref="D190">(1+D189)*(1+INDEX(Data!$H:$H,717-(ROW()-5)))-1</f>
        <v>2.8933092224231238E-2</v>
      </c>
      <c r="E190" s="11" cm="1">
        <f t="array" ref="E190">(1+E189)*(1+INDEX(Data!$I:$I,717-(ROW()-5)))-1</f>
        <v>-1.6673792218897199E-2</v>
      </c>
    </row>
    <row r="191" spans="1:5" x14ac:dyDescent="0.2">
      <c r="A191" s="1" cm="1">
        <f t="array" ref="A191">INDEX(Data!$A:$A,717-(ROW()-5))</f>
        <v>45347</v>
      </c>
      <c r="B191" s="11" cm="1">
        <f t="array" ref="B191">(1+B190)*(1+INDEX(Data!$F:$F,717-(ROW()-5)))-1</f>
        <v>0.13943762183799868</v>
      </c>
      <c r="C191" s="11" cm="1">
        <f t="array" ref="C191">(1+C190)*(1+INDEX(Data!$G:$G,717-(ROW()-5)))-1</f>
        <v>0.44662243667068813</v>
      </c>
      <c r="D191" s="11" cm="1">
        <f t="array" ref="D191">(1+D190)*(1+INDEX(Data!$H:$H,717-(ROW()-5)))-1</f>
        <v>4.3399638336346857E-2</v>
      </c>
      <c r="E191" s="11" cm="1">
        <f t="array" ref="E191">(1+E190)*(1+INDEX(Data!$I:$I,717-(ROW()-5)))-1</f>
        <v>-1.6673792218897199E-2</v>
      </c>
    </row>
    <row r="192" spans="1:5" x14ac:dyDescent="0.2">
      <c r="A192" s="1" cm="1">
        <f t="array" ref="A192">INDEX(Data!$A:$A,717-(ROW()-5))</f>
        <v>45348</v>
      </c>
      <c r="B192" s="11" cm="1">
        <f t="array" ref="B192">(1+B191)*(1+INDEX(Data!$F:$F,717-(ROW()-5)))-1</f>
        <v>0.14295465457301226</v>
      </c>
      <c r="C192" s="11" cm="1">
        <f t="array" ref="C192">(1+C191)*(1+INDEX(Data!$G:$G,717-(ROW()-5)))-1</f>
        <v>0.47496984318456015</v>
      </c>
      <c r="D192" s="11" cm="1">
        <f t="array" ref="D192">(1+D191)*(1+INDEX(Data!$H:$H,717-(ROW()-5)))-1</f>
        <v>5.4666852135206279E-2</v>
      </c>
      <c r="E192" s="11" cm="1">
        <f t="array" ref="E192">(1+E191)*(1+INDEX(Data!$I:$I,717-(ROW()-5)))-1</f>
        <v>-1.53911928174435E-2</v>
      </c>
    </row>
    <row r="193" spans="1:5" x14ac:dyDescent="0.2">
      <c r="A193" s="1" cm="1">
        <f t="array" ref="A193">INDEX(Data!$A:$A,717-(ROW()-5))</f>
        <v>45350</v>
      </c>
      <c r="B193" s="11" cm="1">
        <f t="array" ref="B193">(1+B192)*(1+INDEX(Data!$F:$F,717-(ROW()-5)))-1</f>
        <v>0.13620403417537941</v>
      </c>
      <c r="C193" s="11" cm="1">
        <f t="array" ref="C193">(1+C192)*(1+INDEX(Data!$G:$G,717-(ROW()-5)))-1</f>
        <v>0.4716525934861282</v>
      </c>
      <c r="D193" s="11" cm="1">
        <f t="array" ref="D193">(1+D192)*(1+INDEX(Data!$H:$H,717-(ROW()-5)))-1</f>
        <v>0.15106412574766992</v>
      </c>
      <c r="E193" s="11" cm="1">
        <f t="array" ref="E193">(1+E192)*(1+INDEX(Data!$I:$I,717-(ROW()-5)))-1</f>
        <v>-2.1376656690895723E-3</v>
      </c>
    </row>
    <row r="194" spans="1:5" x14ac:dyDescent="0.2">
      <c r="A194" s="1" cm="1">
        <f t="array" ref="A194">INDEX(Data!$A:$A,717-(ROW()-5))</f>
        <v>45351</v>
      </c>
      <c r="B194" s="11" cm="1">
        <f t="array" ref="B194">(1+B193)*(1+INDEX(Data!$F:$F,717-(ROW()-5)))-1</f>
        <v>0.14600313524957853</v>
      </c>
      <c r="C194" s="11" cm="1">
        <f t="array" ref="C194">(1+C193)*(1+INDEX(Data!$G:$G,717-(ROW()-5)))-1</f>
        <v>0.4716525934861282</v>
      </c>
      <c r="D194" s="11" cm="1">
        <f t="array" ref="D194">(1+D193)*(1+INDEX(Data!$H:$H,717-(ROW()-5)))-1</f>
        <v>0.20962581722075391</v>
      </c>
      <c r="E194" s="11" cm="1">
        <f t="array" ref="E194">(1+E193)*(1+INDEX(Data!$I:$I,717-(ROW()-5)))-1</f>
        <v>4.3180846515604721E-2</v>
      </c>
    </row>
    <row r="195" spans="1:5" x14ac:dyDescent="0.2">
      <c r="A195" s="1" cm="1">
        <f t="array" ref="A195">INDEX(Data!$A:$A,717-(ROW()-5))</f>
        <v>45354</v>
      </c>
      <c r="B195" s="11" cm="1">
        <f t="array" ref="B195">(1+B194)*(1+INDEX(Data!$F:$F,717-(ROW()-5)))-1</f>
        <v>0.15554192962463986</v>
      </c>
      <c r="C195" s="11" cm="1">
        <f t="array" ref="C195">(1+C194)*(1+INDEX(Data!$G:$G,717-(ROW()-5)))-1</f>
        <v>0.45928829915560954</v>
      </c>
      <c r="D195" s="11" cm="1">
        <f t="array" ref="D195">(1+D194)*(1+INDEX(Data!$H:$H,717-(ROW()-5)))-1</f>
        <v>0.17568507441925152</v>
      </c>
      <c r="E195" s="11" cm="1">
        <f t="array" ref="E195">(1+E194)*(1+INDEX(Data!$I:$I,717-(ROW()-5)))-1</f>
        <v>4.7883710987601136E-2</v>
      </c>
    </row>
    <row r="196" spans="1:5" x14ac:dyDescent="0.2">
      <c r="A196" s="1" cm="1">
        <f t="array" ref="A196">INDEX(Data!$A:$A,717-(ROW()-5))</f>
        <v>45355</v>
      </c>
      <c r="B196" s="11" cm="1">
        <f t="array" ref="B196">(1+B195)*(1+INDEX(Data!$F:$F,717-(ROW()-5)))-1</f>
        <v>0.15486513220688236</v>
      </c>
      <c r="C196" s="11" cm="1">
        <f t="array" ref="C196">(1+C195)*(1+INDEX(Data!$G:$G,717-(ROW()-5)))-1</f>
        <v>0.46682750301568188</v>
      </c>
      <c r="D196" s="11" cm="1">
        <f t="array" ref="D196">(1+D195)*(1+INDEX(Data!$H:$H,717-(ROW()-5)))-1</f>
        <v>0.20336625399916519</v>
      </c>
      <c r="E196" s="11" cm="1">
        <f t="array" ref="E196">(1+E195)*(1+INDEX(Data!$I:$I,717-(ROW()-5)))-1</f>
        <v>4.3180846515604498E-2</v>
      </c>
    </row>
    <row r="197" spans="1:5" x14ac:dyDescent="0.2">
      <c r="A197" s="1" cm="1">
        <f t="array" ref="A197">INDEX(Data!$A:$A,717-(ROW()-5))</f>
        <v>45356</v>
      </c>
      <c r="B197" s="11" cm="1">
        <f t="array" ref="B197">(1+B196)*(1+INDEX(Data!$F:$F,717-(ROW()-5)))-1</f>
        <v>0.14721211525223943</v>
      </c>
      <c r="C197" s="11" cm="1">
        <f t="array" ref="C197">(1+C196)*(1+INDEX(Data!$G:$G,717-(ROW()-5)))-1</f>
        <v>0.47285886610373962</v>
      </c>
      <c r="D197" s="11" cm="1">
        <f t="array" ref="D197">(1+D196)*(1+INDEX(Data!$H:$H,717-(ROW()-5)))-1</f>
        <v>0.22423146473779365</v>
      </c>
      <c r="E197" s="11" cm="1">
        <f t="array" ref="E197">(1+E196)*(1+INDEX(Data!$I:$I,717-(ROW()-5)))-1</f>
        <v>4.1898247114150911E-2</v>
      </c>
    </row>
    <row r="198" spans="1:5" x14ac:dyDescent="0.2">
      <c r="A198" s="1" cm="1">
        <f t="array" ref="A198">INDEX(Data!$A:$A,717-(ROW()-5))</f>
        <v>45357</v>
      </c>
      <c r="B198" s="11" cm="1">
        <f t="array" ref="B198">(1+B197)*(1+INDEX(Data!$F:$F,717-(ROW()-5)))-1</f>
        <v>0.14975733631047272</v>
      </c>
      <c r="C198" s="11" cm="1">
        <f t="array" ref="C198">(1+C197)*(1+INDEX(Data!$G:$G,717-(ROW()-5)))-1</f>
        <v>0.45506634499396892</v>
      </c>
      <c r="D198" s="11" cm="1">
        <f t="array" ref="D198">(1+D197)*(1+INDEX(Data!$H:$H,717-(ROW()-5)))-1</f>
        <v>0.21602448184726653</v>
      </c>
      <c r="E198" s="11" cm="1">
        <f t="array" ref="E198">(1+E197)*(1+INDEX(Data!$I:$I,717-(ROW()-5)))-1</f>
        <v>4.1898247114150911E-2</v>
      </c>
    </row>
    <row r="199" spans="1:5" x14ac:dyDescent="0.2">
      <c r="A199" s="1" cm="1">
        <f t="array" ref="A199">INDEX(Data!$A:$A,717-(ROW()-5))</f>
        <v>45358</v>
      </c>
      <c r="B199" s="11" cm="1">
        <f t="array" ref="B199">(1+B198)*(1+INDEX(Data!$F:$F,717-(ROW()-5)))-1</f>
        <v>0.14001029657610142</v>
      </c>
      <c r="C199" s="11" cm="1">
        <f t="array" ref="C199">(1+C198)*(1+INDEX(Data!$G:$G,717-(ROW()-5)))-1</f>
        <v>0.43244873341375167</v>
      </c>
      <c r="D199" s="11" cm="1">
        <f t="array" ref="D199">(1+D198)*(1+INDEX(Data!$H:$H,717-(ROW()-5)))-1</f>
        <v>0.20364445680901366</v>
      </c>
      <c r="E199" s="11" cm="1">
        <f t="array" ref="E199">(1+E198)*(1+INDEX(Data!$I:$I,717-(ROW()-5)))-1</f>
        <v>4.1898247114150911E-2</v>
      </c>
    </row>
    <row r="200" spans="1:5" x14ac:dyDescent="0.2">
      <c r="A200" s="1" cm="1">
        <f t="array" ref="A200">INDEX(Data!$A:$A,717-(ROW()-5))</f>
        <v>45361</v>
      </c>
      <c r="B200" s="11" cm="1">
        <f t="array" ref="B200">(1+B199)*(1+INDEX(Data!$F:$F,717-(ROW()-5)))-1</f>
        <v>0.12681563922648631</v>
      </c>
      <c r="C200" s="11" cm="1">
        <f t="array" ref="C200">(1+C199)*(1+INDEX(Data!$G:$G,717-(ROW()-5)))-1</f>
        <v>0.42279855247285902</v>
      </c>
      <c r="D200" s="11" cm="1">
        <f t="array" ref="D200">(1+D199)*(1+INDEX(Data!$H:$H,717-(ROW()-5)))-1</f>
        <v>0.20072332730560571</v>
      </c>
      <c r="E200" s="11" cm="1">
        <f t="array" ref="E200">(1+E199)*(1+INDEX(Data!$I:$I,717-(ROW()-5)))-1</f>
        <v>4.1898247114150911E-2</v>
      </c>
    </row>
    <row r="201" spans="1:5" x14ac:dyDescent="0.2">
      <c r="A201" s="1" cm="1">
        <f t="array" ref="A201">INDEX(Data!$A:$A,717-(ROW()-5))</f>
        <v>45362</v>
      </c>
      <c r="B201" s="11" cm="1">
        <f t="array" ref="B201">(1+B200)*(1+INDEX(Data!$F:$F,717-(ROW()-5)))-1</f>
        <v>0.12489515424618292</v>
      </c>
      <c r="C201" s="11" cm="1">
        <f t="array" ref="C201">(1+C200)*(1+INDEX(Data!$G:$G,717-(ROW()-5)))-1</f>
        <v>0.44571773220747879</v>
      </c>
      <c r="D201" s="11" cm="1">
        <f t="array" ref="D201">(1+D200)*(1+INDEX(Data!$H:$H,717-(ROW()-5)))-1</f>
        <v>0.1997496174711364</v>
      </c>
      <c r="E201" s="11" cm="1">
        <f t="array" ref="E201">(1+E200)*(1+INDEX(Data!$I:$I,717-(ROW()-5)))-1</f>
        <v>4.2753313381786562E-2</v>
      </c>
    </row>
    <row r="202" spans="1:5" x14ac:dyDescent="0.2">
      <c r="A202" s="1" cm="1">
        <f t="array" ref="A202">INDEX(Data!$A:$A,717-(ROW()-5))</f>
        <v>45363</v>
      </c>
      <c r="B202" s="11" cm="1">
        <f t="array" ref="B202">(1+B201)*(1+INDEX(Data!$F:$F,717-(ROW()-5)))-1</f>
        <v>0.11857837834711238</v>
      </c>
      <c r="C202" s="11" cm="1">
        <f t="array" ref="C202">(1+C201)*(1+INDEX(Data!$G:$G,717-(ROW()-5)))-1</f>
        <v>0.43546441495778043</v>
      </c>
      <c r="D202" s="11" cm="1">
        <f t="array" ref="D202">(1+D201)*(1+INDEX(Data!$H:$H,717-(ROW()-5)))-1</f>
        <v>0.19209904020030599</v>
      </c>
      <c r="E202" s="11" cm="1">
        <f t="array" ref="E202">(1+E201)*(1+INDEX(Data!$I:$I,717-(ROW()-5)))-1</f>
        <v>4.2753313381786562E-2</v>
      </c>
    </row>
    <row r="203" spans="1:5" x14ac:dyDescent="0.2">
      <c r="A203" s="1" cm="1">
        <f t="array" ref="A203">INDEX(Data!$A:$A,717-(ROW()-5))</f>
        <v>45364</v>
      </c>
      <c r="B203" s="11" cm="1">
        <f t="array" ref="B203">(1+B202)*(1+INDEX(Data!$F:$F,717-(ROW()-5)))-1</f>
        <v>0.11901222284567492</v>
      </c>
      <c r="C203" s="11" cm="1">
        <f t="array" ref="C203">(1+C202)*(1+INDEX(Data!$G:$G,717-(ROW()-5)))-1</f>
        <v>0.45868516284680316</v>
      </c>
      <c r="D203" s="11" cm="1">
        <f t="array" ref="D203">(1+D202)*(1+INDEX(Data!$H:$H,717-(ROW()-5)))-1</f>
        <v>0.18124913061621917</v>
      </c>
      <c r="E203" s="11" cm="1">
        <f t="array" ref="E203">(1+E202)*(1+INDEX(Data!$I:$I,717-(ROW()-5)))-1</f>
        <v>4.2753313381786562E-2</v>
      </c>
    </row>
    <row r="204" spans="1:5" x14ac:dyDescent="0.2">
      <c r="A204" s="1" cm="1">
        <f t="array" ref="A204">INDEX(Data!$A:$A,717-(ROW()-5))</f>
        <v>45365</v>
      </c>
      <c r="B204" s="11" cm="1">
        <f t="array" ref="B204">(1+B203)*(1+INDEX(Data!$F:$F,717-(ROW()-5)))-1</f>
        <v>0.11126086780469113</v>
      </c>
      <c r="C204" s="11" cm="1">
        <f t="array" ref="C204">(1+C203)*(1+INDEX(Data!$G:$G,717-(ROW()-5)))-1</f>
        <v>0.46109770808202644</v>
      </c>
      <c r="D204" s="11" cm="1">
        <f t="array" ref="D204">(1+D203)*(1+INDEX(Data!$H:$H,717-(ROW()-5)))-1</f>
        <v>0.17930171094728053</v>
      </c>
      <c r="E204" s="11" cm="1">
        <f t="array" ref="E204">(1+E203)*(1+INDEX(Data!$I:$I,717-(ROW()-5)))-1</f>
        <v>4.2753313381786562E-2</v>
      </c>
    </row>
    <row r="205" spans="1:5" x14ac:dyDescent="0.2">
      <c r="A205" s="1" cm="1">
        <f t="array" ref="A205">INDEX(Data!$A:$A,717-(ROW()-5))</f>
        <v>45368</v>
      </c>
      <c r="B205" s="11" cm="1">
        <f t="array" ref="B205">(1+B204)*(1+INDEX(Data!$F:$F,717-(ROW()-5)))-1</f>
        <v>0.12591324266947623</v>
      </c>
      <c r="C205" s="11" cm="1">
        <f t="array" ref="C205">(1+C204)*(1+INDEX(Data!$G:$G,717-(ROW()-5)))-1</f>
        <v>0.47014475271411338</v>
      </c>
      <c r="D205" s="11" cm="1">
        <f t="array" ref="D205">(1+D204)*(1+INDEX(Data!$H:$H,717-(ROW()-5)))-1</f>
        <v>0.17109472805675341</v>
      </c>
      <c r="E205" s="11" cm="1">
        <f t="array" ref="E205">(1+E204)*(1+INDEX(Data!$I:$I,717-(ROW()-5)))-1</f>
        <v>2.6079521162889696E-2</v>
      </c>
    </row>
    <row r="206" spans="1:5" x14ac:dyDescent="0.2">
      <c r="A206" s="1" cm="1">
        <f t="array" ref="A206">INDEX(Data!$A:$A,717-(ROW()-5))</f>
        <v>45369</v>
      </c>
      <c r="B206" s="11" cm="1">
        <f t="array" ref="B206">(1+B205)*(1+INDEX(Data!$F:$F,717-(ROW()-5)))-1</f>
        <v>0.13951860614439715</v>
      </c>
      <c r="C206" s="11" cm="1">
        <f t="array" ref="C206">(1+C205)*(1+INDEX(Data!$G:$G,717-(ROW()-5)))-1</f>
        <v>0.47316043425814236</v>
      </c>
      <c r="D206" s="11" cm="1">
        <f t="array" ref="D206">(1+D205)*(1+INDEX(Data!$H:$H,717-(ROW()-5)))-1</f>
        <v>0.17123382946167753</v>
      </c>
      <c r="E206" s="11" cm="1">
        <f t="array" ref="E206">(1+E205)*(1+INDEX(Data!$I:$I,717-(ROW()-5)))-1</f>
        <v>2.6079521162889696E-2</v>
      </c>
    </row>
    <row r="207" spans="1:5" x14ac:dyDescent="0.2">
      <c r="A207" s="1" cm="1">
        <f t="array" ref="A207">INDEX(Data!$A:$A,717-(ROW()-5))</f>
        <v>45370</v>
      </c>
      <c r="B207" s="11" cm="1">
        <f t="array" ref="B207">(1+B206)*(1+INDEX(Data!$F:$F,717-(ROW()-5)))-1</f>
        <v>0.14606676577603417</v>
      </c>
      <c r="C207" s="11" cm="1">
        <f t="array" ref="C207">(1+C206)*(1+INDEX(Data!$G:$G,717-(ROW()-5)))-1</f>
        <v>0.45838359469240042</v>
      </c>
      <c r="D207" s="11" cm="1">
        <f t="array" ref="D207">(1+D206)*(1+INDEX(Data!$H:$H,717-(ROW()-5)))-1</f>
        <v>0.19042982334121583</v>
      </c>
      <c r="E207" s="11" cm="1">
        <f t="array" ref="E207">(1+E206)*(1+INDEX(Data!$I:$I,717-(ROW()-5)))-1</f>
        <v>2.6079521162889696E-2</v>
      </c>
    </row>
    <row r="208" spans="1:5" x14ac:dyDescent="0.2">
      <c r="A208" s="1" cm="1">
        <f t="array" ref="A208">INDEX(Data!$A:$A,717-(ROW()-5))</f>
        <v>45371</v>
      </c>
      <c r="B208" s="11" cm="1">
        <f t="array" ref="B208">(1+B207)*(1+INDEX(Data!$F:$F,717-(ROW()-5)))-1</f>
        <v>0.16181821337051105</v>
      </c>
      <c r="C208" s="11" cm="1">
        <f t="array" ref="C208">(1+C207)*(1+INDEX(Data!$G:$G,717-(ROW()-5)))-1</f>
        <v>0.46622436670687573</v>
      </c>
      <c r="D208" s="11" cm="1">
        <f t="array" ref="D208">(1+D207)*(1+INDEX(Data!$H:$H,717-(ROW()-5)))-1</f>
        <v>0.17401585756016136</v>
      </c>
      <c r="E208" s="11" cm="1">
        <f t="array" ref="E208">(1+E207)*(1+INDEX(Data!$I:$I,717-(ROW()-5)))-1</f>
        <v>2.6079521162889696E-2</v>
      </c>
    </row>
    <row r="209" spans="1:5" x14ac:dyDescent="0.2">
      <c r="A209" s="1" cm="1">
        <f t="array" ref="A209">INDEX(Data!$A:$A,717-(ROW()-5))</f>
        <v>45372</v>
      </c>
      <c r="B209" s="11" cm="1">
        <f t="array" ref="B209">(1+B208)*(1+INDEX(Data!$F:$F,717-(ROW()-5)))-1</f>
        <v>0.17095208621358093</v>
      </c>
      <c r="C209" s="11" cm="1">
        <f t="array" ref="C209">(1+C208)*(1+INDEX(Data!$G:$G,717-(ROW()-5)))-1</f>
        <v>0.46501809408926409</v>
      </c>
      <c r="D209" s="11" cm="1">
        <f t="array" ref="D209">(1+D208)*(1+INDEX(Data!$H:$H,717-(ROW()-5)))-1</f>
        <v>0.1862567811934901</v>
      </c>
      <c r="E209" s="11" cm="1">
        <f t="array" ref="E209">(1+E208)*(1+INDEX(Data!$I:$I,717-(ROW()-5)))-1</f>
        <v>2.9499786233432745E-2</v>
      </c>
    </row>
    <row r="210" spans="1:5" x14ac:dyDescent="0.2">
      <c r="A210" s="1" cm="1">
        <f t="array" ref="A210">INDEX(Data!$A:$A,717-(ROW()-5))</f>
        <v>45376</v>
      </c>
      <c r="B210" s="11" cm="1">
        <f t="array" ref="B210">(1+B209)*(1+INDEX(Data!$F:$F,717-(ROW()-5)))-1</f>
        <v>0.17923562383946812</v>
      </c>
      <c r="C210" s="11" cm="1">
        <f t="array" ref="C210">(1+C209)*(1+INDEX(Data!$G:$G,717-(ROW()-5)))-1</f>
        <v>0.45928829915560909</v>
      </c>
      <c r="D210" s="11" cm="1">
        <f t="array" ref="D210">(1+D209)*(1+INDEX(Data!$H:$H,717-(ROW()-5)))-1</f>
        <v>0.18611767978856597</v>
      </c>
      <c r="E210" s="11" cm="1">
        <f t="array" ref="E210">(1+E209)*(1+INDEX(Data!$I:$I,717-(ROW()-5)))-1</f>
        <v>3.4202650705429383E-2</v>
      </c>
    </row>
    <row r="211" spans="1:5" x14ac:dyDescent="0.2">
      <c r="A211" s="1" cm="1">
        <f t="array" ref="A211">INDEX(Data!$A:$A,717-(ROW()-5))</f>
        <v>45377</v>
      </c>
      <c r="B211" s="11" cm="1">
        <f t="array" ref="B211">(1+B210)*(1+INDEX(Data!$F:$F,717-(ROW()-5)))-1</f>
        <v>0.18053137274184161</v>
      </c>
      <c r="C211" s="11" cm="1">
        <f t="array" ref="C211">(1+C210)*(1+INDEX(Data!$G:$G,717-(ROW()-5)))-1</f>
        <v>0.43154402895054278</v>
      </c>
      <c r="D211" s="11" cm="1">
        <f t="array" ref="D211">(1+D210)*(1+INDEX(Data!$H:$H,717-(ROW()-5)))-1</f>
        <v>0.1884824036722772</v>
      </c>
      <c r="E211" s="11" cm="1">
        <f t="array" ref="E211">(1+E210)*(1+INDEX(Data!$I:$I,717-(ROW()-5)))-1</f>
        <v>3.5057716973065256E-2</v>
      </c>
    </row>
    <row r="212" spans="1:5" x14ac:dyDescent="0.2">
      <c r="A212" s="1" cm="1">
        <f t="array" ref="A212">INDEX(Data!$A:$A,717-(ROW()-5))</f>
        <v>45378</v>
      </c>
      <c r="B212" s="11" cm="1">
        <f t="array" ref="B212">(1+B211)*(1+INDEX(Data!$F:$F,717-(ROW()-5)))-1</f>
        <v>0.17680031005420371</v>
      </c>
      <c r="C212" s="11" cm="1">
        <f t="array" ref="C212">(1+C211)*(1+INDEX(Data!$G:$G,717-(ROW()-5)))-1</f>
        <v>0.43154402895054278</v>
      </c>
      <c r="D212" s="11" cm="1">
        <f t="array" ref="D212">(1+D211)*(1+INDEX(Data!$H:$H,717-(ROW()-5)))-1</f>
        <v>0.18597857838364185</v>
      </c>
      <c r="E212" s="11" cm="1">
        <f t="array" ref="E212">(1+E211)*(1+INDEX(Data!$I:$I,717-(ROW()-5)))-1</f>
        <v>2.6507054296707855E-2</v>
      </c>
    </row>
    <row r="213" spans="1:5" x14ac:dyDescent="0.2">
      <c r="A213" s="1" cm="1">
        <f t="array" ref="A213">INDEX(Data!$A:$A,717-(ROW()-5))</f>
        <v>45379</v>
      </c>
      <c r="B213" s="11" cm="1">
        <f t="array" ref="B213">(1+B212)*(1+INDEX(Data!$F:$F,717-(ROW()-5)))-1</f>
        <v>0.17621606612947294</v>
      </c>
      <c r="C213" s="11" cm="1">
        <f t="array" ref="C213">(1+C212)*(1+INDEX(Data!$G:$G,717-(ROW()-5)))-1</f>
        <v>0.42340168878166473</v>
      </c>
      <c r="D213" s="11" cm="1">
        <f t="array" ref="D213">(1+D212)*(1+INDEX(Data!$H:$H,717-(ROW()-5)))-1</f>
        <v>0.21978021978021989</v>
      </c>
      <c r="E213" s="11" cm="1">
        <f t="array" ref="E213">(1+E212)*(1+INDEX(Data!$I:$I,717-(ROW()-5)))-1</f>
        <v>2.6079521162889918E-2</v>
      </c>
    </row>
    <row r="214" spans="1:5" x14ac:dyDescent="0.2">
      <c r="A214" s="1" cm="1">
        <f t="array" ref="A214">INDEX(Data!$A:$A,717-(ROW()-5))</f>
        <v>45382</v>
      </c>
      <c r="B214" s="11" cm="1">
        <f t="array" ref="B214">(1+B213)*(1+INDEX(Data!$F:$F,717-(ROW()-5)))-1</f>
        <v>0.18211056671660919</v>
      </c>
      <c r="C214" s="11" cm="1">
        <f t="array" ref="C214">(1+C213)*(1+INDEX(Data!$G:$G,717-(ROW()-5)))-1</f>
        <v>0.4535585042219541</v>
      </c>
      <c r="D214" s="11" cm="1">
        <f t="array" ref="D214">(1+D213)*(1+INDEX(Data!$H:$H,717-(ROW()-5)))-1</f>
        <v>0.23076923076923084</v>
      </c>
      <c r="E214" s="11" cm="1">
        <f t="array" ref="E214">(1+E213)*(1+INDEX(Data!$I:$I,717-(ROW()-5)))-1</f>
        <v>2.6079521162889918E-2</v>
      </c>
    </row>
    <row r="215" spans="1:5" x14ac:dyDescent="0.2">
      <c r="A215" s="1" cm="1">
        <f t="array" ref="A215">INDEX(Data!$A:$A,717-(ROW()-5))</f>
        <v>45383</v>
      </c>
      <c r="B215" s="11" cm="1">
        <f t="array" ref="B215">(1+B214)*(1+INDEX(Data!$F:$F,717-(ROW()-5)))-1</f>
        <v>0.1791083627865564</v>
      </c>
      <c r="C215" s="11" cm="1">
        <f t="array" ref="C215">(1+C214)*(1+INDEX(Data!$G:$G,717-(ROW()-5)))-1</f>
        <v>0.4535585042219541</v>
      </c>
      <c r="D215" s="11" cm="1">
        <f t="array" ref="D215">(1+D214)*(1+INDEX(Data!$H:$H,717-(ROW()-5)))-1</f>
        <v>0.20712199193211855</v>
      </c>
      <c r="E215" s="11" cm="1">
        <f t="array" ref="E215">(1+E214)*(1+INDEX(Data!$I:$I,717-(ROW()-5)))-1</f>
        <v>2.6079521162889918E-2</v>
      </c>
    </row>
    <row r="216" spans="1:5" x14ac:dyDescent="0.2">
      <c r="A216" s="1" cm="1">
        <f t="array" ref="A216">INDEX(Data!$A:$A,717-(ROW()-5))</f>
        <v>45384</v>
      </c>
      <c r="B216" s="11" cm="1">
        <f t="array" ref="B216">(1+B215)*(1+INDEX(Data!$F:$F,717-(ROW()-5)))-1</f>
        <v>0.16105464705304118</v>
      </c>
      <c r="C216" s="11" cm="1">
        <f t="array" ref="C216">(1+C215)*(1+INDEX(Data!$G:$G,717-(ROW()-5)))-1</f>
        <v>0.42340168878166451</v>
      </c>
      <c r="D216" s="11" cm="1">
        <f t="array" ref="D216">(1+D215)*(1+INDEX(Data!$H:$H,717-(ROW()-5)))-1</f>
        <v>0.19321185143969966</v>
      </c>
      <c r="E216" s="11" cm="1">
        <f t="array" ref="E216">(1+E215)*(1+INDEX(Data!$I:$I,717-(ROW()-5)))-1</f>
        <v>2.6934587430525569E-2</v>
      </c>
    </row>
    <row r="217" spans="1:5" x14ac:dyDescent="0.2">
      <c r="A217" s="1" cm="1">
        <f t="array" ref="A217">INDEX(Data!$A:$A,717-(ROW()-5))</f>
        <v>45385</v>
      </c>
      <c r="B217" s="11" cm="1">
        <f t="array" ref="B217">(1+B216)*(1+INDEX(Data!$F:$F,717-(ROW()-5)))-1</f>
        <v>0.16122240025915202</v>
      </c>
      <c r="C217" s="11" cm="1">
        <f t="array" ref="C217">(1+C216)*(1+INDEX(Data!$G:$G,717-(ROW()-5)))-1</f>
        <v>0.39475271411338952</v>
      </c>
      <c r="D217" s="11" cm="1">
        <f t="array" ref="D217">(1+D216)*(1+INDEX(Data!$H:$H,717-(ROW()-5)))-1</f>
        <v>0.19015162053136736</v>
      </c>
      <c r="E217" s="11" cm="1">
        <f t="array" ref="E217">(1+E216)*(1+INDEX(Data!$I:$I,717-(ROW()-5)))-1</f>
        <v>1.3681060282171531E-2</v>
      </c>
    </row>
    <row r="218" spans="1:5" x14ac:dyDescent="0.2">
      <c r="A218" s="1" cm="1">
        <f t="array" ref="A218">INDEX(Data!$A:$A,717-(ROW()-5))</f>
        <v>45386</v>
      </c>
      <c r="B218" s="11" cm="1">
        <f t="array" ref="B218">(1+B217)*(1+INDEX(Data!$F:$F,717-(ROW()-5)))-1</f>
        <v>0.14281582433347229</v>
      </c>
      <c r="C218" s="11" cm="1">
        <f t="array" ref="C218">(1+C217)*(1+INDEX(Data!$G:$G,717-(ROW()-5)))-1</f>
        <v>0.3721351025331725</v>
      </c>
      <c r="D218" s="11" cm="1">
        <f t="array" ref="D218">(1+D217)*(1+INDEX(Data!$H:$H,717-(ROW()-5)))-1</f>
        <v>0.20141883433022678</v>
      </c>
      <c r="E218" s="11" cm="1">
        <f t="array" ref="E218">(1+E217)*(1+INDEX(Data!$I:$I,717-(ROW()-5)))-1</f>
        <v>1.3681060282171531E-2</v>
      </c>
    </row>
    <row r="219" spans="1:5" x14ac:dyDescent="0.2">
      <c r="A219" s="1" cm="1">
        <f t="array" ref="A219">INDEX(Data!$A:$A,717-(ROW()-5))</f>
        <v>45389</v>
      </c>
      <c r="B219" s="11" cm="1">
        <f t="array" ref="B219">(1+B218)*(1+INDEX(Data!$F:$F,717-(ROW()-5)))-1</f>
        <v>0.15669884828747316</v>
      </c>
      <c r="C219" s="11" cm="1">
        <f t="array" ref="C219">(1+C218)*(1+INDEX(Data!$G:$G,717-(ROW()-5)))-1</f>
        <v>0.37605548854041015</v>
      </c>
      <c r="D219" s="11" cm="1">
        <f t="array" ref="D219">(1+D218)*(1+INDEX(Data!$H:$H,717-(ROW()-5)))-1</f>
        <v>0.2100431214355265</v>
      </c>
      <c r="E219" s="11" cm="1">
        <f t="array" ref="E219">(1+E218)*(1+INDEX(Data!$I:$I,717-(ROW()-5)))-1</f>
        <v>1.3681060282171531E-2</v>
      </c>
    </row>
    <row r="220" spans="1:5" x14ac:dyDescent="0.2">
      <c r="A220" s="1" cm="1">
        <f t="array" ref="A220">INDEX(Data!$A:$A,717-(ROW()-5))</f>
        <v>45390</v>
      </c>
      <c r="B220" s="11" cm="1">
        <f t="array" ref="B220">(1+B219)*(1+INDEX(Data!$F:$F,717-(ROW()-5)))-1</f>
        <v>0.17180242143076341</v>
      </c>
      <c r="C220" s="11" cm="1">
        <f t="array" ref="C220">(1+C219)*(1+INDEX(Data!$G:$G,717-(ROW()-5)))-1</f>
        <v>0.39987937273823904</v>
      </c>
      <c r="D220" s="11" cm="1">
        <f t="array" ref="D220">(1+D219)*(1+INDEX(Data!$H:$H,717-(ROW()-5)))-1</f>
        <v>0.23591598275142567</v>
      </c>
      <c r="E220" s="11" cm="1">
        <f t="array" ref="E220">(1+E219)*(1+INDEX(Data!$I:$I,717-(ROW()-5)))-1</f>
        <v>1.3681060282171531E-2</v>
      </c>
    </row>
    <row r="221" spans="1:5" x14ac:dyDescent="0.2">
      <c r="A221" s="1" cm="1">
        <f t="array" ref="A221">INDEX(Data!$A:$A,717-(ROW()-5))</f>
        <v>45391</v>
      </c>
      <c r="B221" s="11" cm="1">
        <f t="array" ref="B221">(1+B220)*(1+INDEX(Data!$F:$F,717-(ROW()-5)))-1</f>
        <v>0.15964320628438422</v>
      </c>
      <c r="C221" s="11" cm="1">
        <f t="array" ref="C221">(1+C220)*(1+INDEX(Data!$G:$G,717-(ROW()-5)))-1</f>
        <v>0.39053075995174935</v>
      </c>
      <c r="D221" s="11" cm="1">
        <f t="array" ref="D221">(1+D220)*(1+INDEX(Data!$H:$H,717-(ROW()-5)))-1</f>
        <v>0.23605508415635001</v>
      </c>
      <c r="E221" s="11" cm="1">
        <f t="array" ref="E221">(1+E220)*(1+INDEX(Data!$I:$I,717-(ROW()-5)))-1</f>
        <v>-1.0260795211629148E-2</v>
      </c>
    </row>
    <row r="222" spans="1:5" x14ac:dyDescent="0.2">
      <c r="A222" s="1" cm="1">
        <f t="array" ref="A222">INDEX(Data!$A:$A,717-(ROW()-5))</f>
        <v>45392</v>
      </c>
      <c r="B222" s="11" cm="1">
        <f t="array" ref="B222">(1+B221)*(1+INDEX(Data!$F:$F,717-(ROW()-5)))-1</f>
        <v>0.14857149468106834</v>
      </c>
      <c r="C222" s="11" cm="1">
        <f t="array" ref="C222">(1+C221)*(1+INDEX(Data!$G:$G,717-(ROW()-5)))-1</f>
        <v>0.37424607961399303</v>
      </c>
      <c r="D222" s="11" cm="1">
        <f t="array" ref="D222">(1+D221)*(1+INDEX(Data!$H:$H,717-(ROW()-5)))-1</f>
        <v>0.232438447628321</v>
      </c>
      <c r="E222" s="11" cm="1">
        <f t="array" ref="E222">(1+E221)*(1+INDEX(Data!$I:$I,717-(ROW()-5)))-1</f>
        <v>-1.0260795211629148E-2</v>
      </c>
    </row>
    <row r="223" spans="1:5" x14ac:dyDescent="0.2">
      <c r="A223" s="1" cm="1">
        <f t="array" ref="A223">INDEX(Data!$A:$A,717-(ROW()-5))</f>
        <v>45393</v>
      </c>
      <c r="B223" s="11" cm="1">
        <f t="array" ref="B223">(1+B222)*(1+INDEX(Data!$F:$F,717-(ROW()-5)))-1</f>
        <v>0.12970793588356955</v>
      </c>
      <c r="C223" s="11" cm="1">
        <f t="array" ref="C223">(1+C222)*(1+INDEX(Data!$G:$G,717-(ROW()-5)))-1</f>
        <v>0.36369119420989171</v>
      </c>
      <c r="D223" s="11" cm="1">
        <f t="array" ref="D223">(1+D222)*(1+INDEX(Data!$H:$H,717-(ROW()-5)))-1</f>
        <v>0.22409236333286953</v>
      </c>
      <c r="E223" s="11" cm="1">
        <f t="array" ref="E223">(1+E222)*(1+INDEX(Data!$I:$I,717-(ROW()-5)))-1</f>
        <v>-1.0260795211629148E-2</v>
      </c>
    </row>
    <row r="224" spans="1:5" x14ac:dyDescent="0.2">
      <c r="A224" s="1" cm="1">
        <f t="array" ref="A224">INDEX(Data!$A:$A,717-(ROW()-5))</f>
        <v>45396</v>
      </c>
      <c r="B224" s="11" cm="1">
        <f t="array" ref="B224">(1+B223)*(1+INDEX(Data!$F:$F,717-(ROW()-5)))-1</f>
        <v>0.13322496861858313</v>
      </c>
      <c r="C224" s="11" cm="1">
        <f t="array" ref="C224">(1+C223)*(1+INDEX(Data!$G:$G,717-(ROW()-5)))-1</f>
        <v>0.36399276236429468</v>
      </c>
      <c r="D224" s="11" cm="1">
        <f t="array" ref="D224">(1+D223)*(1+INDEX(Data!$H:$H,717-(ROW()-5)))-1</f>
        <v>0.21950201697037119</v>
      </c>
      <c r="E224" s="11" cm="1">
        <f t="array" ref="E224">(1+E223)*(1+INDEX(Data!$I:$I,717-(ROW()-5)))-1</f>
        <v>-1.0260795211629148E-2</v>
      </c>
    </row>
    <row r="225" spans="1:5" x14ac:dyDescent="0.2">
      <c r="A225" s="1" cm="1">
        <f t="array" ref="A225">INDEX(Data!$A:$A,717-(ROW()-5))</f>
        <v>45397</v>
      </c>
      <c r="B225" s="11" cm="1">
        <f t="array" ref="B225">(1+B224)*(1+INDEX(Data!$F:$F,717-(ROW()-5)))-1</f>
        <v>0.12144175203762497</v>
      </c>
      <c r="C225" s="11" cm="1">
        <f t="array" ref="C225">(1+C224)*(1+INDEX(Data!$G:$G,717-(ROW()-5)))-1</f>
        <v>0.35102533172497008</v>
      </c>
      <c r="D225" s="11" cm="1">
        <f t="array" ref="D225">(1+D224)*(1+INDEX(Data!$H:$H,717-(ROW()-5)))-1</f>
        <v>0.21254694672416163</v>
      </c>
      <c r="E225" s="11" cm="1">
        <f t="array" ref="E225">(1+E224)*(1+INDEX(Data!$I:$I,717-(ROW()-5)))-1</f>
        <v>-1.0260795211629148E-2</v>
      </c>
    </row>
    <row r="226" spans="1:5" x14ac:dyDescent="0.2">
      <c r="A226" s="1" cm="1">
        <f t="array" ref="A226">INDEX(Data!$A:$A,717-(ROW()-5))</f>
        <v>45398</v>
      </c>
      <c r="B226" s="11" cm="1">
        <f t="array" ref="B226">(1+B225)*(1+INDEX(Data!$F:$F,717-(ROW()-5)))-1</f>
        <v>0.11774539690987207</v>
      </c>
      <c r="C226" s="11" cm="1">
        <f t="array" ref="C226">(1+C225)*(1+INDEX(Data!$G:$G,717-(ROW()-5)))-1</f>
        <v>0.33323281061519938</v>
      </c>
      <c r="D226" s="11" cm="1">
        <f t="array" ref="D226">(1+D225)*(1+INDEX(Data!$H:$H,717-(ROW()-5)))-1</f>
        <v>0.19613298094310716</v>
      </c>
      <c r="E226" s="11" cm="1">
        <f t="array" ref="E226">(1+E225)*(1+INDEX(Data!$I:$I,717-(ROW()-5)))-1</f>
        <v>-1.0260795211629148E-2</v>
      </c>
    </row>
    <row r="227" spans="1:5" x14ac:dyDescent="0.2">
      <c r="A227" s="1" cm="1">
        <f t="array" ref="A227">INDEX(Data!$A:$A,717-(ROW()-5))</f>
        <v>45399</v>
      </c>
      <c r="B227" s="11" cm="1">
        <f t="array" ref="B227">(1+B226)*(1+INDEX(Data!$F:$F,717-(ROW()-5)))-1</f>
        <v>0.10639602482747623</v>
      </c>
      <c r="C227" s="11" cm="1">
        <f t="array" ref="C227">(1+C226)*(1+INDEX(Data!$G:$G,717-(ROW()-5)))-1</f>
        <v>0.31212303980699674</v>
      </c>
      <c r="D227" s="11" cm="1">
        <f t="array" ref="D227">(1+D226)*(1+INDEX(Data!$H:$H,717-(ROW()-5)))-1</f>
        <v>0.19613298094310716</v>
      </c>
      <c r="E227" s="11" cm="1">
        <f t="array" ref="E227">(1+E226)*(1+INDEX(Data!$I:$I,717-(ROW()-5)))-1</f>
        <v>-1.0260795211629148E-2</v>
      </c>
    </row>
    <row r="228" spans="1:5" x14ac:dyDescent="0.2">
      <c r="A228" s="1" cm="1">
        <f t="array" ref="A228">INDEX(Data!$A:$A,717-(ROW()-5))</f>
        <v>45400</v>
      </c>
      <c r="B228" s="11" cm="1">
        <f t="array" ref="B228">(1+B227)*(1+INDEX(Data!$F:$F,717-(ROW()-5)))-1</f>
        <v>0.11872877777328017</v>
      </c>
      <c r="C228" s="11" cm="1">
        <f t="array" ref="C228">(1+C227)*(1+INDEX(Data!$G:$G,717-(ROW()-5)))-1</f>
        <v>0.30126658624849245</v>
      </c>
      <c r="D228" s="11" cm="1">
        <f t="array" ref="D228">(1+D227)*(1+INDEX(Data!$H:$H,717-(ROW()-5)))-1</f>
        <v>0.18681318681318659</v>
      </c>
      <c r="E228" s="11" cm="1">
        <f t="array" ref="E228">(1+E227)*(1+INDEX(Data!$I:$I,717-(ROW()-5)))-1</f>
        <v>-1.0260795211629148E-2</v>
      </c>
    </row>
    <row r="229" spans="1:5" x14ac:dyDescent="0.2">
      <c r="A229" s="1" cm="1">
        <f t="array" ref="A229">INDEX(Data!$A:$A,717-(ROW()-5))</f>
        <v>45403</v>
      </c>
      <c r="B229" s="11" cm="1">
        <f t="array" ref="B229">(1+B228)*(1+INDEX(Data!$F:$F,717-(ROW()-5)))-1</f>
        <v>0.13225315694180284</v>
      </c>
      <c r="C229" s="11" cm="1">
        <f t="array" ref="C229">(1+C228)*(1+INDEX(Data!$G:$G,717-(ROW()-5)))-1</f>
        <v>0.36007237635705702</v>
      </c>
      <c r="D229" s="11" cm="1">
        <f t="array" ref="D229">(1+D228)*(1+INDEX(Data!$H:$H,717-(ROW()-5)))-1</f>
        <v>0.18152733342606742</v>
      </c>
      <c r="E229" s="11" cm="1">
        <f t="array" ref="E229">(1+E228)*(1+INDEX(Data!$I:$I,717-(ROW()-5)))-1</f>
        <v>-1.0260795211629148E-2</v>
      </c>
    </row>
    <row r="230" spans="1:5" x14ac:dyDescent="0.2">
      <c r="A230" s="1" cm="1">
        <f t="array" ref="A230">INDEX(Data!$A:$A,717-(ROW()-5))</f>
        <v>45406</v>
      </c>
      <c r="B230" s="11" cm="1">
        <f t="array" ref="B230">(1+B229)*(1+INDEX(Data!$F:$F,717-(ROW()-5)))-1</f>
        <v>0.13507025388580218</v>
      </c>
      <c r="C230" s="11" cm="1">
        <f t="array" ref="C230">(1+C229)*(1+INDEX(Data!$G:$G,717-(ROW()-5)))-1</f>
        <v>0.39626055488540435</v>
      </c>
      <c r="D230" s="11" cm="1">
        <f t="array" ref="D230">(1+D229)*(1+INDEX(Data!$H:$H,717-(ROW()-5)))-1</f>
        <v>0.17540687160940305</v>
      </c>
      <c r="E230" s="11" cm="1">
        <f t="array" ref="E230">(1+E229)*(1+INDEX(Data!$I:$I,717-(ROW()-5)))-1</f>
        <v>-1.0260795211629148E-2</v>
      </c>
    </row>
    <row r="231" spans="1:5" x14ac:dyDescent="0.2">
      <c r="A231" s="1" cm="1">
        <f t="array" ref="A231">INDEX(Data!$A:$A,717-(ROW()-5))</f>
        <v>45407</v>
      </c>
      <c r="B231" s="11" cm="1">
        <f t="array" ref="B231">(1+B230)*(1+INDEX(Data!$F:$F,717-(ROW()-5)))-1</f>
        <v>0.12704702295905235</v>
      </c>
      <c r="C231" s="11" cm="1">
        <f t="array" ref="C231">(1+C230)*(1+INDEX(Data!$G:$G,717-(ROW()-5)))-1</f>
        <v>0.3751507840772017</v>
      </c>
      <c r="D231" s="11" cm="1">
        <f t="array" ref="D231">(1+D230)*(1+INDEX(Data!$H:$H,717-(ROW()-5)))-1</f>
        <v>0.20420086242871038</v>
      </c>
      <c r="E231" s="11" cm="1">
        <f t="array" ref="E231">(1+E230)*(1+INDEX(Data!$I:$I,717-(ROW()-5)))-1</f>
        <v>-1.0260795211629148E-2</v>
      </c>
    </row>
    <row r="232" spans="1:5" x14ac:dyDescent="0.2">
      <c r="A232" s="1" cm="1">
        <f t="array" ref="A232">INDEX(Data!$A:$A,717-(ROW()-5))</f>
        <v>45412</v>
      </c>
      <c r="B232" s="11" cm="1">
        <f t="array" ref="B232">(1+B231)*(1+INDEX(Data!$F:$F,717-(ROW()-5)))-1</f>
        <v>0.13998715820284402</v>
      </c>
      <c r="C232" s="11" cm="1">
        <f t="array" ref="C232">(1+C231)*(1+INDEX(Data!$G:$G,717-(ROW()-5)))-1</f>
        <v>0.37153196622436702</v>
      </c>
      <c r="D232" s="11" cm="1">
        <f t="array" ref="D232">(1+D231)*(1+INDEX(Data!$H:$H,717-(ROW()-5)))-1</f>
        <v>0.20433996383363473</v>
      </c>
      <c r="E232" s="11" cm="1">
        <f t="array" ref="E232">(1+E231)*(1+INDEX(Data!$I:$I,717-(ROW()-5)))-1</f>
        <v>-1.0260795211629148E-2</v>
      </c>
    </row>
    <row r="233" spans="1:5" x14ac:dyDescent="0.2">
      <c r="A233" s="1" cm="1">
        <f t="array" ref="A233">INDEX(Data!$A:$A,717-(ROW()-5))</f>
        <v>45413</v>
      </c>
      <c r="B233" s="11" cm="1">
        <f t="array" ref="B233">(1+B232)*(1+INDEX(Data!$F:$F,717-(ROW()-5)))-1</f>
        <v>0.13111937665222584</v>
      </c>
      <c r="C233" s="11" cm="1">
        <f t="array" ref="C233">(1+C232)*(1+INDEX(Data!$G:$G,717-(ROW()-5)))-1</f>
        <v>0.37424607961399325</v>
      </c>
      <c r="D233" s="11" cm="1">
        <f t="array" ref="D233">(1+D232)*(1+INDEX(Data!$H:$H,717-(ROW()-5)))-1</f>
        <v>0.18500486854917231</v>
      </c>
      <c r="E233" s="11" cm="1">
        <f t="array" ref="E233">(1+E232)*(1+INDEX(Data!$I:$I,717-(ROW()-5)))-1</f>
        <v>-1.0260795211629148E-2</v>
      </c>
    </row>
    <row r="234" spans="1:5" x14ac:dyDescent="0.2">
      <c r="A234" s="1" cm="1">
        <f t="array" ref="A234">INDEX(Data!$A:$A,717-(ROW()-5))</f>
        <v>45414</v>
      </c>
      <c r="B234" s="11" cm="1">
        <f t="array" ref="B234">(1+B233)*(1+INDEX(Data!$F:$F,717-(ROW()-5)))-1</f>
        <v>0.13502397713928849</v>
      </c>
      <c r="C234" s="11" cm="1">
        <f t="array" ref="C234">(1+C233)*(1+INDEX(Data!$G:$G,717-(ROW()-5)))-1</f>
        <v>0.37424607961399325</v>
      </c>
      <c r="D234" s="11" cm="1">
        <f t="array" ref="D234">(1+D233)*(1+INDEX(Data!$H:$H,717-(ROW()-5)))-1</f>
        <v>0.1505077201279732</v>
      </c>
      <c r="E234" s="11" cm="1">
        <f t="array" ref="E234">(1+E233)*(1+INDEX(Data!$I:$I,717-(ROW()-5)))-1</f>
        <v>-1.0260795211629148E-2</v>
      </c>
    </row>
    <row r="235" spans="1:5" x14ac:dyDescent="0.2">
      <c r="A235" s="1" cm="1">
        <f t="array" ref="A235">INDEX(Data!$A:$A,717-(ROW()-5))</f>
        <v>45417</v>
      </c>
      <c r="B235" s="11" cm="1">
        <f t="array" ref="B235">(1+B234)*(1+INDEX(Data!$F:$F,717-(ROW()-5)))-1</f>
        <v>0.14079700126682737</v>
      </c>
      <c r="C235" s="11" cm="1">
        <f t="array" ref="C235">(1+C234)*(1+INDEX(Data!$G:$G,717-(ROW()-5)))-1</f>
        <v>0.35856453558504264</v>
      </c>
      <c r="D235" s="11" cm="1">
        <f t="array" ref="D235">(1+D234)*(1+INDEX(Data!$H:$H,717-(ROW()-5)))-1</f>
        <v>0.14522186674085402</v>
      </c>
      <c r="E235" s="11" cm="1">
        <f t="array" ref="E235">(1+E234)*(1+INDEX(Data!$I:$I,717-(ROW()-5)))-1</f>
        <v>-1.0260795211629148E-2</v>
      </c>
    </row>
    <row r="236" spans="1:5" x14ac:dyDescent="0.2">
      <c r="A236" s="1" cm="1">
        <f t="array" ref="A236">INDEX(Data!$A:$A,717-(ROW()-5))</f>
        <v>45418</v>
      </c>
      <c r="B236" s="11" cm="1">
        <f t="array" ref="B236">(1+B235)*(1+INDEX(Data!$F:$F,717-(ROW()-5)))-1</f>
        <v>0.13773116681031872</v>
      </c>
      <c r="C236" s="11" cm="1">
        <f t="array" ref="C236">(1+C235)*(1+INDEX(Data!$G:$G,717-(ROW()-5)))-1</f>
        <v>0.3311218335343793</v>
      </c>
      <c r="D236" s="11" cm="1">
        <f t="array" ref="D236">(1+D235)*(1+INDEX(Data!$H:$H,717-(ROW()-5)))-1</f>
        <v>0.1178188899707886</v>
      </c>
      <c r="E236" s="11" cm="1">
        <f t="array" ref="E236">(1+E235)*(1+INDEX(Data!$I:$I,717-(ROW()-5)))-1</f>
        <v>-1.0260795211629148E-2</v>
      </c>
    </row>
    <row r="237" spans="1:5" x14ac:dyDescent="0.2">
      <c r="A237" s="1" cm="1">
        <f t="array" ref="A237">INDEX(Data!$A:$A,717-(ROW()-5))</f>
        <v>45419</v>
      </c>
      <c r="B237" s="11" cm="1">
        <f t="array" ref="B237">(1+B236)*(1+INDEX(Data!$F:$F,717-(ROW()-5)))-1</f>
        <v>0.15509073134613405</v>
      </c>
      <c r="C237" s="11" cm="1">
        <f t="array" ref="C237">(1+C236)*(1+INDEX(Data!$G:$G,717-(ROW()-5)))-1</f>
        <v>0.3510253317249703</v>
      </c>
      <c r="D237" s="11" cm="1">
        <f t="array" ref="D237">(1+D236)*(1+INDEX(Data!$H:$H,717-(ROW()-5)))-1</f>
        <v>0.12310474335790778</v>
      </c>
      <c r="E237" s="11" cm="1">
        <f t="array" ref="E237">(1+E236)*(1+INDEX(Data!$I:$I,717-(ROW()-5)))-1</f>
        <v>-1.0260795211629148E-2</v>
      </c>
    </row>
    <row r="238" spans="1:5" x14ac:dyDescent="0.2">
      <c r="A238" s="1" cm="1">
        <f t="array" ref="A238">INDEX(Data!$A:$A,717-(ROW()-5))</f>
        <v>45420</v>
      </c>
      <c r="B238" s="11" cm="1">
        <f t="array" ref="B238">(1+B237)*(1+INDEX(Data!$F:$F,717-(ROW()-5)))-1</f>
        <v>0.16087532466030119</v>
      </c>
      <c r="C238" s="11" cm="1">
        <f t="array" ref="C238">(1+C237)*(1+INDEX(Data!$G:$G,717-(ROW()-5)))-1</f>
        <v>0.34951749095295592</v>
      </c>
      <c r="D238" s="11" cm="1">
        <f t="array" ref="D238">(1+D237)*(1+INDEX(Data!$H:$H,717-(ROW()-5)))-1</f>
        <v>0.14883850326888282</v>
      </c>
      <c r="E238" s="11" cm="1">
        <f t="array" ref="E238">(1+E237)*(1+INDEX(Data!$I:$I,717-(ROW()-5)))-1</f>
        <v>-1.0260795211629148E-2</v>
      </c>
    </row>
    <row r="239" spans="1:5" x14ac:dyDescent="0.2">
      <c r="A239" s="1" cm="1">
        <f t="array" ref="A239">INDEX(Data!$A:$A,717-(ROW()-5))</f>
        <v>45421</v>
      </c>
      <c r="B239" s="11" cm="1">
        <f t="array" ref="B239">(1+B238)*(1+INDEX(Data!$F:$F,717-(ROW()-5)))-1</f>
        <v>0.17071491788769944</v>
      </c>
      <c r="C239" s="11" cm="1">
        <f t="array" ref="C239">(1+C238)*(1+INDEX(Data!$G:$G,717-(ROW()-5)))-1</f>
        <v>0.3582629674306399</v>
      </c>
      <c r="D239" s="11" cm="1">
        <f t="array" ref="D239">(1+D238)*(1+INDEX(Data!$H:$H,717-(ROW()-5)))-1</f>
        <v>0.14953401029350366</v>
      </c>
      <c r="E239" s="11" cm="1">
        <f t="array" ref="E239">(1+E238)*(1+INDEX(Data!$I:$I,717-(ROW()-5)))-1</f>
        <v>-1.0260795211629148E-2</v>
      </c>
    </row>
    <row r="240" spans="1:5" x14ac:dyDescent="0.2">
      <c r="A240" s="1" cm="1">
        <f t="array" ref="A240">INDEX(Data!$A:$A,717-(ROW()-5))</f>
        <v>45424</v>
      </c>
      <c r="B240" s="11" cm="1">
        <f t="array" ref="B240">(1+B239)*(1+INDEX(Data!$F:$F,717-(ROW()-5)))-1</f>
        <v>0.17493767100704138</v>
      </c>
      <c r="C240" s="11" cm="1">
        <f t="array" ref="C240">(1+C239)*(1+INDEX(Data!$G:$G,717-(ROW()-5)))-1</f>
        <v>0.36097708082026592</v>
      </c>
      <c r="D240" s="11" cm="1">
        <f t="array" ref="D240">(1+D239)*(1+INDEX(Data!$H:$H,717-(ROW()-5)))-1</f>
        <v>0.13451105856169132</v>
      </c>
      <c r="E240" s="11" cm="1">
        <f t="array" ref="E240">(1+E239)*(1+INDEX(Data!$I:$I,717-(ROW()-5)))-1</f>
        <v>-5.0876442924326915E-2</v>
      </c>
    </row>
    <row r="241" spans="1:5" x14ac:dyDescent="0.2">
      <c r="A241" s="1" cm="1">
        <f t="array" ref="A241">INDEX(Data!$A:$A,717-(ROW()-5))</f>
        <v>45427</v>
      </c>
      <c r="B241" s="11" cm="1">
        <f t="array" ref="B241">(1+B240)*(1+INDEX(Data!$F:$F,717-(ROW()-5)))-1</f>
        <v>0.1762218507227864</v>
      </c>
      <c r="C241" s="11" cm="1">
        <f t="array" ref="C241">(1+C240)*(1+INDEX(Data!$G:$G,717-(ROW()-5)))-1</f>
        <v>0.37062726176115857</v>
      </c>
      <c r="D241" s="11" cm="1">
        <f t="array" ref="D241">(1+D240)*(1+INDEX(Data!$H:$H,717-(ROW()-5)))-1</f>
        <v>0.12616497426624007</v>
      </c>
      <c r="E241" s="11" cm="1">
        <f t="array" ref="E241">(1+E240)*(1+INDEX(Data!$I:$I,717-(ROW()-5)))-1</f>
        <v>-4.8738777255237453E-2</v>
      </c>
    </row>
    <row r="242" spans="1:5" x14ac:dyDescent="0.2">
      <c r="A242" s="1" cm="1">
        <f t="array" ref="A242">INDEX(Data!$A:$A,717-(ROW()-5))</f>
        <v>45428</v>
      </c>
      <c r="B242" s="11" cm="1">
        <f t="array" ref="B242">(1+B241)*(1+INDEX(Data!$F:$F,717-(ROW()-5)))-1</f>
        <v>0.155183284839161</v>
      </c>
      <c r="C242" s="11" cm="1">
        <f t="array" ref="C242">(1+C241)*(1+INDEX(Data!$G:$G,717-(ROW()-5)))-1</f>
        <v>0.32448733413751563</v>
      </c>
      <c r="D242" s="11" cm="1">
        <f t="array" ref="D242">(1+D241)*(1+INDEX(Data!$H:$H,717-(ROW()-5)))-1</f>
        <v>0.11128112393935186</v>
      </c>
      <c r="E242" s="11" cm="1">
        <f t="array" ref="E242">(1+E241)*(1+INDEX(Data!$I:$I,717-(ROW()-5)))-1</f>
        <v>-4.8738777255237453E-2</v>
      </c>
    </row>
    <row r="243" spans="1:5" x14ac:dyDescent="0.2">
      <c r="A243" s="1" cm="1">
        <f t="array" ref="A243">INDEX(Data!$A:$A,717-(ROW()-5))</f>
        <v>45431</v>
      </c>
      <c r="B243" s="11" cm="1">
        <f t="array" ref="B243">(1+B242)*(1+INDEX(Data!$F:$F,717-(ROW()-5)))-1</f>
        <v>0.13924094566531653</v>
      </c>
      <c r="C243" s="11" cm="1">
        <f t="array" ref="C243">(1+C242)*(1+INDEX(Data!$G:$G,717-(ROW()-5)))-1</f>
        <v>0.30247285886610431</v>
      </c>
      <c r="D243" s="11" cm="1">
        <f t="array" ref="D243">(1+D242)*(1+INDEX(Data!$H:$H,717-(ROW()-5)))-1</f>
        <v>9.0415913200723397E-2</v>
      </c>
      <c r="E243" s="11" cm="1">
        <f t="array" ref="E243">(1+E242)*(1+INDEX(Data!$I:$I,717-(ROW()-5)))-1</f>
        <v>-4.8738777255237453E-2</v>
      </c>
    </row>
    <row r="244" spans="1:5" x14ac:dyDescent="0.2">
      <c r="A244" s="1" cm="1">
        <f t="array" ref="A244">INDEX(Data!$A:$A,717-(ROW()-5))</f>
        <v>45432</v>
      </c>
      <c r="B244" s="11" cm="1">
        <f t="array" ref="B244">(1+B243)*(1+INDEX(Data!$F:$F,717-(ROW()-5)))-1</f>
        <v>0.15026059592880459</v>
      </c>
      <c r="C244" s="11" cm="1">
        <f t="array" ref="C244">(1+C243)*(1+INDEX(Data!$G:$G,717-(ROW()-5)))-1</f>
        <v>0.29885404101326962</v>
      </c>
      <c r="D244" s="11" cm="1">
        <f t="array" ref="D244">(1+D243)*(1+INDEX(Data!$H:$H,717-(ROW()-5)))-1</f>
        <v>0.10641257476700505</v>
      </c>
      <c r="E244" s="11" cm="1">
        <f t="array" ref="E244">(1+E243)*(1+INDEX(Data!$I:$I,717-(ROW()-5)))-1</f>
        <v>-4.9593843522873216E-2</v>
      </c>
    </row>
    <row r="245" spans="1:5" x14ac:dyDescent="0.2">
      <c r="A245" s="1" cm="1">
        <f t="array" ref="A245">INDEX(Data!$A:$A,717-(ROW()-5))</f>
        <v>45433</v>
      </c>
      <c r="B245" s="11" cm="1">
        <f t="array" ref="B245">(1+B244)*(1+INDEX(Data!$F:$F,717-(ROW()-5)))-1</f>
        <v>0.14296043916632573</v>
      </c>
      <c r="C245" s="11" cm="1">
        <f t="array" ref="C245">(1+C244)*(1+INDEX(Data!$G:$G,717-(ROW()-5)))-1</f>
        <v>0.28166465621230463</v>
      </c>
      <c r="D245" s="11" cm="1">
        <f t="array" ref="D245">(1+D244)*(1+INDEX(Data!$H:$H,717-(ROW()-5)))-1</f>
        <v>0.11267213798859355</v>
      </c>
      <c r="E245" s="11" cm="1">
        <f t="array" ref="E245">(1+E244)*(1+INDEX(Data!$I:$I,717-(ROW()-5)))-1</f>
        <v>-4.8738777255237453E-2</v>
      </c>
    </row>
    <row r="246" spans="1:5" x14ac:dyDescent="0.2">
      <c r="A246" s="1" cm="1">
        <f t="array" ref="A246">INDEX(Data!$A:$A,717-(ROW()-5))</f>
        <v>45434</v>
      </c>
      <c r="B246" s="11" cm="1">
        <f t="array" ref="B246">(1+B245)*(1+INDEX(Data!$F:$F,717-(ROW()-5)))-1</f>
        <v>0.13861042499407206</v>
      </c>
      <c r="C246" s="11" cm="1">
        <f t="array" ref="C246">(1+C245)*(1+INDEX(Data!$G:$G,717-(ROW()-5)))-1</f>
        <v>0.26809408926417433</v>
      </c>
      <c r="D246" s="11" cm="1">
        <f t="array" ref="D246">(1+D245)*(1+INDEX(Data!$H:$H,717-(ROW()-5)))-1</f>
        <v>0.12087912087912067</v>
      </c>
      <c r="E246" s="11" cm="1">
        <f t="array" ref="E246">(1+E245)*(1+INDEX(Data!$I:$I,717-(ROW()-5)))-1</f>
        <v>-6.541256947413443E-2</v>
      </c>
    </row>
    <row r="247" spans="1:5" x14ac:dyDescent="0.2">
      <c r="A247" s="1" cm="1">
        <f t="array" ref="A247">INDEX(Data!$A:$A,717-(ROW()-5))</f>
        <v>45435</v>
      </c>
      <c r="B247" s="11" cm="1">
        <f t="array" ref="B247">(1+B246)*(1+INDEX(Data!$F:$F,717-(ROW()-5)))-1</f>
        <v>0.13654532518091433</v>
      </c>
      <c r="C247" s="11" cm="1">
        <f t="array" ref="C247">(1+C246)*(1+INDEX(Data!$G:$G,717-(ROW()-5)))-1</f>
        <v>0.25301568154402965</v>
      </c>
      <c r="D247" s="11" cm="1">
        <f t="array" ref="D247">(1+D246)*(1+INDEX(Data!$H:$H,717-(ROW()-5)))-1</f>
        <v>0.11573236889692562</v>
      </c>
      <c r="E247" s="11" cm="1">
        <f t="array" ref="E247">(1+E246)*(1+INDEX(Data!$I:$I,717-(ROW()-5)))-1</f>
        <v>-6.541256947413443E-2</v>
      </c>
    </row>
    <row r="248" spans="1:5" x14ac:dyDescent="0.2">
      <c r="A248" s="1" cm="1">
        <f t="array" ref="A248">INDEX(Data!$A:$A,717-(ROW()-5))</f>
        <v>45438</v>
      </c>
      <c r="B248" s="11" cm="1">
        <f t="array" ref="B248">(1+B247)*(1+INDEX(Data!$F:$F,717-(ROW()-5)))-1</f>
        <v>0.13812451915568191</v>
      </c>
      <c r="C248" s="11" cm="1">
        <f t="array" ref="C248">(1+C247)*(1+INDEX(Data!$G:$G,717-(ROW()-5)))-1</f>
        <v>0.31393244873341453</v>
      </c>
      <c r="D248" s="11" cm="1">
        <f t="array" ref="D248">(1+D247)*(1+INDEX(Data!$H:$H,717-(ROW()-5)))-1</f>
        <v>0.10822089303101934</v>
      </c>
      <c r="E248" s="11" cm="1">
        <f t="array" ref="E248">(1+E247)*(1+INDEX(Data!$I:$I,717-(ROW()-5)))-1</f>
        <v>-6.541256947413443E-2</v>
      </c>
    </row>
    <row r="249" spans="1:5" x14ac:dyDescent="0.2">
      <c r="A249" s="1" cm="1">
        <f t="array" ref="A249">INDEX(Data!$A:$A,717-(ROW()-5))</f>
        <v>45439</v>
      </c>
      <c r="B249" s="11" cm="1">
        <f t="array" ref="B249">(1+B248)*(1+INDEX(Data!$F:$F,717-(ROW()-5)))-1</f>
        <v>0.13699073886610513</v>
      </c>
      <c r="C249" s="11" cm="1">
        <f t="array" ref="C249">(1+C248)*(1+INDEX(Data!$G:$G,717-(ROW()-5)))-1</f>
        <v>0.30186972255729883</v>
      </c>
      <c r="D249" s="11" cm="1">
        <f t="array" ref="D249">(1+D248)*(1+INDEX(Data!$H:$H,717-(ROW()-5)))-1</f>
        <v>9.0555014605647299E-2</v>
      </c>
      <c r="E249" s="11" cm="1">
        <f t="array" ref="E249">(1+E248)*(1+INDEX(Data!$I:$I,717-(ROW()-5)))-1</f>
        <v>-6.7977768277041606E-2</v>
      </c>
    </row>
    <row r="250" spans="1:5" x14ac:dyDescent="0.2">
      <c r="A250" s="1" cm="1">
        <f t="array" ref="A250">INDEX(Data!$A:$A,717-(ROW()-5))</f>
        <v>45440</v>
      </c>
      <c r="B250" s="11" cm="1">
        <f t="array" ref="B250">(1+B249)*(1+INDEX(Data!$F:$F,717-(ROW()-5)))-1</f>
        <v>0.1483458955418151</v>
      </c>
      <c r="C250" s="11" cm="1">
        <f t="array" ref="C250">(1+C249)*(1+INDEX(Data!$G:$G,717-(ROW()-5)))-1</f>
        <v>0.30880579010856546</v>
      </c>
      <c r="D250" s="11" cm="1">
        <f t="array" ref="D250">(1+D249)*(1+INDEX(Data!$H:$H,717-(ROW()-5)))-1</f>
        <v>0.11698428154124341</v>
      </c>
      <c r="E250" s="11" cm="1">
        <f t="array" ref="E250">(1+E249)*(1+INDEX(Data!$I:$I,717-(ROW()-5)))-1</f>
        <v>-6.7977768277041606E-2</v>
      </c>
    </row>
    <row r="251" spans="1:5" x14ac:dyDescent="0.2">
      <c r="A251" s="1" cm="1">
        <f t="array" ref="A251">INDEX(Data!$A:$A,717-(ROW()-5))</f>
        <v>45441</v>
      </c>
      <c r="B251" s="11" cm="1">
        <f t="array" ref="B251">(1+B250)*(1+INDEX(Data!$F:$F,717-(ROW()-5)))-1</f>
        <v>0.15105308521284533</v>
      </c>
      <c r="C251" s="11" cm="1">
        <f t="array" ref="C251">(1+C250)*(1+INDEX(Data!$G:$G,717-(ROW()-5)))-1</f>
        <v>0.30880579010856546</v>
      </c>
      <c r="D251" s="11" cm="1">
        <f t="array" ref="D251">(1+D250)*(1+INDEX(Data!$H:$H,717-(ROW()-5)))-1</f>
        <v>0.11364584782306286</v>
      </c>
      <c r="E251" s="11" cm="1">
        <f t="array" ref="E251">(1+E250)*(1+INDEX(Data!$I:$I,717-(ROW()-5)))-1</f>
        <v>-6.7977768277041606E-2</v>
      </c>
    </row>
    <row r="252" spans="1:5" x14ac:dyDescent="0.2">
      <c r="A252" s="1" cm="1">
        <f t="array" ref="A252">INDEX(Data!$A:$A,717-(ROW()-5))</f>
        <v>45442</v>
      </c>
      <c r="B252" s="11" cm="1">
        <f t="array" ref="B252">(1+B251)*(1+INDEX(Data!$F:$F,717-(ROW()-5)))-1</f>
        <v>0.15311818502600305</v>
      </c>
      <c r="C252" s="11" cm="1">
        <f t="array" ref="C252">(1+C251)*(1+INDEX(Data!$G:$G,717-(ROW()-5)))-1</f>
        <v>0.28739445114595985</v>
      </c>
      <c r="D252" s="11" cm="1">
        <f t="array" ref="D252">(1+D251)*(1+INDEX(Data!$H:$H,717-(ROW()-5)))-1</f>
        <v>0.14077062178327981</v>
      </c>
      <c r="E252" s="11" cm="1">
        <f t="array" ref="E252">(1+E251)*(1+INDEX(Data!$I:$I,717-(ROW()-5)))-1</f>
        <v>-6.7977768277041606E-2</v>
      </c>
    </row>
    <row r="253" spans="1:5" x14ac:dyDescent="0.2">
      <c r="A253" s="1" cm="1">
        <f t="array" ref="A253">INDEX(Data!$A:$A,717-(ROW()-5))</f>
        <v>45445</v>
      </c>
      <c r="B253" s="11" cm="1">
        <f t="array" ref="B253">(1+B252)*(1+INDEX(Data!$F:$F,717-(ROW()-5)))-1</f>
        <v>0.14886650894009024</v>
      </c>
      <c r="C253" s="11" cm="1">
        <f t="array" ref="C253">(1+C252)*(1+INDEX(Data!$G:$G,717-(ROW()-5)))-1</f>
        <v>0.27442702050663526</v>
      </c>
      <c r="D253" s="11" cm="1">
        <f t="array" ref="D253">(1+D252)*(1+INDEX(Data!$H:$H,717-(ROW()-5)))-1</f>
        <v>0.13659757963555408</v>
      </c>
      <c r="E253" s="11" cm="1">
        <f t="array" ref="E253">(1+E252)*(1+INDEX(Data!$I:$I,717-(ROW()-5)))-1</f>
        <v>-8.379649422830282E-2</v>
      </c>
    </row>
    <row r="254" spans="1:5" x14ac:dyDescent="0.2">
      <c r="A254" s="1" cm="1">
        <f t="array" ref="A254">INDEX(Data!$A:$A,717-(ROW()-5))</f>
        <v>45446</v>
      </c>
      <c r="B254" s="11" cm="1">
        <f t="array" ref="B254">(1+B253)*(1+INDEX(Data!$F:$F,717-(ROW()-5)))-1</f>
        <v>0.15939446877187424</v>
      </c>
      <c r="C254" s="11" cm="1">
        <f t="array" ref="C254">(1+C253)*(1+INDEX(Data!$G:$G,717-(ROW()-5)))-1</f>
        <v>0.25603136308805863</v>
      </c>
      <c r="D254" s="11" cm="1">
        <f t="array" ref="D254">(1+D253)*(1+INDEX(Data!$H:$H,717-(ROW()-5)))-1</f>
        <v>0.14633467798024724</v>
      </c>
      <c r="E254" s="11" cm="1">
        <f t="array" ref="E254">(1+E253)*(1+INDEX(Data!$I:$I,717-(ROW()-5)))-1</f>
        <v>-8.379649422830282E-2</v>
      </c>
    </row>
    <row r="255" spans="1:5" x14ac:dyDescent="0.2">
      <c r="A255" s="1" cm="1">
        <f t="array" ref="A255">INDEX(Data!$A:$A,717-(ROW()-5))</f>
        <v>45447</v>
      </c>
      <c r="B255" s="11" cm="1">
        <f t="array" ref="B255">(1+B254)*(1+INDEX(Data!$F:$F,717-(ROW()-5)))-1</f>
        <v>0.1535693833045082</v>
      </c>
      <c r="C255" s="11" cm="1">
        <f t="array" ref="C255">(1+C254)*(1+INDEX(Data!$G:$G,717-(ROW()-5)))-1</f>
        <v>0.26930036188178597</v>
      </c>
      <c r="D255" s="11" cm="1">
        <f t="array" ref="D255">(1+D254)*(1+INDEX(Data!$H:$H,717-(ROW()-5)))-1</f>
        <v>0.14508276533592968</v>
      </c>
      <c r="E255" s="11" cm="1">
        <f t="array" ref="E255">(1+E254)*(1+INDEX(Data!$I:$I,717-(ROW()-5)))-1</f>
        <v>-8.379649422830282E-2</v>
      </c>
    </row>
    <row r="256" spans="1:5" x14ac:dyDescent="0.2">
      <c r="A256" s="1" cm="1">
        <f t="array" ref="A256">INDEX(Data!$A:$A,717-(ROW()-5))</f>
        <v>45448</v>
      </c>
      <c r="B256" s="11" cm="1">
        <f t="array" ref="B256">(1+B255)*(1+INDEX(Data!$F:$F,717-(ROW()-5)))-1</f>
        <v>0.1357701896768162</v>
      </c>
      <c r="C256" s="11" cm="1">
        <f t="array" ref="C256">(1+C255)*(1+INDEX(Data!$G:$G,717-(ROW()-5)))-1</f>
        <v>0.24457177322074863</v>
      </c>
      <c r="D256" s="11" cm="1">
        <f t="array" ref="D256">(1+D255)*(1+INDEX(Data!$H:$H,717-(ROW()-5)))-1</f>
        <v>0.12213103352343846</v>
      </c>
      <c r="E256" s="11" cm="1">
        <f t="array" ref="E256">(1+E255)*(1+INDEX(Data!$I:$I,717-(ROW()-5)))-1</f>
        <v>-6.4129970072680731E-2</v>
      </c>
    </row>
    <row r="257" spans="1:5" x14ac:dyDescent="0.2">
      <c r="A257" s="1" cm="1">
        <f t="array" ref="A257">INDEX(Data!$A:$A,717-(ROW()-5))</f>
        <v>45449</v>
      </c>
      <c r="B257" s="11" cm="1">
        <f t="array" ref="B257">(1+B256)*(1+INDEX(Data!$F:$F,717-(ROW()-5)))-1</f>
        <v>0.12449023271419057</v>
      </c>
      <c r="C257" s="11" cm="1">
        <f t="array" ref="C257">(1+C256)*(1+INDEX(Data!$G:$G,717-(ROW()-5)))-1</f>
        <v>0.21109770808202732</v>
      </c>
      <c r="D257" s="11" cm="1">
        <f t="array" ref="D257">(1+D256)*(1+INDEX(Data!$H:$H,717-(ROW()-5)))-1</f>
        <v>8.2208930310196049E-2</v>
      </c>
      <c r="E257" s="11" cm="1">
        <f t="array" ref="E257">(1+E256)*(1+INDEX(Data!$I:$I,717-(ROW()-5)))-1</f>
        <v>-6.1564771269773444E-2</v>
      </c>
    </row>
    <row r="258" spans="1:5" x14ac:dyDescent="0.2">
      <c r="A258" s="1" cm="1">
        <f t="array" ref="A258">INDEX(Data!$A:$A,717-(ROW()-5))</f>
        <v>45452</v>
      </c>
      <c r="B258" s="11" cm="1">
        <f t="array" ref="B258">(1+B257)*(1+INDEX(Data!$F:$F,717-(ROW()-5)))-1</f>
        <v>0.12863778612044818</v>
      </c>
      <c r="C258" s="11" cm="1">
        <f t="array" ref="C258">(1+C257)*(1+INDEX(Data!$G:$G,717-(ROW()-5)))-1</f>
        <v>0.18938480096501897</v>
      </c>
      <c r="D258" s="11" cm="1">
        <f t="array" ref="D258">(1+D257)*(1+INDEX(Data!$H:$H,717-(ROW()-5)))-1</f>
        <v>8.0539713451105888E-2</v>
      </c>
      <c r="E258" s="11" cm="1">
        <f t="array" ref="E258">(1+E257)*(1+INDEX(Data!$I:$I,717-(ROW()-5)))-1</f>
        <v>-6.1564771269773444E-2</v>
      </c>
    </row>
    <row r="259" spans="1:5" x14ac:dyDescent="0.2">
      <c r="A259" s="1" cm="1">
        <f t="array" ref="A259">INDEX(Data!$A:$A,717-(ROW()-5))</f>
        <v>45453</v>
      </c>
      <c r="B259" s="11" cm="1">
        <f t="array" ref="B259">(1+B258)*(1+INDEX(Data!$F:$F,717-(ROW()-5)))-1</f>
        <v>0.1333001683316668</v>
      </c>
      <c r="C259" s="11" cm="1">
        <f t="array" ref="C259">(1+C258)*(1+INDEX(Data!$G:$G,717-(ROW()-5)))-1</f>
        <v>0.20174909529553786</v>
      </c>
      <c r="D259" s="11" cm="1">
        <f t="array" ref="D259">(1+D258)*(1+INDEX(Data!$H:$H,717-(ROW()-5)))-1</f>
        <v>9.3893448323828066E-2</v>
      </c>
      <c r="E259" s="11" cm="1">
        <f t="array" ref="E259">(1+E258)*(1+INDEX(Data!$I:$I,717-(ROW()-5)))-1</f>
        <v>-2.7362120564343839E-2</v>
      </c>
    </row>
    <row r="260" spans="1:5" x14ac:dyDescent="0.2">
      <c r="A260" s="1" cm="1">
        <f t="array" ref="A260">INDEX(Data!$A:$A,717-(ROW()-5))</f>
        <v>45456</v>
      </c>
      <c r="B260" s="11" cm="1">
        <f t="array" ref="B260">(1+B259)*(1+INDEX(Data!$F:$F,717-(ROW()-5)))-1</f>
        <v>0.13740144499141116</v>
      </c>
      <c r="C260" s="11" cm="1">
        <f t="array" ref="C260">(1+C259)*(1+INDEX(Data!$G:$G,717-(ROW()-5)))-1</f>
        <v>0.18275030156815553</v>
      </c>
      <c r="D260" s="11" cm="1">
        <f t="array" ref="D260">(1+D259)*(1+INDEX(Data!$H:$H,717-(ROW()-5)))-1</f>
        <v>9.3893448323828066E-2</v>
      </c>
      <c r="E260" s="11" cm="1">
        <f t="array" ref="E260">(1+E259)*(1+INDEX(Data!$I:$I,717-(ROW()-5)))-1</f>
        <v>-2.7362120564343839E-2</v>
      </c>
    </row>
    <row r="261" spans="1:5" x14ac:dyDescent="0.2">
      <c r="A261" s="1" cm="1">
        <f t="array" ref="A261">INDEX(Data!$A:$A,717-(ROW()-5))</f>
        <v>45459</v>
      </c>
      <c r="B261" s="11" cm="1">
        <f t="array" ref="B261">(1+B260)*(1+INDEX(Data!$F:$F,717-(ROW()-5)))-1</f>
        <v>0.12746351367767206</v>
      </c>
      <c r="C261" s="11" cm="1">
        <f t="array" ref="C261">(1+C260)*(1+INDEX(Data!$G:$G,717-(ROW()-5)))-1</f>
        <v>0.18546441495778154</v>
      </c>
      <c r="D261" s="11" cm="1">
        <f t="array" ref="D261">(1+D260)*(1+INDEX(Data!$H:$H,717-(ROW()-5)))-1</f>
        <v>6.1065516761719341E-2</v>
      </c>
      <c r="E261" s="11" cm="1">
        <f t="array" ref="E261">(1+E260)*(1+INDEX(Data!$I:$I,717-(ROW()-5)))-1</f>
        <v>-2.7362120564343839E-2</v>
      </c>
    </row>
    <row r="262" spans="1:5" x14ac:dyDescent="0.2">
      <c r="A262" s="1" cm="1">
        <f t="array" ref="A262">INDEX(Data!$A:$A,717-(ROW()-5))</f>
        <v>45460</v>
      </c>
      <c r="B262" s="11" cm="1">
        <f t="array" ref="B262">(1+B261)*(1+INDEX(Data!$F:$F,717-(ROW()-5)))-1</f>
        <v>0.14427932644195596</v>
      </c>
      <c r="C262" s="11" cm="1">
        <f t="array" ref="C262">(1+C261)*(1+INDEX(Data!$G:$G,717-(ROW()-5)))-1</f>
        <v>0.23130277442702152</v>
      </c>
      <c r="D262" s="11" cm="1">
        <f t="array" ref="D262">(1+D261)*(1+INDEX(Data!$H:$H,717-(ROW()-5)))-1</f>
        <v>6.3012936430657973E-2</v>
      </c>
      <c r="E262" s="11" cm="1">
        <f t="array" ref="E262">(1+E261)*(1+INDEX(Data!$I:$I,717-(ROW()-5)))-1</f>
        <v>-2.7362120564343839E-2</v>
      </c>
    </row>
    <row r="263" spans="1:5" x14ac:dyDescent="0.2">
      <c r="A263" s="1" cm="1">
        <f t="array" ref="A263">INDEX(Data!$A:$A,717-(ROW()-5))</f>
        <v>45461</v>
      </c>
      <c r="B263" s="11" cm="1">
        <f t="array" ref="B263">(1+B262)*(1+INDEX(Data!$F:$F,717-(ROW()-5)))-1</f>
        <v>0.14182665887674917</v>
      </c>
      <c r="C263" s="11" cm="1">
        <f t="array" ref="C263">(1+C262)*(1+INDEX(Data!$G:$G,717-(ROW()-5)))-1</f>
        <v>0.21712907117008529</v>
      </c>
      <c r="D263" s="11" cm="1">
        <f t="array" ref="D263">(1+D262)*(1+INDEX(Data!$H:$H,717-(ROW()-5)))-1</f>
        <v>5.9674502712477429E-2</v>
      </c>
      <c r="E263" s="11" cm="1">
        <f t="array" ref="E263">(1+E262)*(1+INDEX(Data!$I:$I,717-(ROW()-5)))-1</f>
        <v>-2.7362120564343839E-2</v>
      </c>
    </row>
    <row r="264" spans="1:5" x14ac:dyDescent="0.2">
      <c r="A264" s="1" cm="1">
        <f t="array" ref="A264">INDEX(Data!$A:$A,717-(ROW()-5))</f>
        <v>45462</v>
      </c>
      <c r="B264" s="11" cm="1">
        <f t="array" ref="B264">(1+B263)*(1+INDEX(Data!$F:$F,717-(ROW()-5)))-1</f>
        <v>0.14164733648400984</v>
      </c>
      <c r="C264" s="11" cm="1">
        <f t="array" ref="C264">(1+C263)*(1+INDEX(Data!$G:$G,717-(ROW()-5)))-1</f>
        <v>0.19360675512665937</v>
      </c>
      <c r="D264" s="11" cm="1">
        <f t="array" ref="D264">(1+D263)*(1+INDEX(Data!$H:$H,717-(ROW()-5)))-1</f>
        <v>5.8561691473083988E-2</v>
      </c>
      <c r="E264" s="11" cm="1">
        <f t="array" ref="E264">(1+E263)*(1+INDEX(Data!$I:$I,717-(ROW()-5)))-1</f>
        <v>-2.7362120564343839E-2</v>
      </c>
    </row>
    <row r="265" spans="1:5" x14ac:dyDescent="0.2">
      <c r="A265" s="1" cm="1">
        <f t="array" ref="A265">INDEX(Data!$A:$A,717-(ROW()-5))</f>
        <v>45463</v>
      </c>
      <c r="B265" s="11" cm="1">
        <f t="array" ref="B265">(1+B264)*(1+INDEX(Data!$F:$F,717-(ROW()-5)))-1</f>
        <v>0.12110046103208849</v>
      </c>
      <c r="C265" s="11" cm="1">
        <f t="array" ref="C265">(1+C264)*(1+INDEX(Data!$G:$G,717-(ROW()-5)))-1</f>
        <v>0.16344993968636978</v>
      </c>
      <c r="D265" s="11" cm="1">
        <f t="array" ref="D265">(1+D264)*(1+INDEX(Data!$H:$H,717-(ROW()-5)))-1</f>
        <v>5.6614271804145355E-2</v>
      </c>
      <c r="E265" s="11" cm="1">
        <f t="array" ref="E265">(1+E264)*(1+INDEX(Data!$I:$I,717-(ROW()-5)))-1</f>
        <v>-2.7362120564343839E-2</v>
      </c>
    </row>
    <row r="266" spans="1:5" x14ac:dyDescent="0.2">
      <c r="A266" s="1" cm="1">
        <f t="array" ref="A266">INDEX(Data!$A:$A,717-(ROW()-5))</f>
        <v>45466</v>
      </c>
      <c r="B266" s="11" cm="1">
        <f t="array" ref="B266">(1+B265)*(1+INDEX(Data!$F:$F,717-(ROW()-5)))-1</f>
        <v>0.11522909881820897</v>
      </c>
      <c r="C266" s="11" cm="1">
        <f t="array" ref="C266">(1+C265)*(1+INDEX(Data!$G:$G,717-(ROW()-5)))-1</f>
        <v>0.1405307599517498</v>
      </c>
      <c r="D266" s="11" cm="1">
        <f t="array" ref="D266">(1+D265)*(1+INDEX(Data!$H:$H,717-(ROW()-5)))-1</f>
        <v>5.0772012797329458E-2</v>
      </c>
      <c r="E266" s="11" cm="1">
        <f t="array" ref="E266">(1+E265)*(1+INDEX(Data!$I:$I,717-(ROW()-5)))-1</f>
        <v>-2.7362120564343839E-2</v>
      </c>
    </row>
    <row r="267" spans="1:5" x14ac:dyDescent="0.2">
      <c r="A267" s="1" cm="1">
        <f t="array" ref="A267">INDEX(Data!$A:$A,717-(ROW()-5))</f>
        <v>45467</v>
      </c>
      <c r="B267" s="11" cm="1">
        <f t="array" ref="B267">(1+B266)*(1+INDEX(Data!$F:$F,717-(ROW()-5)))-1</f>
        <v>0.11362098187687053</v>
      </c>
      <c r="C267" s="11" cm="1">
        <f t="array" ref="C267">(1+C266)*(1+INDEX(Data!$G:$G,717-(ROW()-5)))-1</f>
        <v>0.13389626055488613</v>
      </c>
      <c r="D267" s="11" cm="1">
        <f t="array" ref="D267">(1+D266)*(1+INDEX(Data!$H:$H,717-(ROW()-5)))-1</f>
        <v>6.2178328001113004E-2</v>
      </c>
      <c r="E267" s="11" cm="1">
        <f t="array" ref="E267">(1+E266)*(1+INDEX(Data!$I:$I,717-(ROW()-5)))-1</f>
        <v>-2.3086789226165139E-2</v>
      </c>
    </row>
    <row r="268" spans="1:5" x14ac:dyDescent="0.2">
      <c r="A268" s="1" cm="1">
        <f t="array" ref="A268">INDEX(Data!$A:$A,717-(ROW()-5))</f>
        <v>45468</v>
      </c>
      <c r="B268" s="11" cm="1">
        <f t="array" ref="B268">(1+B267)*(1+INDEX(Data!$F:$F,717-(ROW()-5)))-1</f>
        <v>0.12291103873942277</v>
      </c>
      <c r="C268" s="11" cm="1">
        <f t="array" ref="C268">(1+C267)*(1+INDEX(Data!$G:$G,717-(ROW()-5)))-1</f>
        <v>0.13841978287092949</v>
      </c>
      <c r="D268" s="11" cm="1">
        <f t="array" ref="D268">(1+D267)*(1+INDEX(Data!$H:$H,717-(ROW()-5)))-1</f>
        <v>6.9133398247322342E-2</v>
      </c>
      <c r="E268" s="11" cm="1">
        <f t="array" ref="E268">(1+E267)*(1+INDEX(Data!$I:$I,717-(ROW()-5)))-1</f>
        <v>-2.3086789226165139E-2</v>
      </c>
    </row>
    <row r="269" spans="1:5" x14ac:dyDescent="0.2">
      <c r="A269" s="1" cm="1">
        <f t="array" ref="A269">INDEX(Data!$A:$A,717-(ROW()-5))</f>
        <v>45469</v>
      </c>
      <c r="B269" s="11" cm="1">
        <f t="array" ref="B269">(1+B268)*(1+INDEX(Data!$F:$F,717-(ROW()-5)))-1</f>
        <v>0.13527849924511193</v>
      </c>
      <c r="C269" s="11" cm="1">
        <f t="array" ref="C269">(1+C268)*(1+INDEX(Data!$G:$G,717-(ROW()-5)))-1</f>
        <v>0.17460796139927681</v>
      </c>
      <c r="D269" s="11" cm="1">
        <f t="array" ref="D269">(1+D268)*(1+INDEX(Data!$H:$H,717-(ROW()-5)))-1</f>
        <v>8.1791626095423675E-2</v>
      </c>
      <c r="E269" s="11" cm="1">
        <f t="array" ref="E269">(1+E268)*(1+INDEX(Data!$I:$I,717-(ROW()-5)))-1</f>
        <v>-3.163745190252254E-2</v>
      </c>
    </row>
    <row r="270" spans="1:5" x14ac:dyDescent="0.2">
      <c r="A270" s="1" cm="1">
        <f t="array" ref="A270">INDEX(Data!$A:$A,717-(ROW()-5))</f>
        <v>45470</v>
      </c>
      <c r="B270" s="11" cm="1">
        <f t="array" ref="B270">(1+B269)*(1+INDEX(Data!$F:$F,717-(ROW()-5)))-1</f>
        <v>0.12653797874740547</v>
      </c>
      <c r="C270" s="11" cm="1">
        <f t="array" ref="C270">(1+C269)*(1+INDEX(Data!$G:$G,717-(ROW()-5)))-1</f>
        <v>0.16917973462002456</v>
      </c>
      <c r="D270" s="11" cm="1">
        <f t="array" ref="D270">(1+D269)*(1+INDEX(Data!$H:$H,717-(ROW()-5)))-1</f>
        <v>0.1059952705522329</v>
      </c>
      <c r="E270" s="11" cm="1">
        <f t="array" ref="E270">(1+E269)*(1+INDEX(Data!$I:$I,717-(ROW()-5)))-1</f>
        <v>-3.163745190252254E-2</v>
      </c>
    </row>
    <row r="271" spans="1:5" x14ac:dyDescent="0.2">
      <c r="A271" s="1" cm="1">
        <f t="array" ref="A271">INDEX(Data!$A:$A,717-(ROW()-5))</f>
        <v>45473</v>
      </c>
      <c r="B271" s="11" cm="1">
        <f t="array" ref="B271">(1+B270)*(1+INDEX(Data!$F:$F,717-(ROW()-5)))-1</f>
        <v>0.13024590306178663</v>
      </c>
      <c r="C271" s="11" cm="1">
        <f t="array" ref="C271">(1+C270)*(1+INDEX(Data!$G:$G,717-(ROW()-5)))-1</f>
        <v>0.16857659831121863</v>
      </c>
      <c r="D271" s="11" cm="1">
        <f t="array" ref="D271">(1+D270)*(1+INDEX(Data!$H:$H,717-(ROW()-5)))-1</f>
        <v>0.13381555153707092</v>
      </c>
      <c r="E271" s="11" cm="1">
        <f t="array" ref="E271">(1+E270)*(1+INDEX(Data!$I:$I,717-(ROW()-5)))-1</f>
        <v>-3.163745190252254E-2</v>
      </c>
    </row>
    <row r="272" spans="1:5" x14ac:dyDescent="0.2">
      <c r="A272" s="1" cm="1">
        <f t="array" ref="A272">INDEX(Data!$A:$A,717-(ROW()-5))</f>
        <v>45474</v>
      </c>
      <c r="B272" s="11" cm="1">
        <f t="array" ref="B272">(1+B271)*(1+INDEX(Data!$F:$F,717-(ROW()-5)))-1</f>
        <v>0.12232679481469177</v>
      </c>
      <c r="C272" s="11" cm="1">
        <f t="array" ref="C272">(1+C271)*(1+INDEX(Data!$G:$G,717-(ROW()-5)))-1</f>
        <v>0.13389626055488568</v>
      </c>
      <c r="D272" s="11" cm="1">
        <f t="array" ref="D272">(1+D271)*(1+INDEX(Data!$H:$H,717-(ROW()-5)))-1</f>
        <v>0.11253303658366987</v>
      </c>
      <c r="E272" s="11" cm="1">
        <f t="array" ref="E272">(1+E271)*(1+INDEX(Data!$I:$I,717-(ROW()-5)))-1</f>
        <v>-3.163745190252254E-2</v>
      </c>
    </row>
    <row r="273" spans="1:5" x14ac:dyDescent="0.2">
      <c r="A273" s="1" cm="1">
        <f t="array" ref="A273">INDEX(Data!$A:$A,717-(ROW()-5))</f>
        <v>45475</v>
      </c>
      <c r="B273" s="11" cm="1">
        <f t="array" ref="B273">(1+B272)*(1+INDEX(Data!$F:$F,717-(ROW()-5)))-1</f>
        <v>0.12750400583087118</v>
      </c>
      <c r="C273" s="11" cm="1">
        <f t="array" ref="C273">(1+C272)*(1+INDEX(Data!$G:$G,717-(ROW()-5)))-1</f>
        <v>0.14897466827503059</v>
      </c>
      <c r="D273" s="11" cm="1">
        <f t="array" ref="D273">(1+D272)*(1+INDEX(Data!$H:$H,717-(ROW()-5)))-1</f>
        <v>0.11044651550980711</v>
      </c>
      <c r="E273" s="11" cm="1">
        <f t="array" ref="E273">(1+E272)*(1+INDEX(Data!$I:$I,717-(ROW()-5)))-1</f>
        <v>-3.163745190252254E-2</v>
      </c>
    </row>
    <row r="274" spans="1:5" x14ac:dyDescent="0.2">
      <c r="A274" s="1" cm="1">
        <f t="array" ref="A274">INDEX(Data!$A:$A,717-(ROW()-5))</f>
        <v>45476</v>
      </c>
      <c r="B274" s="11" cm="1">
        <f t="array" ref="B274">(1+B273)*(1+INDEX(Data!$F:$F,717-(ROW()-5)))-1</f>
        <v>0.13461327101398246</v>
      </c>
      <c r="C274" s="11" cm="1">
        <f t="array" ref="C274">(1+C273)*(1+INDEX(Data!$G:$G,717-(ROW()-5)))-1</f>
        <v>0.18033775633293181</v>
      </c>
      <c r="D274" s="11" cm="1">
        <f t="array" ref="D274">(1+D273)*(1+INDEX(Data!$H:$H,717-(ROW()-5)))-1</f>
        <v>0.1116984281541249</v>
      </c>
      <c r="E274" s="11" cm="1">
        <f t="array" ref="E274">(1+E273)*(1+INDEX(Data!$I:$I,717-(ROW()-5)))-1</f>
        <v>-3.163745190252254E-2</v>
      </c>
    </row>
    <row r="275" spans="1:5" x14ac:dyDescent="0.2">
      <c r="A275" s="1" cm="1">
        <f t="array" ref="A275">INDEX(Data!$A:$A,717-(ROW()-5))</f>
        <v>45477</v>
      </c>
      <c r="B275" s="11" cm="1">
        <f t="array" ref="B275">(1+B274)*(1+INDEX(Data!$F:$F,717-(ROW()-5)))-1</f>
        <v>0.15258600244109966</v>
      </c>
      <c r="C275" s="11" cm="1">
        <f t="array" ref="C275">(1+C274)*(1+INDEX(Data!$G:$G,717-(ROW()-5)))-1</f>
        <v>0.21411338962605608</v>
      </c>
      <c r="D275" s="11" cm="1">
        <f t="array" ref="D275">(1+D274)*(1+INDEX(Data!$H:$H,717-(ROW()-5)))-1</f>
        <v>0.1439699540965369</v>
      </c>
      <c r="E275" s="11" cm="1">
        <f t="array" ref="E275">(1+E274)*(1+INDEX(Data!$I:$I,717-(ROW()-5)))-1</f>
        <v>-3.0354852501068841E-2</v>
      </c>
    </row>
    <row r="276" spans="1:5" x14ac:dyDescent="0.2">
      <c r="A276" s="1" cm="1">
        <f t="array" ref="A276">INDEX(Data!$A:$A,717-(ROW()-5))</f>
        <v>45480</v>
      </c>
      <c r="B276" s="11" cm="1">
        <f t="array" ref="B276">(1+B275)*(1+INDEX(Data!$F:$F,717-(ROW()-5)))-1</f>
        <v>0.18401948251028344</v>
      </c>
      <c r="C276" s="11" cm="1">
        <f t="array" ref="C276">(1+C275)*(1+INDEX(Data!$G:$G,717-(ROW()-5)))-1</f>
        <v>0.29312424607961463</v>
      </c>
      <c r="D276" s="11" cm="1">
        <f t="array" ref="D276">(1+D275)*(1+INDEX(Data!$H:$H,717-(ROW()-5)))-1</f>
        <v>0.16761719293364918</v>
      </c>
      <c r="E276" s="11" cm="1">
        <f t="array" ref="E276">(1+E275)*(1+INDEX(Data!$I:$I,717-(ROW()-5)))-1</f>
        <v>-6.8405301410858765E-3</v>
      </c>
    </row>
    <row r="277" spans="1:5" x14ac:dyDescent="0.2">
      <c r="A277" s="1" cm="1">
        <f t="array" ref="A277">INDEX(Data!$A:$A,717-(ROW()-5))</f>
        <v>45481</v>
      </c>
      <c r="B277" s="11" cm="1">
        <f t="array" ref="B277">(1+B276)*(1+INDEX(Data!$F:$F,717-(ROW()-5)))-1</f>
        <v>0.17253128018834785</v>
      </c>
      <c r="C277" s="11" cm="1">
        <f t="array" ref="C277">(1+C276)*(1+INDEX(Data!$G:$G,717-(ROW()-5)))-1</f>
        <v>0.25090470446320934</v>
      </c>
      <c r="D277" s="11" cm="1">
        <f t="array" ref="D277">(1+D276)*(1+INDEX(Data!$H:$H,717-(ROW()-5)))-1</f>
        <v>0.15440255946585113</v>
      </c>
      <c r="E277" s="11" cm="1">
        <f t="array" ref="E277">(1+E276)*(1+INDEX(Data!$I:$I,717-(ROW()-5)))-1</f>
        <v>-3.8477982043608749E-3</v>
      </c>
    </row>
    <row r="278" spans="1:5" x14ac:dyDescent="0.2">
      <c r="A278" s="1" cm="1">
        <f t="array" ref="A278">INDEX(Data!$A:$A,717-(ROW()-5))</f>
        <v>45482</v>
      </c>
      <c r="B278" s="11" cm="1">
        <f t="array" ref="B278">(1+B277)*(1+INDEX(Data!$F:$F,717-(ROW()-5)))-1</f>
        <v>0.17917199331301159</v>
      </c>
      <c r="C278" s="11" cm="1">
        <f t="array" ref="C278">(1+C277)*(1+INDEX(Data!$G:$G,717-(ROW()-5)))-1</f>
        <v>0.25814234016887894</v>
      </c>
      <c r="D278" s="11" cm="1">
        <f t="array" ref="D278">(1+D277)*(1+INDEX(Data!$H:$H,717-(ROW()-5)))-1</f>
        <v>0.15328974822645769</v>
      </c>
      <c r="E278" s="11" cm="1">
        <f t="array" ref="E278">(1+E277)*(1+INDEX(Data!$I:$I,717-(ROW()-5)))-1</f>
        <v>-3.8477982043608749E-3</v>
      </c>
    </row>
    <row r="279" spans="1:5" x14ac:dyDescent="0.2">
      <c r="A279" s="1" cm="1">
        <f t="array" ref="A279">INDEX(Data!$A:$A,717-(ROW()-5))</f>
        <v>45483</v>
      </c>
      <c r="B279" s="11" cm="1">
        <f t="array" ref="B279">(1+B278)*(1+INDEX(Data!$F:$F,717-(ROW()-5)))-1</f>
        <v>0.17202802057001509</v>
      </c>
      <c r="C279" s="11" cm="1">
        <f t="array" ref="C279">(1+C278)*(1+INDEX(Data!$G:$G,717-(ROW()-5)))-1</f>
        <v>0.23069963811821537</v>
      </c>
      <c r="D279" s="11" cm="1">
        <f t="array" ref="D279">(1+D278)*(1+INDEX(Data!$H:$H,717-(ROW()-5)))-1</f>
        <v>0.15301154541660922</v>
      </c>
      <c r="E279" s="11" cm="1">
        <f t="array" ref="E279">(1+E278)*(1+INDEX(Data!$I:$I,717-(ROW()-5)))-1</f>
        <v>-4.2753313381793667E-4</v>
      </c>
    </row>
    <row r="280" spans="1:5" x14ac:dyDescent="0.2">
      <c r="A280" s="1" cm="1">
        <f t="array" ref="A280">INDEX(Data!$A:$A,717-(ROW()-5))</f>
        <v>45484</v>
      </c>
      <c r="B280" s="11" cm="1">
        <f t="array" ref="B280">(1+B279)*(1+INDEX(Data!$F:$F,717-(ROW()-5)))-1</f>
        <v>0.19002967496370293</v>
      </c>
      <c r="C280" s="11" cm="1">
        <f t="array" ref="C280">(1+C279)*(1+INDEX(Data!$G:$G,717-(ROW()-5)))-1</f>
        <v>0.26537997587454831</v>
      </c>
      <c r="D280" s="11" cm="1">
        <f t="array" ref="D280">(1+D279)*(1+INDEX(Data!$H:$H,717-(ROW()-5)))-1</f>
        <v>0.16845180136319438</v>
      </c>
      <c r="E280" s="11" cm="1">
        <f t="array" ref="E280">(1+E279)*(1+INDEX(Data!$I:$I,717-(ROW()-5)))-1</f>
        <v>-4.2753313381793667E-4</v>
      </c>
    </row>
    <row r="281" spans="1:5" x14ac:dyDescent="0.2">
      <c r="A281" s="1" cm="1">
        <f t="array" ref="A281">INDEX(Data!$A:$A,717-(ROW()-5))</f>
        <v>45487</v>
      </c>
      <c r="B281" s="11" cm="1">
        <f t="array" ref="B281">(1+B280)*(1+INDEX(Data!$F:$F,717-(ROW()-5)))-1</f>
        <v>0.19063127266837654</v>
      </c>
      <c r="C281" s="11" cm="1">
        <f t="array" ref="C281">(1+C280)*(1+INDEX(Data!$G:$G,717-(ROW()-5)))-1</f>
        <v>0.26296743063932504</v>
      </c>
      <c r="D281" s="11" cm="1">
        <f t="array" ref="D281">(1+D280)*(1+INDEX(Data!$H:$H,717-(ROW()-5)))-1</f>
        <v>0.16233133954653001</v>
      </c>
      <c r="E281" s="11" cm="1">
        <f t="array" ref="E281">(1+E280)*(1+INDEX(Data!$I:$I,717-(ROW()-5)))-1</f>
        <v>1.0260795211628926E-2</v>
      </c>
    </row>
    <row r="282" spans="1:5" x14ac:dyDescent="0.2">
      <c r="A282" s="1" cm="1">
        <f t="array" ref="A282">INDEX(Data!$A:$A,717-(ROW()-5))</f>
        <v>45488</v>
      </c>
      <c r="B282" s="11" cm="1">
        <f t="array" ref="B282">(1+B281)*(1+INDEX(Data!$F:$F,717-(ROW()-5)))-1</f>
        <v>0.19339630827254828</v>
      </c>
      <c r="C282" s="11" cm="1">
        <f t="array" ref="C282">(1+C281)*(1+INDEX(Data!$G:$G,717-(ROW()-5)))-1</f>
        <v>0.2762364294330526</v>
      </c>
      <c r="D282" s="11" cm="1">
        <f t="array" ref="D282">(1+D281)*(1+INDEX(Data!$H:$H,717-(ROW()-5)))-1</f>
        <v>0.17540687160940394</v>
      </c>
      <c r="E282" s="11" cm="1">
        <f t="array" ref="E282">(1+E281)*(1+INDEX(Data!$I:$I,717-(ROW()-5)))-1</f>
        <v>1.0260795211628926E-2</v>
      </c>
    </row>
    <row r="283" spans="1:5" x14ac:dyDescent="0.2">
      <c r="A283" s="1" cm="1">
        <f t="array" ref="A283">INDEX(Data!$A:$A,717-(ROW()-5))</f>
        <v>45489</v>
      </c>
      <c r="B283" s="11" cm="1">
        <f t="array" ref="B283">(1+B282)*(1+INDEX(Data!$F:$F,717-(ROW()-5)))-1</f>
        <v>0.19440282750921334</v>
      </c>
      <c r="C283" s="11" cm="1">
        <f t="array" ref="C283">(1+C282)*(1+INDEX(Data!$G:$G,717-(ROW()-5)))-1</f>
        <v>0.27141133896260627</v>
      </c>
      <c r="D283" s="11" cm="1">
        <f t="array" ref="D283">(1+D282)*(1+INDEX(Data!$H:$H,717-(ROW()-5)))-1</f>
        <v>0.15968841285297053</v>
      </c>
      <c r="E283" s="11" cm="1">
        <f t="array" ref="E283">(1+E282)*(1+INDEX(Data!$I:$I,717-(ROW()-5)))-1</f>
        <v>3.1209918768704492E-2</v>
      </c>
    </row>
    <row r="284" spans="1:5" x14ac:dyDescent="0.2">
      <c r="A284" s="1" cm="1">
        <f t="array" ref="A284">INDEX(Data!$A:$A,717-(ROW()-5))</f>
        <v>45490</v>
      </c>
      <c r="B284" s="11" cm="1">
        <f t="array" ref="B284">(1+B283)*(1+INDEX(Data!$F:$F,717-(ROW()-5)))-1</f>
        <v>0.1879414367772887</v>
      </c>
      <c r="C284" s="11" cm="1">
        <f t="array" ref="C284">(1+C283)*(1+INDEX(Data!$G:$G,717-(ROW()-5)))-1</f>
        <v>0.30006031363088126</v>
      </c>
      <c r="D284" s="11" cm="1">
        <f t="array" ref="D284">(1+D283)*(1+INDEX(Data!$H:$H,717-(ROW()-5)))-1</f>
        <v>0.16288774516622695</v>
      </c>
      <c r="E284" s="11" cm="1">
        <f t="array" ref="E284">(1+E283)*(1+INDEX(Data!$I:$I,717-(ROW()-5)))-1</f>
        <v>3.1209918768704492E-2</v>
      </c>
    </row>
    <row r="285" spans="1:5" x14ac:dyDescent="0.2">
      <c r="A285" s="1" cm="1">
        <f t="array" ref="A285">INDEX(Data!$A:$A,717-(ROW()-5))</f>
        <v>45491</v>
      </c>
      <c r="B285" s="11" cm="1">
        <f t="array" ref="B285">(1+B284)*(1+INDEX(Data!$F:$F,717-(ROW()-5)))-1</f>
        <v>0.18314022432652988</v>
      </c>
      <c r="C285" s="11" cm="1">
        <f t="array" ref="C285">(1+C284)*(1+INDEX(Data!$G:$G,717-(ROW()-5)))-1</f>
        <v>0.29010856453558564</v>
      </c>
      <c r="D285" s="11" cm="1">
        <f t="array" ref="D285">(1+D284)*(1+INDEX(Data!$H:$H,717-(ROW()-5)))-1</f>
        <v>0.15092502434274668</v>
      </c>
      <c r="E285" s="11" cm="1">
        <f t="array" ref="E285">(1+E284)*(1+INDEX(Data!$I:$I,717-(ROW()-5)))-1</f>
        <v>3.0782385634886555E-2</v>
      </c>
    </row>
    <row r="286" spans="1:5" x14ac:dyDescent="0.2">
      <c r="A286" s="1" cm="1">
        <f t="array" ref="A286">INDEX(Data!$A:$A,717-(ROW()-5))</f>
        <v>45494</v>
      </c>
      <c r="B286" s="11" cm="1">
        <f t="array" ref="B286">(1+B285)*(1+INDEX(Data!$F:$F,717-(ROW()-5)))-1</f>
        <v>0.17263540286800261</v>
      </c>
      <c r="C286" s="11" cm="1">
        <f t="array" ref="C286">(1+C285)*(1+INDEX(Data!$G:$G,717-(ROW()-5)))-1</f>
        <v>0.28226779252111034</v>
      </c>
      <c r="D286" s="11" cm="1">
        <f t="array" ref="D286">(1+D285)*(1+INDEX(Data!$H:$H,717-(ROW()-5)))-1</f>
        <v>0.13659757963555519</v>
      </c>
      <c r="E286" s="11" cm="1">
        <f t="array" ref="E286">(1+E285)*(1+INDEX(Data!$I:$I,717-(ROW()-5)))-1</f>
        <v>2.0949123557075566E-2</v>
      </c>
    </row>
    <row r="287" spans="1:5" x14ac:dyDescent="0.2">
      <c r="A287" s="1" cm="1">
        <f t="array" ref="A287">INDEX(Data!$A:$A,717-(ROW()-5))</f>
        <v>45495</v>
      </c>
      <c r="B287" s="11" cm="1">
        <f t="array" ref="B287">(1+B286)*(1+INDEX(Data!$F:$F,717-(ROW()-5)))-1</f>
        <v>0.17995869800373798</v>
      </c>
      <c r="C287" s="11" cm="1">
        <f t="array" ref="C287">(1+C286)*(1+INDEX(Data!$G:$G,717-(ROW()-5)))-1</f>
        <v>0.26960193003618871</v>
      </c>
      <c r="D287" s="11" cm="1">
        <f t="array" ref="D287">(1+D286)*(1+INDEX(Data!$H:$H,717-(ROW()-5)))-1</f>
        <v>0.14063152037835658</v>
      </c>
      <c r="E287" s="11" cm="1">
        <f t="array" ref="E287">(1+E286)*(1+INDEX(Data!$I:$I,717-(ROW()-5)))-1</f>
        <v>3.2064985036340143E-2</v>
      </c>
    </row>
    <row r="288" spans="1:5" x14ac:dyDescent="0.2">
      <c r="A288" s="1" cm="1">
        <f t="array" ref="A288">INDEX(Data!$A:$A,717-(ROW()-5))</f>
        <v>45496</v>
      </c>
      <c r="B288" s="11" cm="1">
        <f t="array" ref="B288">(1+B287)*(1+INDEX(Data!$F:$F,717-(ROW()-5)))-1</f>
        <v>0.19709844799361509</v>
      </c>
      <c r="C288" s="11" cm="1">
        <f t="array" ref="C288">(1+C287)*(1+INDEX(Data!$G:$G,717-(ROW()-5)))-1</f>
        <v>0.27714113389626105</v>
      </c>
      <c r="D288" s="11" cm="1">
        <f t="array" ref="D288">(1+D287)*(1+INDEX(Data!$H:$H,717-(ROW()-5)))-1</f>
        <v>0.14369175128668865</v>
      </c>
      <c r="E288" s="11" cm="1">
        <f t="array" ref="E288">(1+E287)*(1+INDEX(Data!$I:$I,717-(ROW()-5)))-1</f>
        <v>3.2064985036340143E-2</v>
      </c>
    </row>
    <row r="289" spans="1:5" x14ac:dyDescent="0.2">
      <c r="A289" s="1" cm="1">
        <f t="array" ref="A289">INDEX(Data!$A:$A,717-(ROW()-5))</f>
        <v>45497</v>
      </c>
      <c r="B289" s="11" cm="1">
        <f t="array" ref="B289">(1+B288)*(1+INDEX(Data!$F:$F,717-(ROW()-5)))-1</f>
        <v>0.1940615365036773</v>
      </c>
      <c r="C289" s="11" cm="1">
        <f t="array" ref="C289">(1+C288)*(1+INDEX(Data!$G:$G,717-(ROW()-5)))-1</f>
        <v>0.27714113389626105</v>
      </c>
      <c r="D289" s="11" cm="1">
        <f t="array" ref="D289">(1+D288)*(1+INDEX(Data!$H:$H,717-(ROW()-5)))-1</f>
        <v>0.14369175128668865</v>
      </c>
      <c r="E289" s="11" cm="1">
        <f t="array" ref="E289">(1+E288)*(1+INDEX(Data!$I:$I,717-(ROW()-5)))-1</f>
        <v>3.1637451902522207E-2</v>
      </c>
    </row>
    <row r="290" spans="1:5" x14ac:dyDescent="0.2">
      <c r="A290" s="1" cm="1">
        <f t="array" ref="A290">INDEX(Data!$A:$A,717-(ROW()-5))</f>
        <v>45498</v>
      </c>
      <c r="B290" s="11" cm="1">
        <f t="array" ref="B290">(1+B289)*(1+INDEX(Data!$F:$F,717-(ROW()-5)))-1</f>
        <v>0.18801663649037281</v>
      </c>
      <c r="C290" s="11" cm="1">
        <f t="array" ref="C290">(1+C289)*(1+INDEX(Data!$G:$G,717-(ROW()-5)))-1</f>
        <v>0.26568154402895106</v>
      </c>
      <c r="D290" s="11" cm="1">
        <f t="array" ref="D290">(1+D289)*(1+INDEX(Data!$H:$H,717-(ROW()-5)))-1</f>
        <v>0.13937960773403879</v>
      </c>
      <c r="E290" s="11" cm="1">
        <f t="array" ref="E290">(1+E289)*(1+INDEX(Data!$I:$I,717-(ROW()-5)))-1</f>
        <v>3.1637451902522207E-2</v>
      </c>
    </row>
    <row r="291" spans="1:5" x14ac:dyDescent="0.2">
      <c r="A291" s="1" cm="1">
        <f t="array" ref="A291">INDEX(Data!$A:$A,717-(ROW()-5))</f>
        <v>45501</v>
      </c>
      <c r="B291" s="11" cm="1">
        <f t="array" ref="B291">(1+B290)*(1+INDEX(Data!$F:$F,717-(ROW()-5)))-1</f>
        <v>0.159533299011414</v>
      </c>
      <c r="C291" s="11" cm="1">
        <f t="array" ref="C291">(1+C290)*(1+INDEX(Data!$G:$G,717-(ROW()-5)))-1</f>
        <v>0.2246682750301574</v>
      </c>
      <c r="D291" s="11" cm="1">
        <f t="array" ref="D291">(1+D290)*(1+INDEX(Data!$H:$H,717-(ROW()-5)))-1</f>
        <v>0.13186813186813251</v>
      </c>
      <c r="E291" s="11" cm="1">
        <f t="array" ref="E291">(1+E290)*(1+INDEX(Data!$I:$I,717-(ROW()-5)))-1</f>
        <v>3.1637451902522207E-2</v>
      </c>
    </row>
    <row r="292" spans="1:5" x14ac:dyDescent="0.2">
      <c r="A292" s="1" cm="1">
        <f t="array" ref="A292">INDEX(Data!$A:$A,717-(ROW()-5))</f>
        <v>45502</v>
      </c>
      <c r="B292" s="11" cm="1">
        <f t="array" ref="B292">(1+B291)*(1+INDEX(Data!$F:$F,717-(ROW()-5)))-1</f>
        <v>0.16347839165167577</v>
      </c>
      <c r="C292" s="11" cm="1">
        <f t="array" ref="C292">(1+C291)*(1+INDEX(Data!$G:$G,717-(ROW()-5)))-1</f>
        <v>0.2104945717732214</v>
      </c>
      <c r="D292" s="11" cm="1">
        <f t="array" ref="D292">(1+D291)*(1+INDEX(Data!$H:$H,717-(ROW()-5)))-1</f>
        <v>0.11684518013631995</v>
      </c>
      <c r="E292" s="11" cm="1">
        <f t="array" ref="E292">(1+E291)*(1+INDEX(Data!$I:$I,717-(ROW()-5)))-1</f>
        <v>3.1637451902522207E-2</v>
      </c>
    </row>
    <row r="293" spans="1:5" x14ac:dyDescent="0.2">
      <c r="A293" s="1" cm="1">
        <f t="array" ref="A293">INDEX(Data!$A:$A,717-(ROW()-5))</f>
        <v>45503</v>
      </c>
      <c r="B293" s="11" cm="1">
        <f t="array" ref="B293">(1+B292)*(1+INDEX(Data!$F:$F,717-(ROW()-5)))-1</f>
        <v>0.15364458301759187</v>
      </c>
      <c r="C293" s="11" cm="1">
        <f t="array" ref="C293">(1+C292)*(1+INDEX(Data!$G:$G,717-(ROW()-5)))-1</f>
        <v>0.20687575392038671</v>
      </c>
      <c r="D293" s="11" cm="1">
        <f t="array" ref="D293">(1+D292)*(1+INDEX(Data!$H:$H,717-(ROW()-5)))-1</f>
        <v>0.10196132980943173</v>
      </c>
      <c r="E293" s="11" cm="1">
        <f t="array" ref="E293">(1+E292)*(1+INDEX(Data!$I:$I,717-(ROW()-5)))-1</f>
        <v>3.1637451902522207E-2</v>
      </c>
    </row>
    <row r="294" spans="1:5" x14ac:dyDescent="0.2">
      <c r="A294" s="1" cm="1">
        <f t="array" ref="A294">INDEX(Data!$A:$A,717-(ROW()-5))</f>
        <v>45504</v>
      </c>
      <c r="B294" s="11" cm="1">
        <f t="array" ref="B294">(1+B293)*(1+INDEX(Data!$F:$F,717-(ROW()-5)))-1</f>
        <v>0.15577331335720546</v>
      </c>
      <c r="C294" s="11" cm="1">
        <f t="array" ref="C294">(1+C293)*(1+INDEX(Data!$G:$G,717-(ROW()-5)))-1</f>
        <v>0.20687575392038671</v>
      </c>
      <c r="D294" s="11" cm="1">
        <f t="array" ref="D294">(1+D293)*(1+INDEX(Data!$H:$H,717-(ROW()-5)))-1</f>
        <v>0.13089442203366319</v>
      </c>
      <c r="E294" s="11" cm="1">
        <f t="array" ref="E294">(1+E293)*(1+INDEX(Data!$I:$I,717-(ROW()-5)))-1</f>
        <v>3.1637451902522207E-2</v>
      </c>
    </row>
    <row r="295" spans="1:5" x14ac:dyDescent="0.2">
      <c r="A295" s="1" cm="1">
        <f t="array" ref="A295">INDEX(Data!$A:$A,717-(ROW()-5))</f>
        <v>45505</v>
      </c>
      <c r="B295" s="11" cm="1">
        <f t="array" ref="B295">(1+B294)*(1+INDEX(Data!$F:$F,717-(ROW()-5)))-1</f>
        <v>0.13798568891614171</v>
      </c>
      <c r="C295" s="11" cm="1">
        <f t="array" ref="C295">(1+C294)*(1+INDEX(Data!$G:$G,717-(ROW()-5)))-1</f>
        <v>0.17611580217129141</v>
      </c>
      <c r="D295" s="11" cm="1">
        <f t="array" ref="D295">(1+D294)*(1+INDEX(Data!$H:$H,717-(ROW()-5)))-1</f>
        <v>4.4651550980665533E-2</v>
      </c>
      <c r="E295" s="11" cm="1">
        <f t="array" ref="E295">(1+E294)*(1+INDEX(Data!$I:$I,717-(ROW()-5)))-1</f>
        <v>3.2920051303976017E-2</v>
      </c>
    </row>
    <row r="296" spans="1:5" x14ac:dyDescent="0.2">
      <c r="A296" s="1" cm="1">
        <f t="array" ref="A296">INDEX(Data!$A:$A,717-(ROW()-5))</f>
        <v>45508</v>
      </c>
      <c r="B296" s="11" cm="1">
        <f t="array" ref="B296">(1+B295)*(1+INDEX(Data!$F:$F,717-(ROW()-5)))-1</f>
        <v>0.11215747976838575</v>
      </c>
      <c r="C296" s="11" cm="1">
        <f t="array" ref="C296">(1+C295)*(1+INDEX(Data!$G:$G,717-(ROW()-5)))-1</f>
        <v>0.19813027744270273</v>
      </c>
      <c r="D296" s="11" cm="1">
        <f t="array" ref="D296">(1+D295)*(1+INDEX(Data!$H:$H,717-(ROW()-5)))-1</f>
        <v>4.53470580052866E-2</v>
      </c>
      <c r="E296" s="11" cm="1">
        <f t="array" ref="E296">(1+E295)*(1+INDEX(Data!$I:$I,717-(ROW()-5)))-1</f>
        <v>3.2920051303976017E-2</v>
      </c>
    </row>
    <row r="297" spans="1:5" x14ac:dyDescent="0.2">
      <c r="A297" s="1" cm="1">
        <f t="array" ref="A297">INDEX(Data!$A:$A,717-(ROW()-5))</f>
        <v>45509</v>
      </c>
      <c r="B297" s="11" cm="1">
        <f t="array" ref="B297">(1+B296)*(1+INDEX(Data!$F:$F,717-(ROW()-5)))-1</f>
        <v>0.10269966969972266</v>
      </c>
      <c r="C297" s="11" cm="1">
        <f t="array" ref="C297">(1+C296)*(1+INDEX(Data!$G:$G,717-(ROW()-5)))-1</f>
        <v>0.19813027744270273</v>
      </c>
      <c r="D297" s="11" cm="1">
        <f t="array" ref="D297">(1+D296)*(1+INDEX(Data!$H:$H,717-(ROW()-5)))-1</f>
        <v>2.795938238976281E-2</v>
      </c>
      <c r="E297" s="11" cm="1">
        <f t="array" ref="E297">(1+E296)*(1+INDEX(Data!$I:$I,717-(ROW()-5)))-1</f>
        <v>2.9072253099615253E-2</v>
      </c>
    </row>
    <row r="298" spans="1:5" x14ac:dyDescent="0.2">
      <c r="A298" s="1" cm="1">
        <f t="array" ref="A298">INDEX(Data!$A:$A,717-(ROW()-5))</f>
        <v>45510</v>
      </c>
      <c r="B298" s="11" cm="1">
        <f t="array" ref="B298">(1+B297)*(1+INDEX(Data!$F:$F,717-(ROW()-5)))-1</f>
        <v>0.11978157375645782</v>
      </c>
      <c r="C298" s="11" cm="1">
        <f t="array" ref="C298">(1+C297)*(1+INDEX(Data!$G:$G,717-(ROW()-5)))-1</f>
        <v>0.20024125452352304</v>
      </c>
      <c r="D298" s="11" cm="1">
        <f t="array" ref="D298">(1+D297)*(1+INDEX(Data!$H:$H,717-(ROW()-5)))-1</f>
        <v>2.5038252886360191E-3</v>
      </c>
      <c r="E298" s="11" cm="1">
        <f t="array" ref="E298">(1+E297)*(1+INDEX(Data!$I:$I,717-(ROW()-5)))-1</f>
        <v>3.1209918768704714E-2</v>
      </c>
    </row>
    <row r="299" spans="1:5" x14ac:dyDescent="0.2">
      <c r="A299" s="1" cm="1">
        <f t="array" ref="A299">INDEX(Data!$A:$A,717-(ROW()-5))</f>
        <v>45511</v>
      </c>
      <c r="B299" s="11" cm="1">
        <f t="array" ref="B299">(1+B298)*(1+INDEX(Data!$F:$F,717-(ROW()-5)))-1</f>
        <v>0.13971528231707731</v>
      </c>
      <c r="C299" s="11" cm="1">
        <f t="array" ref="C299">(1+C298)*(1+INDEX(Data!$G:$G,717-(ROW()-5)))-1</f>
        <v>0.21803377563329396</v>
      </c>
      <c r="D299" s="11" cm="1">
        <f t="array" ref="D299">(1+D298)*(1+INDEX(Data!$H:$H,717-(ROW()-5)))-1</f>
        <v>1.4605647517040632E-2</v>
      </c>
      <c r="E299" s="11" cm="1">
        <f t="array" ref="E299">(1+E298)*(1+INDEX(Data!$I:$I,717-(ROW()-5)))-1</f>
        <v>3.1209918768704714E-2</v>
      </c>
    </row>
    <row r="300" spans="1:5" x14ac:dyDescent="0.2">
      <c r="A300" s="1" cm="1">
        <f t="array" ref="A300">INDEX(Data!$A:$A,717-(ROW()-5))</f>
        <v>45512</v>
      </c>
      <c r="B300" s="11" cm="1">
        <f t="array" ref="B300">(1+B299)*(1+INDEX(Data!$F:$F,717-(ROW()-5)))-1</f>
        <v>0.15461061010105759</v>
      </c>
      <c r="C300" s="11" cm="1">
        <f t="array" ref="C300">(1+C299)*(1+INDEX(Data!$G:$G,717-(ROW()-5)))-1</f>
        <v>0.25422195416164128</v>
      </c>
      <c r="D300" s="11" cm="1">
        <f t="array" ref="D300">(1+D299)*(1+INDEX(Data!$H:$H,717-(ROW()-5)))-1</f>
        <v>2.0865210738629125E-2</v>
      </c>
      <c r="E300" s="11" cm="1">
        <f t="array" ref="E300">(1+E299)*(1+INDEX(Data!$I:$I,717-(ROW()-5)))-1</f>
        <v>3.1209918768704714E-2</v>
      </c>
    </row>
    <row r="301" spans="1:5" x14ac:dyDescent="0.2">
      <c r="A301" s="1" cm="1">
        <f t="array" ref="A301">INDEX(Data!$A:$A,717-(ROW()-5))</f>
        <v>45515</v>
      </c>
      <c r="B301" s="11" cm="1">
        <f t="array" ref="B301">(1+B300)*(1+INDEX(Data!$F:$F,717-(ROW()-5)))-1</f>
        <v>0.15794832044333207</v>
      </c>
      <c r="C301" s="11" cm="1">
        <f t="array" ref="C301">(1+C300)*(1+INDEX(Data!$G:$G,717-(ROW()-5)))-1</f>
        <v>0.24155609167671965</v>
      </c>
      <c r="D301" s="11" cm="1">
        <f t="array" ref="D301">(1+D300)*(1+INDEX(Data!$H:$H,717-(ROW()-5)))-1</f>
        <v>5.9813604117406882E-3</v>
      </c>
      <c r="E301" s="11" cm="1">
        <f t="array" ref="E301">(1+E300)*(1+INDEX(Data!$I:$I,717-(ROW()-5)))-1</f>
        <v>2.6079521162890362E-2</v>
      </c>
    </row>
    <row r="302" spans="1:5" x14ac:dyDescent="0.2">
      <c r="A302" s="1" cm="1">
        <f t="array" ref="A302">INDEX(Data!$A:$A,717-(ROW()-5))</f>
        <v>45516</v>
      </c>
      <c r="B302" s="11" cm="1">
        <f t="array" ref="B302">(1+B301)*(1+INDEX(Data!$F:$F,717-(ROW()-5)))-1</f>
        <v>0.141149861458991</v>
      </c>
      <c r="C302" s="11" cm="1">
        <f t="array" ref="C302">(1+C301)*(1+INDEX(Data!$G:$G,717-(ROW()-5)))-1</f>
        <v>0.21531966224366772</v>
      </c>
      <c r="D302" s="11" cm="1">
        <f t="array" ref="D302">(1+D301)*(1+INDEX(Data!$H:$H,717-(ROW()-5)))-1</f>
        <v>-2.156071776324886E-2</v>
      </c>
      <c r="E302" s="11" cm="1">
        <f t="array" ref="E302">(1+E301)*(1+INDEX(Data!$I:$I,717-(ROW()-5)))-1</f>
        <v>2.8217186831979824E-2</v>
      </c>
    </row>
    <row r="303" spans="1:5" x14ac:dyDescent="0.2">
      <c r="A303" s="1" cm="1">
        <f t="array" ref="A303">INDEX(Data!$A:$A,717-(ROW()-5))</f>
        <v>45518</v>
      </c>
      <c r="B303" s="11" cm="1">
        <f t="array" ref="B303">(1+B302)*(1+INDEX(Data!$F:$F,717-(ROW()-5)))-1</f>
        <v>0.16148270695828826</v>
      </c>
      <c r="C303" s="11" cm="1">
        <f t="array" ref="C303">(1+C302)*(1+INDEX(Data!$G:$G,717-(ROW()-5)))-1</f>
        <v>0.22135102533172568</v>
      </c>
      <c r="D303" s="11" cm="1">
        <f t="array" ref="D303">(1+D302)*(1+INDEX(Data!$H:$H,717-(ROW()-5)))-1</f>
        <v>1.0154402559466424E-2</v>
      </c>
      <c r="E303" s="11" cm="1">
        <f t="array" ref="E303">(1+E302)*(1+INDEX(Data!$I:$I,717-(ROW()-5)))-1</f>
        <v>2.8217186831979824E-2</v>
      </c>
    </row>
    <row r="304" spans="1:5" x14ac:dyDescent="0.2">
      <c r="A304" s="1" cm="1">
        <f t="array" ref="A304">INDEX(Data!$A:$A,717-(ROW()-5))</f>
        <v>45519</v>
      </c>
      <c r="B304" s="11" cm="1">
        <f t="array" ref="B304">(1+B303)*(1+INDEX(Data!$F:$F,717-(ROW()-5)))-1</f>
        <v>0.17959426862494543</v>
      </c>
      <c r="C304" s="11" cm="1">
        <f t="array" ref="C304">(1+C303)*(1+INDEX(Data!$G:$G,717-(ROW()-5)))-1</f>
        <v>0.2611580217129077</v>
      </c>
      <c r="D304" s="11" cm="1">
        <f t="array" ref="D304">(1+D303)*(1+INDEX(Data!$H:$H,717-(ROW()-5)))-1</f>
        <v>4.4790652385589658E-2</v>
      </c>
      <c r="E304" s="11" cm="1">
        <f t="array" ref="E304">(1+E303)*(1+INDEX(Data!$I:$I,717-(ROW()-5)))-1</f>
        <v>2.8217186831979824E-2</v>
      </c>
    </row>
    <row r="305" spans="1:5" x14ac:dyDescent="0.2">
      <c r="A305" s="1" cm="1">
        <f t="array" ref="A305">INDEX(Data!$A:$A,717-(ROW()-5))</f>
        <v>45522</v>
      </c>
      <c r="B305" s="11" cm="1">
        <f t="array" ref="B305">(1+B304)*(1+INDEX(Data!$F:$F,717-(ROW()-5)))-1</f>
        <v>0.18654734978857412</v>
      </c>
      <c r="C305" s="11" cm="1">
        <f t="array" ref="C305">(1+C304)*(1+INDEX(Data!$G:$G,717-(ROW()-5)))-1</f>
        <v>0.29644149577804657</v>
      </c>
      <c r="D305" s="11" cm="1">
        <f t="array" ref="D305">(1+D304)*(1+INDEX(Data!$H:$H,717-(ROW()-5)))-1</f>
        <v>5.6892474613994048E-2</v>
      </c>
      <c r="E305" s="11" cm="1">
        <f t="array" ref="E305">(1+E304)*(1+INDEX(Data!$I:$I,717-(ROW()-5)))-1</f>
        <v>2.5224454895254711E-2</v>
      </c>
    </row>
    <row r="306" spans="1:5" x14ac:dyDescent="0.2">
      <c r="A306" s="1" cm="1">
        <f t="array" ref="A306">INDEX(Data!$A:$A,717-(ROW()-5))</f>
        <v>45523</v>
      </c>
      <c r="B306" s="11" cm="1">
        <f t="array" ref="B306">(1+B305)*(1+INDEX(Data!$F:$F,717-(ROW()-5)))-1</f>
        <v>0.18091894049388957</v>
      </c>
      <c r="C306" s="11" cm="1">
        <f t="array" ref="C306">(1+C305)*(1+INDEX(Data!$G:$G,717-(ROW()-5)))-1</f>
        <v>0.28106151990349892</v>
      </c>
      <c r="D306" s="11" cm="1">
        <f t="array" ref="D306">(1+D305)*(1+INDEX(Data!$H:$H,717-(ROW()-5)))-1</f>
        <v>3.0602309083322066E-2</v>
      </c>
      <c r="E306" s="11" cm="1">
        <f t="array" ref="E306">(1+E305)*(1+INDEX(Data!$I:$I,717-(ROW()-5)))-1</f>
        <v>2.5224454895254711E-2</v>
      </c>
    </row>
    <row r="307" spans="1:5" x14ac:dyDescent="0.2">
      <c r="A307" s="1" cm="1">
        <f t="array" ref="A307">INDEX(Data!$A:$A,717-(ROW()-5))</f>
        <v>45524</v>
      </c>
      <c r="B307" s="11" cm="1">
        <f t="array" ref="B307">(1+B306)*(1+INDEX(Data!$F:$F,717-(ROW()-5)))-1</f>
        <v>0.18216841264974959</v>
      </c>
      <c r="C307" s="11" cm="1">
        <f t="array" ref="C307">(1+C306)*(1+INDEX(Data!$G:$G,717-(ROW()-5)))-1</f>
        <v>0.25241254523522372</v>
      </c>
      <c r="D307" s="11" cm="1">
        <f t="array" ref="D307">(1+D306)*(1+INDEX(Data!$H:$H,717-(ROW()-5)))-1</f>
        <v>9.0415913200727616E-3</v>
      </c>
      <c r="E307" s="11" cm="1">
        <f t="array" ref="E307">(1+E306)*(1+INDEX(Data!$I:$I,717-(ROW()-5)))-1</f>
        <v>2.6079521162890362E-2</v>
      </c>
    </row>
    <row r="308" spans="1:5" x14ac:dyDescent="0.2">
      <c r="A308" s="1" cm="1">
        <f t="array" ref="A308">INDEX(Data!$A:$A,717-(ROW()-5))</f>
        <v>45525</v>
      </c>
      <c r="B308" s="11" cm="1">
        <f t="array" ref="B308">(1+B307)*(1+INDEX(Data!$F:$F,717-(ROW()-5)))-1</f>
        <v>0.17371133722443721</v>
      </c>
      <c r="C308" s="11" cm="1">
        <f t="array" ref="C308">(1+C307)*(1+INDEX(Data!$G:$G,717-(ROW()-5)))-1</f>
        <v>0.22738238841978342</v>
      </c>
      <c r="D308" s="11" cm="1">
        <f t="array" ref="D308">(1+D307)*(1+INDEX(Data!$H:$H,717-(ROW()-5)))-1</f>
        <v>6.8159688412856578E-3</v>
      </c>
      <c r="E308" s="11" cm="1">
        <f t="array" ref="E308">(1+E307)*(1+INDEX(Data!$I:$I,717-(ROW()-5)))-1</f>
        <v>1.8811457887986549E-2</v>
      </c>
    </row>
    <row r="309" spans="1:5" x14ac:dyDescent="0.2">
      <c r="A309" s="1" cm="1">
        <f t="array" ref="A309">INDEX(Data!$A:$A,717-(ROW()-5))</f>
        <v>45526</v>
      </c>
      <c r="B309" s="11" cm="1">
        <f t="array" ref="B309">(1+B308)*(1+INDEX(Data!$F:$F,717-(ROW()-5)))-1</f>
        <v>0.17584006756405079</v>
      </c>
      <c r="C309" s="11" cm="1">
        <f t="array" ref="C309">(1+C308)*(1+INDEX(Data!$G:$G,717-(ROW()-5)))-1</f>
        <v>0.23160434258142404</v>
      </c>
      <c r="D309" s="11" cm="1">
        <f t="array" ref="D309">(1+D308)*(1+INDEX(Data!$H:$H,717-(ROW()-5)))-1</f>
        <v>7.5114758659067249E-3</v>
      </c>
      <c r="E309" s="11" cm="1">
        <f t="array" ref="E309">(1+E308)*(1+INDEX(Data!$I:$I,717-(ROW()-5)))-1</f>
        <v>2.1804189824711662E-2</v>
      </c>
    </row>
    <row r="310" spans="1:5" x14ac:dyDescent="0.2">
      <c r="A310" s="1" cm="1">
        <f t="array" ref="A310">INDEX(Data!$A:$A,717-(ROW()-5))</f>
        <v>45529</v>
      </c>
      <c r="B310" s="11" cm="1">
        <f t="array" ref="B310">(1+B309)*(1+INDEX(Data!$F:$F,717-(ROW()-5)))-1</f>
        <v>0.20013535948355243</v>
      </c>
      <c r="C310" s="11" cm="1">
        <f t="array" ref="C310">(1+C309)*(1+INDEX(Data!$G:$G,717-(ROW()-5)))-1</f>
        <v>0.28166465621230485</v>
      </c>
      <c r="D310" s="11" cm="1">
        <f t="array" ref="D310">(1+D309)*(1+INDEX(Data!$H:$H,717-(ROW()-5)))-1</f>
        <v>2.156071776324997E-2</v>
      </c>
      <c r="E310" s="11" cm="1">
        <f t="array" ref="E310">(1+E309)*(1+INDEX(Data!$I:$I,717-(ROW()-5)))-1</f>
        <v>2.1804189824711662E-2</v>
      </c>
    </row>
    <row r="311" spans="1:5" x14ac:dyDescent="0.2">
      <c r="A311" s="1" cm="1">
        <f t="array" ref="A311">INDEX(Data!$A:$A,717-(ROW()-5))</f>
        <v>45530</v>
      </c>
      <c r="B311" s="11" cm="1">
        <f t="array" ref="B311">(1+B310)*(1+INDEX(Data!$F:$F,717-(ROW()-5)))-1</f>
        <v>0.19552503861216119</v>
      </c>
      <c r="C311" s="11" cm="1">
        <f t="array" ref="C311">(1+C310)*(1+INDEX(Data!$G:$G,717-(ROW()-5)))-1</f>
        <v>0.28015681544029025</v>
      </c>
      <c r="D311" s="11" cm="1">
        <f t="array" ref="D311">(1+D310)*(1+INDEX(Data!$H:$H,717-(ROW()-5)))-1</f>
        <v>4.1730421477257584E-2</v>
      </c>
      <c r="E311" s="11" cm="1">
        <f t="array" ref="E311">(1+E310)*(1+INDEX(Data!$I:$I,717-(ROW()-5)))-1</f>
        <v>2.1804189824711662E-2</v>
      </c>
    </row>
    <row r="312" spans="1:5" x14ac:dyDescent="0.2">
      <c r="A312" s="1" cm="1">
        <f t="array" ref="A312">INDEX(Data!$A:$A,717-(ROW()-5))</f>
        <v>45531</v>
      </c>
      <c r="B312" s="11" cm="1">
        <f t="array" ref="B312">(1+B311)*(1+INDEX(Data!$F:$F,717-(ROW()-5)))-1</f>
        <v>0.19404996731704882</v>
      </c>
      <c r="C312" s="11" cm="1">
        <f t="array" ref="C312">(1+C311)*(1+INDEX(Data!$G:$G,717-(ROW()-5)))-1</f>
        <v>0.27171290711700924</v>
      </c>
      <c r="D312" s="11" cm="1">
        <f t="array" ref="D312">(1+D311)*(1+INDEX(Data!$H:$H,717-(ROW()-5)))-1</f>
        <v>1.9056892474614617E-2</v>
      </c>
      <c r="E312" s="11" cm="1">
        <f t="array" ref="E312">(1+E311)*(1+INDEX(Data!$I:$I,717-(ROW()-5)))-1</f>
        <v>2.6079521162890362E-2</v>
      </c>
    </row>
    <row r="313" spans="1:5" x14ac:dyDescent="0.2">
      <c r="A313" s="1" cm="1">
        <f t="array" ref="A313">INDEX(Data!$A:$A,717-(ROW()-5))</f>
        <v>45532</v>
      </c>
      <c r="B313" s="11" cm="1">
        <f t="array" ref="B313">(1+B312)*(1+INDEX(Data!$F:$F,717-(ROW()-5)))-1</f>
        <v>0.20329953202640172</v>
      </c>
      <c r="C313" s="11" cm="1">
        <f t="array" ref="C313">(1+C312)*(1+INDEX(Data!$G:$G,717-(ROW()-5)))-1</f>
        <v>0.27985524728588751</v>
      </c>
      <c r="D313" s="11" cm="1">
        <f t="array" ref="D313">(1+D312)*(1+INDEX(Data!$H:$H,717-(ROW()-5)))-1</f>
        <v>5.717067742384252E-2</v>
      </c>
      <c r="E313" s="11" cm="1">
        <f t="array" ref="E313">(1+E312)*(1+INDEX(Data!$I:$I,717-(ROW()-5)))-1</f>
        <v>2.6079521162890362E-2</v>
      </c>
    </row>
    <row r="314" spans="1:5" x14ac:dyDescent="0.2">
      <c r="A314" s="1" cm="1">
        <f t="array" ref="A314">INDEX(Data!$A:$A,717-(ROW()-5))</f>
        <v>45533</v>
      </c>
      <c r="B314" s="11" cm="1">
        <f t="array" ref="B314">(1+B313)*(1+INDEX(Data!$F:$F,717-(ROW()-5)))-1</f>
        <v>0.2041672210235268</v>
      </c>
      <c r="C314" s="11" cm="1">
        <f t="array" ref="C314">(1+C313)*(1+INDEX(Data!$G:$G,717-(ROW()-5)))-1</f>
        <v>0.29975874547647874</v>
      </c>
      <c r="D314" s="11" cm="1">
        <f t="array" ref="D314">(1+D313)*(1+INDEX(Data!$H:$H,717-(ROW()-5)))-1</f>
        <v>5.717067742384252E-2</v>
      </c>
      <c r="E314" s="11" cm="1">
        <f t="array" ref="E314">(1+E313)*(1+INDEX(Data!$I:$I,717-(ROW()-5)))-1</f>
        <v>3.2064985036340587E-2</v>
      </c>
    </row>
    <row r="315" spans="1:5" x14ac:dyDescent="0.2">
      <c r="A315" s="1" cm="1">
        <f t="array" ref="A315">INDEX(Data!$A:$A,717-(ROW()-5))</f>
        <v>45536</v>
      </c>
      <c r="B315" s="11" cm="1">
        <f t="array" ref="B315">(1+B314)*(1+INDEX(Data!$F:$F,717-(ROW()-5)))-1</f>
        <v>0.19513747086011235</v>
      </c>
      <c r="C315" s="11" cm="1">
        <f t="array" ref="C315">(1+C314)*(1+INDEX(Data!$G:$G,717-(ROW()-5)))-1</f>
        <v>0.26869722557298048</v>
      </c>
      <c r="D315" s="11" cm="1">
        <f t="array" ref="D315">(1+D314)*(1+INDEX(Data!$H:$H,717-(ROW()-5)))-1</f>
        <v>4.0200306023091326E-2</v>
      </c>
      <c r="E315" s="11" cm="1">
        <f t="array" ref="E315">(1+E314)*(1+INDEX(Data!$I:$I,717-(ROW()-5)))-1</f>
        <v>6.7122702009406066E-2</v>
      </c>
    </row>
    <row r="316" spans="1:5" x14ac:dyDescent="0.2">
      <c r="A316" s="1" cm="1">
        <f t="array" ref="A316">INDEX(Data!$A:$A,717-(ROW()-5))</f>
        <v>45537</v>
      </c>
      <c r="B316" s="11" cm="1">
        <f t="array" ref="B316">(1+B315)*(1+INDEX(Data!$F:$F,717-(ROW()-5)))-1</f>
        <v>0.2054282623660153</v>
      </c>
      <c r="C316" s="11" cm="1">
        <f t="array" ref="C316">(1+C315)*(1+INDEX(Data!$G:$G,717-(ROW()-5)))-1</f>
        <v>0.27472858866103844</v>
      </c>
      <c r="D316" s="11" cm="1">
        <f t="array" ref="D316">(1+D315)*(1+INDEX(Data!$H:$H,717-(ROW()-5)))-1</f>
        <v>5.2441229656420063E-2</v>
      </c>
      <c r="E316" s="11" cm="1">
        <f t="array" ref="E316">(1+E315)*(1+INDEX(Data!$I:$I,717-(ROW()-5)))-1</f>
        <v>3.6340316374519288E-2</v>
      </c>
    </row>
    <row r="317" spans="1:5" x14ac:dyDescent="0.2">
      <c r="A317" s="1" cm="1">
        <f t="array" ref="A317">INDEX(Data!$A:$A,717-(ROW()-5))</f>
        <v>45538</v>
      </c>
      <c r="B317" s="11" cm="1">
        <f t="array" ref="B317">(1+B316)*(1+INDEX(Data!$F:$F,717-(ROW()-5)))-1</f>
        <v>0.18993712147067576</v>
      </c>
      <c r="C317" s="11" cm="1">
        <f t="array" ref="C317">(1+C316)*(1+INDEX(Data!$G:$G,717-(ROW()-5)))-1</f>
        <v>0.26598311218335446</v>
      </c>
      <c r="D317" s="11" cm="1">
        <f t="array" ref="D317">(1+D316)*(1+INDEX(Data!$H:$H,717-(ROW()-5)))-1</f>
        <v>5.6892474613994048E-2</v>
      </c>
      <c r="E317" s="11" cm="1">
        <f t="array" ref="E317">(1+E316)*(1+INDEX(Data!$I:$I,717-(ROW()-5)))-1</f>
        <v>3.6340316374519288E-2</v>
      </c>
    </row>
    <row r="318" spans="1:5" x14ac:dyDescent="0.2">
      <c r="A318" s="1" cm="1">
        <f t="array" ref="A318">INDEX(Data!$A:$A,717-(ROW()-5))</f>
        <v>45539</v>
      </c>
      <c r="B318" s="11" cm="1">
        <f t="array" ref="B318">(1+B317)*(1+INDEX(Data!$F:$F,717-(ROW()-5)))-1</f>
        <v>0.18329640834601202</v>
      </c>
      <c r="C318" s="11" cm="1">
        <f t="array" ref="C318">(1+C317)*(1+INDEX(Data!$G:$G,717-(ROW()-5)))-1</f>
        <v>0.26206272617611681</v>
      </c>
      <c r="D318" s="11" cm="1">
        <f t="array" ref="D318">(1+D317)*(1+INDEX(Data!$H:$H,717-(ROW()-5)))-1</f>
        <v>5.0493809987481431E-2</v>
      </c>
      <c r="E318" s="11" cm="1">
        <f t="array" ref="E318">(1+E317)*(1+INDEX(Data!$I:$I,717-(ROW()-5)))-1</f>
        <v>3.6340316374519288E-2</v>
      </c>
    </row>
    <row r="319" spans="1:5" x14ac:dyDescent="0.2">
      <c r="A319" s="1" cm="1">
        <f t="array" ref="A319">INDEX(Data!$A:$A,717-(ROW()-5))</f>
        <v>45540</v>
      </c>
      <c r="B319" s="11" cm="1">
        <f t="array" ref="B319">(1+B318)*(1+INDEX(Data!$F:$F,717-(ROW()-5)))-1</f>
        <v>0.19897844082071914</v>
      </c>
      <c r="C319" s="11" cm="1">
        <f t="array" ref="C319">(1+C318)*(1+INDEX(Data!$G:$G,717-(ROW()-5)))-1</f>
        <v>0.29794933655006139</v>
      </c>
      <c r="D319" s="11" cm="1">
        <f t="array" ref="D319">(1+D318)*(1+INDEX(Data!$H:$H,717-(ROW()-5)))-1</f>
        <v>5.6892474613994048E-2</v>
      </c>
      <c r="E319" s="11" cm="1">
        <f t="array" ref="E319">(1+E318)*(1+INDEX(Data!$I:$I,717-(ROW()-5)))-1</f>
        <v>4.1043180846515925E-2</v>
      </c>
    </row>
    <row r="320" spans="1:5" x14ac:dyDescent="0.2">
      <c r="A320" s="1" cm="1">
        <f t="array" ref="A320">INDEX(Data!$A:$A,717-(ROW()-5))</f>
        <v>45543</v>
      </c>
      <c r="B320" s="11" cm="1">
        <f t="array" ref="B320">(1+B319)*(1+INDEX(Data!$F:$F,717-(ROW()-5)))-1</f>
        <v>0.18048509599532703</v>
      </c>
      <c r="C320" s="11" cm="1">
        <f t="array" ref="C320">(1+C319)*(1+INDEX(Data!$G:$G,717-(ROW()-5)))-1</f>
        <v>0.27683956574185875</v>
      </c>
      <c r="D320" s="11" cm="1">
        <f t="array" ref="D320">(1+D319)*(1+INDEX(Data!$H:$H,717-(ROW()-5)))-1</f>
        <v>2.6568368340520676E-2</v>
      </c>
      <c r="E320" s="11" cm="1">
        <f t="array" ref="E320">(1+E319)*(1+INDEX(Data!$I:$I,717-(ROW()-5)))-1</f>
        <v>4.1043180846515925E-2</v>
      </c>
    </row>
    <row r="321" spans="1:5" x14ac:dyDescent="0.2">
      <c r="A321" s="1" cm="1">
        <f t="array" ref="A321">INDEX(Data!$A:$A,717-(ROW()-5))</f>
        <v>45544</v>
      </c>
      <c r="B321" s="11" cm="1">
        <f t="array" ref="B321">(1+B320)*(1+INDEX(Data!$F:$F,717-(ROW()-5)))-1</f>
        <v>0.17657471091495003</v>
      </c>
      <c r="C321" s="11" cm="1">
        <f t="array" ref="C321">(1+C320)*(1+INDEX(Data!$G:$G,717-(ROW()-5)))-1</f>
        <v>0.24849215922798651</v>
      </c>
      <c r="D321" s="11" cm="1">
        <f t="array" ref="D321">(1+D320)*(1+INDEX(Data!$H:$H,717-(ROW()-5)))-1</f>
        <v>1.9335095284462867E-2</v>
      </c>
      <c r="E321" s="11" cm="1">
        <f t="array" ref="E321">(1+E320)*(1+INDEX(Data!$I:$I,717-(ROW()-5)))-1</f>
        <v>4.1043180846515925E-2</v>
      </c>
    </row>
    <row r="322" spans="1:5" x14ac:dyDescent="0.2">
      <c r="A322" s="1" cm="1">
        <f t="array" ref="A322">INDEX(Data!$A:$A,717-(ROW()-5))</f>
        <v>45545</v>
      </c>
      <c r="B322" s="11" cm="1">
        <f t="array" ref="B322">(1+B321)*(1+INDEX(Data!$F:$F,717-(ROW()-5)))-1</f>
        <v>0.17489139426052724</v>
      </c>
      <c r="C322" s="11" cm="1">
        <f t="array" ref="C322">(1+C321)*(1+INDEX(Data!$G:$G,717-(ROW()-5)))-1</f>
        <v>0.26779252110977181</v>
      </c>
      <c r="D322" s="11" cm="1">
        <f t="array" ref="D322">(1+D321)*(1+INDEX(Data!$H:$H,717-(ROW()-5)))-1</f>
        <v>1.6692168590903167E-2</v>
      </c>
      <c r="E322" s="11" cm="1">
        <f t="array" ref="E322">(1+E321)*(1+INDEX(Data!$I:$I,717-(ROW()-5)))-1</f>
        <v>5.0876442924326915E-2</v>
      </c>
    </row>
    <row r="323" spans="1:5" x14ac:dyDescent="0.2">
      <c r="A323" s="1" cm="1">
        <f t="array" ref="A323">INDEX(Data!$A:$A,717-(ROW()-5))</f>
        <v>45546</v>
      </c>
      <c r="B323" s="11" cm="1">
        <f t="array" ref="B323">(1+B322)*(1+INDEX(Data!$F:$F,717-(ROW()-5)))-1</f>
        <v>0.17616978938295813</v>
      </c>
      <c r="C323" s="11" cm="1">
        <f t="array" ref="C323">(1+C322)*(1+INDEX(Data!$G:$G,717-(ROW()-5)))-1</f>
        <v>0.26960193003618915</v>
      </c>
      <c r="D323" s="11" cm="1">
        <f t="array" ref="D323">(1+D322)*(1+INDEX(Data!$H:$H,717-(ROW()-5)))-1</f>
        <v>5.0076505772711499E-3</v>
      </c>
      <c r="E323" s="11" cm="1">
        <f t="array" ref="E323">(1+E322)*(1+INDEX(Data!$I:$I,717-(ROW()-5)))-1</f>
        <v>5.0876442924326915E-2</v>
      </c>
    </row>
    <row r="324" spans="1:5" x14ac:dyDescent="0.2">
      <c r="A324" s="1" cm="1">
        <f t="array" ref="A324">INDEX(Data!$A:$A,717-(ROW()-5))</f>
        <v>45547</v>
      </c>
      <c r="B324" s="11" cm="1">
        <f t="array" ref="B324">(1+B323)*(1+INDEX(Data!$F:$F,717-(ROW()-5)))-1</f>
        <v>0.18788359084414652</v>
      </c>
      <c r="C324" s="11" cm="1">
        <f t="array" ref="C324">(1+C323)*(1+INDEX(Data!$G:$G,717-(ROW()-5)))-1</f>
        <v>0.25331724969843283</v>
      </c>
      <c r="D324" s="11" cm="1">
        <f t="array" ref="D324">(1+D323)*(1+INDEX(Data!$H:$H,717-(ROW()-5)))-1</f>
        <v>5.536235915982779E-2</v>
      </c>
      <c r="E324" s="11" cm="1">
        <f t="array" ref="E324">(1+E323)*(1+INDEX(Data!$I:$I,717-(ROW()-5)))-1</f>
        <v>5.1731509191962566E-2</v>
      </c>
    </row>
    <row r="325" spans="1:5" x14ac:dyDescent="0.2">
      <c r="A325" s="1" cm="1">
        <f t="array" ref="A325">INDEX(Data!$A:$A,717-(ROW()-5))</f>
        <v>45550</v>
      </c>
      <c r="B325" s="11" cm="1">
        <f t="array" ref="B325">(1+B324)*(1+INDEX(Data!$F:$F,717-(ROW()-5)))-1</f>
        <v>0.18554083055190862</v>
      </c>
      <c r="C325" s="11" cm="1">
        <f t="array" ref="C325">(1+C324)*(1+INDEX(Data!$G:$G,717-(ROW()-5)))-1</f>
        <v>0.22346200241254621</v>
      </c>
      <c r="D325" s="11" cm="1">
        <f t="array" ref="D325">(1+D324)*(1+INDEX(Data!$H:$H,717-(ROW()-5)))-1</f>
        <v>4.9241897343163421E-2</v>
      </c>
      <c r="E325" s="11" cm="1">
        <f t="array" ref="E325">(1+E324)*(1+INDEX(Data!$I:$I,717-(ROW()-5)))-1</f>
        <v>5.1731509191962566E-2</v>
      </c>
    </row>
    <row r="326" spans="1:5" x14ac:dyDescent="0.2">
      <c r="A326" s="1" cm="1">
        <f t="array" ref="A326">INDEX(Data!$A:$A,717-(ROW()-5))</f>
        <v>45551</v>
      </c>
      <c r="B326" s="11" cm="1">
        <f t="array" ref="B326">(1+B325)*(1+INDEX(Data!$F:$F,717-(ROW()-5)))-1</f>
        <v>0.16649794936167073</v>
      </c>
      <c r="C326" s="11" cm="1">
        <f t="array" ref="C326">(1+C325)*(1+INDEX(Data!$G:$G,717-(ROW()-5)))-1</f>
        <v>0.18968636911942194</v>
      </c>
      <c r="D326" s="11" cm="1">
        <f t="array" ref="D326">(1+D325)*(1+INDEX(Data!$H:$H,717-(ROW()-5)))-1</f>
        <v>1.2101822228404835E-2</v>
      </c>
      <c r="E326" s="11" cm="1">
        <f t="array" ref="E326">(1+E325)*(1+INDEX(Data!$I:$I,717-(ROW()-5)))-1</f>
        <v>5.1731509191962566E-2</v>
      </c>
    </row>
    <row r="327" spans="1:5" x14ac:dyDescent="0.2">
      <c r="A327" s="1" cm="1">
        <f t="array" ref="A327">INDEX(Data!$A:$A,717-(ROW()-5))</f>
        <v>45552</v>
      </c>
      <c r="B327" s="11" cm="1">
        <f t="array" ref="B327">(1+B326)*(1+INDEX(Data!$F:$F,717-(ROW()-5)))-1</f>
        <v>0.15205960444950972</v>
      </c>
      <c r="C327" s="11" cm="1">
        <f t="array" ref="C327">(1+C326)*(1+INDEX(Data!$G:$G,717-(ROW()-5)))-1</f>
        <v>0.16465621230398164</v>
      </c>
      <c r="D327" s="11" cm="1">
        <f t="array" ref="D327">(1+D326)*(1+INDEX(Data!$H:$H,717-(ROW()-5)))-1</f>
        <v>-1.3910140492390255E-4</v>
      </c>
      <c r="E327" s="11" cm="1">
        <f t="array" ref="E327">(1+E326)*(1+INDEX(Data!$I:$I,717-(ROW()-5)))-1</f>
        <v>5.1731509191962566E-2</v>
      </c>
    </row>
    <row r="328" spans="1:5" x14ac:dyDescent="0.2">
      <c r="A328" s="1" cm="1">
        <f t="array" ref="A328">INDEX(Data!$A:$A,717-(ROW()-5))</f>
        <v>45553</v>
      </c>
      <c r="B328" s="11" cm="1">
        <f t="array" ref="B328">(1+B327)*(1+INDEX(Data!$F:$F,717-(ROW()-5)))-1</f>
        <v>0.15529897670544335</v>
      </c>
      <c r="C328" s="11" cm="1">
        <f t="array" ref="C328">(1+C327)*(1+INDEX(Data!$G:$G,717-(ROW()-5)))-1</f>
        <v>0.16706875753920469</v>
      </c>
      <c r="D328" s="11" cm="1">
        <f t="array" ref="D328">(1+D327)*(1+INDEX(Data!$H:$H,717-(ROW()-5)))-1</f>
        <v>5.0076505772711499E-3</v>
      </c>
      <c r="E328" s="11" cm="1">
        <f t="array" ref="E328">(1+E327)*(1+INDEX(Data!$I:$I,717-(ROW()-5)))-1</f>
        <v>5.1731509191962566E-2</v>
      </c>
    </row>
    <row r="329" spans="1:5" x14ac:dyDescent="0.2">
      <c r="A329" s="1" cm="1">
        <f t="array" ref="A329">INDEX(Data!$A:$A,717-(ROW()-5))</f>
        <v>45554</v>
      </c>
      <c r="B329" s="11" cm="1">
        <f t="array" ref="B329">(1+B328)*(1+INDEX(Data!$F:$F,717-(ROW()-5)))-1</f>
        <v>0.15187449746345627</v>
      </c>
      <c r="C329" s="11" cm="1">
        <f t="array" ref="C329">(1+C328)*(1+INDEX(Data!$G:$G,717-(ROW()-5)))-1</f>
        <v>0.17822677925211172</v>
      </c>
      <c r="D329" s="11" cm="1">
        <f t="array" ref="D329">(1+D328)*(1+INDEX(Data!$H:$H,717-(ROW()-5)))-1</f>
        <v>-1.0571706774238021E-2</v>
      </c>
      <c r="E329" s="11" cm="1">
        <f t="array" ref="E329">(1+E328)*(1+INDEX(Data!$I:$I,717-(ROW()-5)))-1</f>
        <v>5.1731509191962566E-2</v>
      </c>
    </row>
    <row r="330" spans="1:5" x14ac:dyDescent="0.2">
      <c r="A330" s="1" cm="1">
        <f t="array" ref="A330">INDEX(Data!$A:$A,717-(ROW()-5))</f>
        <v>45557</v>
      </c>
      <c r="B330" s="11" cm="1">
        <f t="array" ref="B330">(1+B329)*(1+INDEX(Data!$F:$F,717-(ROW()-5)))-1</f>
        <v>0.16017538886928606</v>
      </c>
      <c r="C330" s="11" cm="1">
        <f t="array" ref="C330">(1+C329)*(1+INDEX(Data!$G:$G,717-(ROW()-5)))-1</f>
        <v>0.18094089264173774</v>
      </c>
      <c r="D330" s="11" cm="1">
        <f t="array" ref="D330">(1+D329)*(1+INDEX(Data!$H:$H,717-(ROW()-5)))-1</f>
        <v>-1.0571706774238021E-2</v>
      </c>
      <c r="E330" s="11" cm="1">
        <f t="array" ref="E330">(1+E329)*(1+INDEX(Data!$I:$I,717-(ROW()-5)))-1</f>
        <v>5.1731509191962566E-2</v>
      </c>
    </row>
    <row r="331" spans="1:5" x14ac:dyDescent="0.2">
      <c r="A331" s="1" cm="1">
        <f t="array" ref="A331">INDEX(Data!$A:$A,717-(ROW()-5))</f>
        <v>45558</v>
      </c>
      <c r="B331" s="11" cm="1">
        <f t="array" ref="B331">(1+B330)*(1+INDEX(Data!$F:$F,717-(ROW()-5)))-1</f>
        <v>0.16712847003291476</v>
      </c>
      <c r="C331" s="11" cm="1">
        <f t="array" ref="C331">(1+C330)*(1+INDEX(Data!$G:$G,717-(ROW()-5)))-1</f>
        <v>0.20838359469240131</v>
      </c>
      <c r="D331" s="11" cm="1">
        <f t="array" ref="D331">(1+D330)*(1+INDEX(Data!$H:$H,717-(ROW()-5)))-1</f>
        <v>-2.9350396439003612E-2</v>
      </c>
      <c r="E331" s="11" cm="1">
        <f t="array" ref="E331">(1+E330)*(1+INDEX(Data!$I:$I,717-(ROW()-5)))-1</f>
        <v>5.1731509191962566E-2</v>
      </c>
    </row>
    <row r="332" spans="1:5" x14ac:dyDescent="0.2">
      <c r="A332" s="1" cm="1">
        <f t="array" ref="A332">INDEX(Data!$A:$A,717-(ROW()-5))</f>
        <v>45559</v>
      </c>
      <c r="B332" s="11" cm="1">
        <f t="array" ref="B332">(1+B331)*(1+INDEX(Data!$F:$F,717-(ROW()-5)))-1</f>
        <v>0.18138170795902231</v>
      </c>
      <c r="C332" s="11" cm="1">
        <f t="array" ref="C332">(1+C331)*(1+INDEX(Data!$G:$G,717-(ROW()-5)))-1</f>
        <v>0.212002412545236</v>
      </c>
      <c r="D332" s="11" cm="1">
        <f t="array" ref="D332">(1+D331)*(1+INDEX(Data!$H:$H,717-(ROW()-5)))-1</f>
        <v>-2.5594658506050472E-2</v>
      </c>
      <c r="E332" s="11" cm="1">
        <f t="array" ref="E332">(1+E331)*(1+INDEX(Data!$I:$I,717-(ROW()-5)))-1</f>
        <v>5.1731509191962566E-2</v>
      </c>
    </row>
    <row r="333" spans="1:5" x14ac:dyDescent="0.2">
      <c r="A333" s="1" cm="1">
        <f t="array" ref="A333">INDEX(Data!$A:$A,717-(ROW()-5))</f>
        <v>45560</v>
      </c>
      <c r="B333" s="11" cm="1">
        <f t="array" ref="B333">(1+B332)*(1+INDEX(Data!$F:$F,717-(ROW()-5)))-1</f>
        <v>0.19182289889109394</v>
      </c>
      <c r="C333" s="11" cm="1">
        <f t="array" ref="C333">(1+C332)*(1+INDEX(Data!$G:$G,717-(ROW()-5)))-1</f>
        <v>0.21652593486127936</v>
      </c>
      <c r="D333" s="11" cm="1">
        <f t="array" ref="D333">(1+D332)*(1+INDEX(Data!$H:$H,717-(ROW()-5)))-1</f>
        <v>2.6429266935599216E-3</v>
      </c>
      <c r="E333" s="11" cm="1">
        <f t="array" ref="E333">(1+E332)*(1+INDEX(Data!$I:$I,717-(ROW()-5)))-1</f>
        <v>5.1731509191962566E-2</v>
      </c>
    </row>
    <row r="334" spans="1:5" x14ac:dyDescent="0.2">
      <c r="A334" s="1" cm="1">
        <f t="array" ref="A334">INDEX(Data!$A:$A,717-(ROW()-5))</f>
        <v>45561</v>
      </c>
      <c r="B334" s="11" cm="1">
        <f t="array" ref="B334">(1+B333)*(1+INDEX(Data!$F:$F,717-(ROW()-5)))-1</f>
        <v>0.20971464601181267</v>
      </c>
      <c r="C334" s="11" cm="1">
        <f t="array" ref="C334">(1+C333)*(1+INDEX(Data!$G:$G,717-(ROW()-5)))-1</f>
        <v>0.2303980699638124</v>
      </c>
      <c r="D334" s="11" cm="1">
        <f t="array" ref="D334">(1+D333)*(1+INDEX(Data!$H:$H,717-(ROW()-5)))-1</f>
        <v>1.5579357351509504E-2</v>
      </c>
      <c r="E334" s="11" cm="1">
        <f t="array" ref="E334">(1+E333)*(1+INDEX(Data!$I:$I,717-(ROW()-5)))-1</f>
        <v>5.1731509191962566E-2</v>
      </c>
    </row>
    <row r="335" spans="1:5" x14ac:dyDescent="0.2">
      <c r="A335" s="1" cm="1">
        <f t="array" ref="A335">INDEX(Data!$A:$A,717-(ROW()-5))</f>
        <v>45564</v>
      </c>
      <c r="B335" s="11" cm="1">
        <f t="array" ref="B335">(1+B334)*(1+INDEX(Data!$F:$F,717-(ROW()-5)))-1</f>
        <v>0.22227878269018331</v>
      </c>
      <c r="C335" s="11" cm="1">
        <f t="array" ref="C335">(1+C334)*(1+INDEX(Data!$G:$G,717-(ROW()-5)))-1</f>
        <v>0.27231604342581495</v>
      </c>
      <c r="D335" s="11" cm="1">
        <f t="array" ref="D335">(1+D334)*(1+INDEX(Data!$H:$H,717-(ROW()-5)))-1</f>
        <v>2.7402976770065646E-2</v>
      </c>
      <c r="E335" s="11" cm="1">
        <f t="array" ref="E335">(1+E334)*(1+INDEX(Data!$I:$I,717-(ROW()-5)))-1</f>
        <v>5.1731509191962566E-2</v>
      </c>
    </row>
    <row r="336" spans="1:5" x14ac:dyDescent="0.2">
      <c r="A336" s="1" cm="1">
        <f t="array" ref="A336">INDEX(Data!$A:$A,717-(ROW()-5))</f>
        <v>45565</v>
      </c>
      <c r="B336" s="11" cm="1">
        <f t="array" ref="B336">(1+B335)*(1+INDEX(Data!$F:$F,717-(ROW()-5)))-1</f>
        <v>0.22543717063971846</v>
      </c>
      <c r="C336" s="11" cm="1">
        <f t="array" ref="C336">(1+C335)*(1+INDEX(Data!$G:$G,717-(ROW()-5)))-1</f>
        <v>0.28558504221954228</v>
      </c>
      <c r="D336" s="11" cm="1">
        <f t="array" ref="D336">(1+D335)*(1+INDEX(Data!$H:$H,717-(ROW()-5)))-1</f>
        <v>3.6861872304910559E-2</v>
      </c>
      <c r="E336" s="11" cm="1">
        <f t="array" ref="E336">(1+E335)*(1+INDEX(Data!$I:$I,717-(ROW()-5)))-1</f>
        <v>5.1731509191962566E-2</v>
      </c>
    </row>
    <row r="337" spans="1:5" x14ac:dyDescent="0.2">
      <c r="A337" s="1" cm="1">
        <f t="array" ref="A337">INDEX(Data!$A:$A,717-(ROW()-5))</f>
        <v>45566</v>
      </c>
      <c r="B337" s="11" cm="1">
        <f t="array" ref="B337">(1+B336)*(1+INDEX(Data!$F:$F,717-(ROW()-5)))-1</f>
        <v>0.21038565883625582</v>
      </c>
      <c r="C337" s="11" cm="1">
        <f t="array" ref="C337">(1+C336)*(1+INDEX(Data!$G:$G,717-(ROW()-5)))-1</f>
        <v>0.25241254523522372</v>
      </c>
      <c r="D337" s="11" cm="1">
        <f t="array" ref="D337">(1+D336)*(1+INDEX(Data!$H:$H,717-(ROW()-5)))-1</f>
        <v>4.0061204618166979E-2</v>
      </c>
      <c r="E337" s="11" cm="1">
        <f t="array" ref="E337">(1+E336)*(1+INDEX(Data!$I:$I,717-(ROW()-5)))-1</f>
        <v>5.1731509191962566E-2</v>
      </c>
    </row>
    <row r="338" spans="1:5" x14ac:dyDescent="0.2">
      <c r="A338" s="1" cm="1">
        <f t="array" ref="A338">INDEX(Data!$A:$A,717-(ROW()-5))</f>
        <v>45571</v>
      </c>
      <c r="B338" s="11" cm="1">
        <f t="array" ref="B338">(1+B337)*(1+INDEX(Data!$F:$F,717-(ROW()-5)))-1</f>
        <v>0.20613976734365735</v>
      </c>
      <c r="C338" s="11" cm="1">
        <f t="array" ref="C338">(1+C337)*(1+INDEX(Data!$G:$G,717-(ROW()-5)))-1</f>
        <v>0.2303980699638124</v>
      </c>
      <c r="D338" s="11" cm="1">
        <f t="array" ref="D338">(1+D337)*(1+INDEX(Data!$H:$H,717-(ROW()-5)))-1</f>
        <v>1.279732925302568E-2</v>
      </c>
      <c r="E338" s="11" cm="1">
        <f t="array" ref="E338">(1+E337)*(1+INDEX(Data!$I:$I,717-(ROW()-5)))-1</f>
        <v>5.1731509191962566E-2</v>
      </c>
    </row>
    <row r="339" spans="1:5" x14ac:dyDescent="0.2">
      <c r="A339" s="1" cm="1">
        <f t="array" ref="A339">INDEX(Data!$A:$A,717-(ROW()-5))</f>
        <v>45572</v>
      </c>
      <c r="B339" s="11" cm="1">
        <f t="array" ref="B339">(1+B338)*(1+INDEX(Data!$F:$F,717-(ROW()-5)))-1</f>
        <v>0.20915354046033841</v>
      </c>
      <c r="C339" s="11" cm="1">
        <f t="array" ref="C339">(1+C338)*(1+INDEX(Data!$G:$G,717-(ROW()-5)))-1</f>
        <v>0.22768395657418639</v>
      </c>
      <c r="D339" s="11" cm="1">
        <f t="array" ref="D339">(1+D338)*(1+INDEX(Data!$H:$H,717-(ROW()-5)))-1</f>
        <v>2.2256224787870593E-2</v>
      </c>
      <c r="E339" s="11" cm="1">
        <f t="array" ref="E339">(1+E338)*(1+INDEX(Data!$I:$I,717-(ROW()-5)))-1</f>
        <v>4.7456177853783865E-2</v>
      </c>
    </row>
    <row r="340" spans="1:5" x14ac:dyDescent="0.2">
      <c r="A340" s="1" cm="1">
        <f t="array" ref="A340">INDEX(Data!$A:$A,717-(ROW()-5))</f>
        <v>45573</v>
      </c>
      <c r="B340" s="11" cm="1">
        <f t="array" ref="B340">(1+B339)*(1+INDEX(Data!$F:$F,717-(ROW()-5)))-1</f>
        <v>0.21036252046299908</v>
      </c>
      <c r="C340" s="11" cm="1">
        <f t="array" ref="C340">(1+C339)*(1+INDEX(Data!$G:$G,717-(ROW()-5)))-1</f>
        <v>0.2126055488540417</v>
      </c>
      <c r="D340" s="11" cm="1">
        <f t="array" ref="D340">(1+D339)*(1+INDEX(Data!$H:$H,717-(ROW()-5)))-1</f>
        <v>1.3214633467798276E-2</v>
      </c>
      <c r="E340" s="11" cm="1">
        <f t="array" ref="E340">(1+E339)*(1+INDEX(Data!$I:$I,717-(ROW()-5)))-1</f>
        <v>1.2825994014536324E-2</v>
      </c>
    </row>
    <row r="341" spans="1:5" x14ac:dyDescent="0.2">
      <c r="A341" s="1" cm="1">
        <f t="array" ref="A341">INDEX(Data!$A:$A,717-(ROW()-5))</f>
        <v>45574</v>
      </c>
      <c r="B341" s="11" cm="1">
        <f t="array" ref="B341">(1+B340)*(1+INDEX(Data!$F:$F,717-(ROW()-5)))-1</f>
        <v>0.21890636478802361</v>
      </c>
      <c r="C341" s="11" cm="1">
        <f t="array" ref="C341">(1+C340)*(1+INDEX(Data!$G:$G,717-(ROW()-5)))-1</f>
        <v>0.22979493365500669</v>
      </c>
      <c r="D341" s="11" cm="1">
        <f t="array" ref="D341">(1+D340)*(1+INDEX(Data!$H:$H,717-(ROW()-5)))-1</f>
        <v>-6.9550702462062297E-4</v>
      </c>
      <c r="E341" s="11" cm="1">
        <f t="array" ref="E341">(1+E340)*(1+INDEX(Data!$I:$I,717-(ROW()-5)))-1</f>
        <v>1.8811457887986549E-2</v>
      </c>
    </row>
    <row r="342" spans="1:5" x14ac:dyDescent="0.2">
      <c r="A342" s="1" cm="1">
        <f t="array" ref="A342">INDEX(Data!$A:$A,717-(ROW()-5))</f>
        <v>45575</v>
      </c>
      <c r="B342" s="11" cm="1">
        <f t="array" ref="B342">(1+B341)*(1+INDEX(Data!$F:$F,717-(ROW()-5)))-1</f>
        <v>0.20718677873352132</v>
      </c>
      <c r="C342" s="11" cm="1">
        <f t="array" ref="C342">(1+C341)*(1+INDEX(Data!$G:$G,717-(ROW()-5)))-1</f>
        <v>0.21863691194209944</v>
      </c>
      <c r="D342" s="11" cm="1">
        <f t="array" ref="D342">(1+D341)*(1+INDEX(Data!$H:$H,717-(ROW()-5)))-1</f>
        <v>-8.2069828905269038E-3</v>
      </c>
      <c r="E342" s="11" cm="1">
        <f t="array" ref="E342">(1+E341)*(1+INDEX(Data!$I:$I,717-(ROW()-5)))-1</f>
        <v>1.8811457887986549E-2</v>
      </c>
    </row>
    <row r="343" spans="1:5" x14ac:dyDescent="0.2">
      <c r="A343" s="1" cm="1">
        <f t="array" ref="A343">INDEX(Data!$A:$A,717-(ROW()-5))</f>
        <v>45578</v>
      </c>
      <c r="B343" s="11" cm="1">
        <f t="array" ref="B343">(1+B342)*(1+INDEX(Data!$F:$F,717-(ROW()-5)))-1</f>
        <v>0.21781307665164618</v>
      </c>
      <c r="C343" s="11" cm="1">
        <f t="array" ref="C343">(1+C342)*(1+INDEX(Data!$G:$G,717-(ROW()-5)))-1</f>
        <v>0.21622436670687639</v>
      </c>
      <c r="D343" s="11" cm="1">
        <f t="array" ref="D343">(1+D342)*(1+INDEX(Data!$H:$H,717-(ROW()-5)))-1</f>
        <v>9.0415913200725395E-3</v>
      </c>
      <c r="E343" s="11" cm="1">
        <f t="array" ref="E343">(1+E342)*(1+INDEX(Data!$I:$I,717-(ROW()-5)))-1</f>
        <v>1.7528858486532961E-2</v>
      </c>
    </row>
    <row r="344" spans="1:5" x14ac:dyDescent="0.2">
      <c r="A344" s="1" cm="1">
        <f t="array" ref="A344">INDEX(Data!$A:$A,717-(ROW()-5))</f>
        <v>45579</v>
      </c>
      <c r="B344" s="11" cm="1">
        <f t="array" ref="B344">(1+B343)*(1+INDEX(Data!$F:$F,717-(ROW()-5)))-1</f>
        <v>0.22543138604640411</v>
      </c>
      <c r="C344" s="11" cm="1">
        <f t="array" ref="C344">(1+C343)*(1+INDEX(Data!$G:$G,717-(ROW()-5)))-1</f>
        <v>0.2168275030156821</v>
      </c>
      <c r="D344" s="11" cm="1">
        <f t="array" ref="D344">(1+D343)*(1+INDEX(Data!$H:$H,717-(ROW()-5)))-1</f>
        <v>9.7370983446936066E-3</v>
      </c>
      <c r="E344" s="11" cm="1">
        <f t="array" ref="E344">(1+E343)*(1+INDEX(Data!$I:$I,717-(ROW()-5)))-1</f>
        <v>2.2659256092347313E-2</v>
      </c>
    </row>
    <row r="345" spans="1:5" x14ac:dyDescent="0.2">
      <c r="A345" s="1" cm="1">
        <f t="array" ref="A345">INDEX(Data!$A:$A,717-(ROW()-5))</f>
        <v>45580</v>
      </c>
      <c r="B345" s="11" cm="1">
        <f t="array" ref="B345">(1+B344)*(1+INDEX(Data!$F:$F,717-(ROW()-5)))-1</f>
        <v>0.23341990941326873</v>
      </c>
      <c r="C345" s="11" cm="1">
        <f t="array" ref="C345">(1+C344)*(1+INDEX(Data!$G:$G,717-(ROW()-5)))-1</f>
        <v>0.23733413751507881</v>
      </c>
      <c r="D345" s="11" cm="1">
        <f t="array" ref="D345">(1+D344)*(1+INDEX(Data!$H:$H,717-(ROW()-5)))-1</f>
        <v>-7.9287800806785436E-3</v>
      </c>
      <c r="E345" s="11" cm="1">
        <f t="array" ref="E345">(1+E344)*(1+INDEX(Data!$I:$I,717-(ROW()-5)))-1</f>
        <v>2.565198802907398E-3</v>
      </c>
    </row>
    <row r="346" spans="1:5" x14ac:dyDescent="0.2">
      <c r="A346" s="1" cm="1">
        <f t="array" ref="A346">INDEX(Data!$A:$A,717-(ROW()-5))</f>
        <v>45585</v>
      </c>
      <c r="B346" s="11" cm="1">
        <f t="array" ref="B346">(1+B345)*(1+INDEX(Data!$F:$F,717-(ROW()-5)))-1</f>
        <v>0.25945636392033466</v>
      </c>
      <c r="C346" s="11" cm="1">
        <f t="array" ref="C346">(1+C345)*(1+INDEX(Data!$G:$G,717-(ROW()-5)))-1</f>
        <v>0.31785283474065196</v>
      </c>
      <c r="D346" s="11" cm="1">
        <f t="array" ref="D346">(1+D345)*(1+INDEX(Data!$H:$H,717-(ROW()-5)))-1</f>
        <v>1.0571706774238576E-2</v>
      </c>
      <c r="E346" s="11" cm="1">
        <f t="array" ref="E346">(1+E345)*(1+INDEX(Data!$I:$I,717-(ROW()-5)))-1</f>
        <v>2.565198802907398E-3</v>
      </c>
    </row>
    <row r="347" spans="1:5" x14ac:dyDescent="0.2">
      <c r="A347" s="1" cm="1">
        <f t="array" ref="A347">INDEX(Data!$A:$A,717-(ROW()-5))</f>
        <v>45586</v>
      </c>
      <c r="B347" s="11" cm="1">
        <f t="array" ref="B347">(1+B346)*(1+INDEX(Data!$F:$F,717-(ROW()-5)))-1</f>
        <v>0.25658142104319359</v>
      </c>
      <c r="C347" s="11" cm="1">
        <f t="array" ref="C347">(1+C346)*(1+INDEX(Data!$G:$G,717-(ROW()-5)))-1</f>
        <v>0.29674306393244931</v>
      </c>
      <c r="D347" s="11" cm="1">
        <f t="array" ref="D347">(1+D346)*(1+INDEX(Data!$H:$H,717-(ROW()-5)))-1</f>
        <v>1.0571706774238576E-2</v>
      </c>
      <c r="E347" s="11" cm="1">
        <f t="array" ref="E347">(1+E346)*(1+INDEX(Data!$I:$I,717-(ROW()-5)))-1</f>
        <v>8.1231295425396866E-3</v>
      </c>
    </row>
    <row r="348" spans="1:5" x14ac:dyDescent="0.2">
      <c r="A348" s="1" cm="1">
        <f t="array" ref="A348">INDEX(Data!$A:$A,717-(ROW()-5))</f>
        <v>45587</v>
      </c>
      <c r="B348" s="11" cm="1">
        <f t="array" ref="B348">(1+B347)*(1+INDEX(Data!$F:$F,717-(ROW()-5)))-1</f>
        <v>0.24540558676022273</v>
      </c>
      <c r="C348" s="11" cm="1">
        <f t="array" ref="C348">(1+C347)*(1+INDEX(Data!$G:$G,717-(ROW()-5)))-1</f>
        <v>0.25753920386007301</v>
      </c>
      <c r="D348" s="11" cm="1">
        <f t="array" ref="D348">(1+D347)*(1+INDEX(Data!$H:$H,717-(ROW()-5)))-1</f>
        <v>4.3121435526500829E-3</v>
      </c>
      <c r="E348" s="11" cm="1">
        <f t="array" ref="E348">(1+E347)*(1+INDEX(Data!$I:$I,717-(ROW()-5)))-1</f>
        <v>8.1231295425396866E-3</v>
      </c>
    </row>
    <row r="349" spans="1:5" x14ac:dyDescent="0.2">
      <c r="A349" s="1" cm="1">
        <f t="array" ref="A349">INDEX(Data!$A:$A,717-(ROW()-5))</f>
        <v>45592</v>
      </c>
      <c r="B349" s="11" cm="1">
        <f t="array" ref="B349">(1+B348)*(1+INDEX(Data!$F:$F,717-(ROW()-5)))-1</f>
        <v>0.25657563644987946</v>
      </c>
      <c r="C349" s="11" cm="1">
        <f t="array" ref="C349">(1+C348)*(1+INDEX(Data!$G:$G,717-(ROW()-5)))-1</f>
        <v>0.2825693606755133</v>
      </c>
      <c r="D349" s="11" cm="1">
        <f t="array" ref="D349">(1+D348)*(1+INDEX(Data!$H:$H,717-(ROW()-5)))-1</f>
        <v>2.3369036027264034E-2</v>
      </c>
      <c r="E349" s="11" cm="1">
        <f t="array" ref="E349">(1+E348)*(1+INDEX(Data!$I:$I,717-(ROW()-5)))-1</f>
        <v>4.7028644719966373E-3</v>
      </c>
    </row>
    <row r="350" spans="1:5" x14ac:dyDescent="0.2">
      <c r="A350" s="1" cm="1">
        <f t="array" ref="A350">INDEX(Data!$A:$A,717-(ROW()-5))</f>
        <v>45593</v>
      </c>
      <c r="B350" s="11" cm="1">
        <f t="array" ref="B350">(1+B349)*(1+INDEX(Data!$F:$F,717-(ROW()-5)))-1</f>
        <v>0.25699791176181352</v>
      </c>
      <c r="C350" s="11" cm="1">
        <f t="array" ref="C350">(1+C349)*(1+INDEX(Data!$G:$G,717-(ROW()-5)))-1</f>
        <v>0.31483715319662298</v>
      </c>
      <c r="D350" s="11" cm="1">
        <f t="array" ref="D350">(1+D349)*(1+INDEX(Data!$H:$H,717-(ROW()-5)))-1</f>
        <v>2.3369036027264034E-2</v>
      </c>
      <c r="E350" s="11" cm="1">
        <f t="array" ref="E350">(1+E349)*(1+INDEX(Data!$I:$I,717-(ROW()-5)))-1</f>
        <v>-8.9781958101752268E-3</v>
      </c>
    </row>
    <row r="351" spans="1:5" x14ac:dyDescent="0.2">
      <c r="A351" s="1" cm="1">
        <f t="array" ref="A351">INDEX(Data!$A:$A,717-(ROW()-5))</f>
        <v>45594</v>
      </c>
      <c r="B351" s="11" cm="1">
        <f t="array" ref="B351">(1+B350)*(1+INDEX(Data!$F:$F,717-(ROW()-5)))-1</f>
        <v>0.26718458058806149</v>
      </c>
      <c r="C351" s="11" cm="1">
        <f t="array" ref="C351">(1+C350)*(1+INDEX(Data!$G:$G,717-(ROW()-5)))-1</f>
        <v>0.36067551266586317</v>
      </c>
      <c r="D351" s="11" cm="1">
        <f t="array" ref="D351">(1+D350)*(1+INDEX(Data!$H:$H,717-(ROW()-5)))-1</f>
        <v>3.3245235776881543E-2</v>
      </c>
      <c r="E351" s="11" cm="1">
        <f t="array" ref="E351">(1+E350)*(1+INDEX(Data!$I:$I,717-(ROW()-5)))-1</f>
        <v>-8.9781958101752268E-3</v>
      </c>
    </row>
    <row r="352" spans="1:5" x14ac:dyDescent="0.2">
      <c r="A352" s="1" cm="1">
        <f t="array" ref="A352">INDEX(Data!$A:$A,717-(ROW()-5))</f>
        <v>45595</v>
      </c>
      <c r="B352" s="11" cm="1">
        <f t="array" ref="B352">(1+B351)*(1+INDEX(Data!$F:$F,717-(ROW()-5)))-1</f>
        <v>0.2866150295303489</v>
      </c>
      <c r="C352" s="11" cm="1">
        <f t="array" ref="C352">(1+C351)*(1+INDEX(Data!$G:$G,717-(ROW()-5)))-1</f>
        <v>0.43516284680337836</v>
      </c>
      <c r="D352" s="11" cm="1">
        <f t="array" ref="D352">(1+D351)*(1+INDEX(Data!$H:$H,717-(ROW()-5)))-1</f>
        <v>4.6459869244679597E-2</v>
      </c>
      <c r="E352" s="11" cm="1">
        <f t="array" ref="E352">(1+E351)*(1+INDEX(Data!$I:$I,717-(ROW()-5)))-1</f>
        <v>-8.9781958101752268E-3</v>
      </c>
    </row>
    <row r="353" spans="1:5" x14ac:dyDescent="0.2">
      <c r="A353" s="1" cm="1">
        <f t="array" ref="A353">INDEX(Data!$A:$A,717-(ROW()-5))</f>
        <v>45596</v>
      </c>
      <c r="B353" s="11" cm="1">
        <f t="array" ref="B353">(1+B352)*(1+INDEX(Data!$F:$F,717-(ROW()-5)))-1</f>
        <v>0.2805007143972742</v>
      </c>
      <c r="C353" s="11" cm="1">
        <f t="array" ref="C353">(1+C352)*(1+INDEX(Data!$G:$G,717-(ROW()-5)))-1</f>
        <v>0.42370325693606836</v>
      </c>
      <c r="D353" s="11" cm="1">
        <f t="array" ref="D353">(1+D352)*(1+INDEX(Data!$H:$H,717-(ROW()-5)))-1</f>
        <v>5.3971345110585878E-2</v>
      </c>
      <c r="E353" s="11" cm="1">
        <f t="array" ref="E353">(1+E352)*(1+INDEX(Data!$I:$I,717-(ROW()-5)))-1</f>
        <v>-8.9781958101752268E-3</v>
      </c>
    </row>
    <row r="354" spans="1:5" x14ac:dyDescent="0.2">
      <c r="A354" s="1" cm="1">
        <f t="array" ref="A354">INDEX(Data!$A:$A,717-(ROW()-5))</f>
        <v>45599</v>
      </c>
      <c r="B354" s="11" cm="1">
        <f t="array" ref="B354">(1+B353)*(1+INDEX(Data!$F:$F,717-(ROW()-5)))-1</f>
        <v>0.28028089985133597</v>
      </c>
      <c r="C354" s="11" cm="1">
        <f t="array" ref="C354">(1+C353)*(1+INDEX(Data!$G:$G,717-(ROW()-5)))-1</f>
        <v>0.42732207478890305</v>
      </c>
      <c r="D354" s="11" cm="1">
        <f t="array" ref="D354">(1+D353)*(1+INDEX(Data!$H:$H,717-(ROW()-5)))-1</f>
        <v>4.3816942551120119E-2</v>
      </c>
      <c r="E354" s="11" cm="1">
        <f t="array" ref="E354">(1+E353)*(1+INDEX(Data!$I:$I,717-(ROW()-5)))-1</f>
        <v>-7.6955964087217499E-3</v>
      </c>
    </row>
    <row r="355" spans="1:5" x14ac:dyDescent="0.2">
      <c r="A355" s="1" cm="1">
        <f t="array" ref="A355">INDEX(Data!$A:$A,717-(ROW()-5))</f>
        <v>45600</v>
      </c>
      <c r="B355" s="11" cm="1">
        <f t="array" ref="B355">(1+B354)*(1+INDEX(Data!$F:$F,717-(ROW()-5)))-1</f>
        <v>0.27981234779288822</v>
      </c>
      <c r="C355" s="11" cm="1">
        <f t="array" ref="C355">(1+C354)*(1+INDEX(Data!$G:$G,717-(ROW()-5)))-1</f>
        <v>0.41284680337756408</v>
      </c>
      <c r="D355" s="11" cm="1">
        <f t="array" ref="D355">(1+D354)*(1+INDEX(Data!$H:$H,717-(ROW()-5)))-1</f>
        <v>2.4342745861733572E-2</v>
      </c>
      <c r="E355" s="11" cm="1">
        <f t="array" ref="E355">(1+E354)*(1+INDEX(Data!$I:$I,717-(ROW()-5)))-1</f>
        <v>-7.6955964087217499E-3</v>
      </c>
    </row>
    <row r="356" spans="1:5" x14ac:dyDescent="0.2">
      <c r="A356" s="1" cm="1">
        <f t="array" ref="A356">INDEX(Data!$A:$A,717-(ROW()-5))</f>
        <v>45601</v>
      </c>
      <c r="B356" s="11" cm="1">
        <f t="array" ref="B356">(1+B355)*(1+INDEX(Data!$F:$F,717-(ROW()-5)))-1</f>
        <v>0.28564900244688274</v>
      </c>
      <c r="C356" s="11" cm="1">
        <f t="array" ref="C356">(1+C355)*(1+INDEX(Data!$G:$G,717-(ROW()-5)))-1</f>
        <v>0.41797346200241337</v>
      </c>
      <c r="D356" s="11" cm="1">
        <f t="array" ref="D356">(1+D355)*(1+INDEX(Data!$H:$H,717-(ROW()-5)))-1</f>
        <v>-2.2256224787866596E-3</v>
      </c>
      <c r="E356" s="11" cm="1">
        <f t="array" ref="E356">(1+E355)*(1+INDEX(Data!$I:$I,717-(ROW()-5)))-1</f>
        <v>-1.0260795211628926E-2</v>
      </c>
    </row>
    <row r="357" spans="1:5" x14ac:dyDescent="0.2">
      <c r="A357" s="1" cm="1">
        <f t="array" ref="A357">INDEX(Data!$A:$A,717-(ROW()-5))</f>
        <v>45602</v>
      </c>
      <c r="B357" s="11" cm="1">
        <f t="array" ref="B357">(1+B356)*(1+INDEX(Data!$F:$F,717-(ROW()-5)))-1</f>
        <v>0.28966929480022885</v>
      </c>
      <c r="C357" s="11" cm="1">
        <f t="array" ref="C357">(1+C356)*(1+INDEX(Data!$G:$G,717-(ROW()-5)))-1</f>
        <v>0.47466827503015763</v>
      </c>
      <c r="D357" s="11" cm="1">
        <f t="array" ref="D357">(1+D356)*(1+INDEX(Data!$H:$H,717-(ROW()-5)))-1</f>
        <v>-1.8083182640140638E-3</v>
      </c>
      <c r="E357" s="11" cm="1">
        <f t="array" ref="E357">(1+E356)*(1+INDEX(Data!$I:$I,717-(ROW()-5)))-1</f>
        <v>-1.0260795211628926E-2</v>
      </c>
    </row>
    <row r="358" spans="1:5" x14ac:dyDescent="0.2">
      <c r="A358" s="1" cm="1">
        <f t="array" ref="A358">INDEX(Data!$A:$A,717-(ROW()-5))</f>
        <v>45603</v>
      </c>
      <c r="B358" s="11" cm="1">
        <f t="array" ref="B358">(1+B357)*(1+INDEX(Data!$F:$F,717-(ROW()-5)))-1</f>
        <v>0.29092455154940322</v>
      </c>
      <c r="C358" s="11" cm="1">
        <f t="array" ref="C358">(1+C357)*(1+INDEX(Data!$G:$G,717-(ROW()-5)))-1</f>
        <v>0.43606755126658703</v>
      </c>
      <c r="D358" s="11" cm="1">
        <f t="array" ref="D358">(1+D357)*(1+INDEX(Data!$H:$H,717-(ROW()-5)))-1</f>
        <v>-1.2797329253025014E-2</v>
      </c>
      <c r="E358" s="11" cm="1">
        <f t="array" ref="E358">(1+E357)*(1+INDEX(Data!$I:$I,717-(ROW()-5)))-1</f>
        <v>-1.0260795211628926E-2</v>
      </c>
    </row>
    <row r="359" spans="1:5" x14ac:dyDescent="0.2">
      <c r="A359" s="1" cm="1">
        <f t="array" ref="A359">INDEX(Data!$A:$A,717-(ROW()-5))</f>
        <v>45606</v>
      </c>
      <c r="B359" s="11" cm="1">
        <f t="array" ref="B359">(1+B358)*(1+INDEX(Data!$F:$F,717-(ROW()-5)))-1</f>
        <v>0.32266461506423805</v>
      </c>
      <c r="C359" s="11" cm="1">
        <f t="array" ref="C359">(1+C358)*(1+INDEX(Data!$G:$G,717-(ROW()-5)))-1</f>
        <v>0.48552472858866191</v>
      </c>
      <c r="D359" s="11" cm="1">
        <f t="array" ref="D359">(1+D358)*(1+INDEX(Data!$H:$H,717-(ROW()-5)))-1</f>
        <v>5.1467519821950747E-2</v>
      </c>
      <c r="E359" s="11" cm="1">
        <f t="array" ref="E359">(1+E358)*(1+INDEX(Data!$I:$I,717-(ROW()-5)))-1</f>
        <v>-6.4129970072681619E-3</v>
      </c>
    </row>
    <row r="360" spans="1:5" x14ac:dyDescent="0.2">
      <c r="A360" s="1" cm="1">
        <f t="array" ref="A360">INDEX(Data!$A:$A,717-(ROW()-5))</f>
        <v>45607</v>
      </c>
      <c r="B360" s="11" cm="1">
        <f t="array" ref="B360">(1+B359)*(1+INDEX(Data!$F:$F,717-(ROW()-5)))-1</f>
        <v>0.31670648395064593</v>
      </c>
      <c r="C360" s="11" cm="1">
        <f t="array" ref="C360">(1+C359)*(1+INDEX(Data!$G:$G,717-(ROW()-5)))-1</f>
        <v>0.49577804583836049</v>
      </c>
      <c r="D360" s="11" cm="1">
        <f t="array" ref="D360">(1+D359)*(1+INDEX(Data!$H:$H,717-(ROW()-5)))-1</f>
        <v>4.7711781888997606E-2</v>
      </c>
      <c r="E360" s="11" cm="1">
        <f t="array" ref="E360">(1+E359)*(1+INDEX(Data!$I:$I,717-(ROW()-5)))-1</f>
        <v>-1.7101325352714913E-2</v>
      </c>
    </row>
    <row r="361" spans="1:5" x14ac:dyDescent="0.2">
      <c r="A361" s="1" cm="1">
        <f t="array" ref="A361">INDEX(Data!$A:$A,717-(ROW()-5))</f>
        <v>45608</v>
      </c>
      <c r="B361" s="11" cm="1">
        <f t="array" ref="B361">(1+B360)*(1+INDEX(Data!$F:$F,717-(ROW()-5)))-1</f>
        <v>0.32807899440629829</v>
      </c>
      <c r="C361" s="11" cm="1">
        <f t="array" ref="C361">(1+C360)*(1+INDEX(Data!$G:$G,717-(ROW()-5)))-1</f>
        <v>0.48914354644149682</v>
      </c>
      <c r="D361" s="11" cm="1">
        <f t="array" ref="D361">(1+D360)*(1+INDEX(Data!$H:$H,717-(ROW()-5)))-1</f>
        <v>9.8205591876478371E-2</v>
      </c>
      <c r="E361" s="11" cm="1">
        <f t="array" ref="E361">(1+E360)*(1+INDEX(Data!$I:$I,717-(ROW()-5)))-1</f>
        <v>-2.4796921761436663E-2</v>
      </c>
    </row>
    <row r="362" spans="1:5" x14ac:dyDescent="0.2">
      <c r="A362" s="1" cm="1">
        <f t="array" ref="A362">INDEX(Data!$A:$A,717-(ROW()-5))</f>
        <v>45609</v>
      </c>
      <c r="B362" s="11" cm="1">
        <f t="array" ref="B362">(1+B361)*(1+INDEX(Data!$F:$F,717-(ROW()-5)))-1</f>
        <v>0.33345866618847375</v>
      </c>
      <c r="C362" s="11" cm="1">
        <f t="array" ref="C362">(1+C361)*(1+INDEX(Data!$G:$G,717-(ROW()-5)))-1</f>
        <v>0.50301568154402987</v>
      </c>
      <c r="D362" s="11" cm="1">
        <f t="array" ref="D362">(1+D361)*(1+INDEX(Data!$H:$H,717-(ROW()-5)))-1</f>
        <v>0.1116984281541249</v>
      </c>
      <c r="E362" s="11" cm="1">
        <f t="array" ref="E362">(1+E361)*(1+INDEX(Data!$I:$I,717-(ROW()-5)))-1</f>
        <v>-2.4796921761436663E-2</v>
      </c>
    </row>
    <row r="363" spans="1:5" x14ac:dyDescent="0.2">
      <c r="A363" s="1" cm="1">
        <f t="array" ref="A363">INDEX(Data!$A:$A,717-(ROW()-5))</f>
        <v>45610</v>
      </c>
      <c r="B363" s="11" cm="1">
        <f t="array" ref="B363">(1+B362)*(1+INDEX(Data!$F:$F,717-(ROW()-5)))-1</f>
        <v>0.31943102740161855</v>
      </c>
      <c r="C363" s="11" cm="1">
        <f t="array" ref="C363">(1+C362)*(1+INDEX(Data!$G:$G,717-(ROW()-5)))-1</f>
        <v>0.52593486127865008</v>
      </c>
      <c r="D363" s="11" cm="1">
        <f t="array" ref="D363">(1+D362)*(1+INDEX(Data!$H:$H,717-(ROW()-5)))-1</f>
        <v>0.11893170121018271</v>
      </c>
      <c r="E363" s="11" cm="1">
        <f t="array" ref="E363">(1+E362)*(1+INDEX(Data!$I:$I,717-(ROW()-5)))-1</f>
        <v>-2.4796921761436663E-2</v>
      </c>
    </row>
    <row r="364" spans="1:5" x14ac:dyDescent="0.2">
      <c r="A364" s="1" cm="1">
        <f t="array" ref="A364">INDEX(Data!$A:$A,717-(ROW()-5))</f>
        <v>45613</v>
      </c>
      <c r="B364" s="11" cm="1">
        <f t="array" ref="B364">(1+B363)*(1+INDEX(Data!$F:$F,717-(ROW()-5)))-1</f>
        <v>0.32263569209766696</v>
      </c>
      <c r="C364" s="11" cm="1">
        <f t="array" ref="C364">(1+C363)*(1+INDEX(Data!$G:$G,717-(ROW()-5)))-1</f>
        <v>0.51115802171290814</v>
      </c>
      <c r="D364" s="11" cm="1">
        <f t="array" ref="D364">(1+D363)*(1+INDEX(Data!$H:$H,717-(ROW()-5)))-1</f>
        <v>0.12074001947419699</v>
      </c>
      <c r="E364" s="11" cm="1">
        <f t="array" ref="E364">(1+E363)*(1+INDEX(Data!$I:$I,717-(ROW()-5)))-1</f>
        <v>-3.8050448909790702E-2</v>
      </c>
    </row>
    <row r="365" spans="1:5" x14ac:dyDescent="0.2">
      <c r="A365" s="1" cm="1">
        <f t="array" ref="A365">INDEX(Data!$A:$A,717-(ROW()-5))</f>
        <v>45614</v>
      </c>
      <c r="B365" s="11" cm="1">
        <f t="array" ref="B365">(1+B364)*(1+INDEX(Data!$F:$F,717-(ROW()-5)))-1</f>
        <v>0.31861539974432107</v>
      </c>
      <c r="C365" s="11" cm="1">
        <f t="array" ref="C365">(1+C364)*(1+INDEX(Data!$G:$G,717-(ROW()-5)))-1</f>
        <v>0.55518697225573099</v>
      </c>
      <c r="D365" s="11" cm="1">
        <f t="array" ref="D365">(1+D364)*(1+INDEX(Data!$H:$H,717-(ROW()-5)))-1</f>
        <v>0.12254833773821128</v>
      </c>
      <c r="E365" s="11" cm="1">
        <f t="array" ref="E365">(1+E364)*(1+INDEX(Data!$I:$I,717-(ROW()-5)))-1</f>
        <v>-5.6861906797777029E-2</v>
      </c>
    </row>
    <row r="366" spans="1:5" x14ac:dyDescent="0.2">
      <c r="A366" s="1" cm="1">
        <f t="array" ref="A366">INDEX(Data!$A:$A,717-(ROW()-5))</f>
        <v>45615</v>
      </c>
      <c r="B366" s="11" cm="1">
        <f t="array" ref="B366">(1+B365)*(1+INDEX(Data!$F:$F,717-(ROW()-5)))-1</f>
        <v>0.32160024989443126</v>
      </c>
      <c r="C366" s="11" cm="1">
        <f t="array" ref="C366">(1+C365)*(1+INDEX(Data!$G:$G,717-(ROW()-5)))-1</f>
        <v>0.51749095295536907</v>
      </c>
      <c r="D366" s="11" cm="1">
        <f t="array" ref="D366">(1+D365)*(1+INDEX(Data!$H:$H,717-(ROW()-5)))-1</f>
        <v>0.13145082765335947</v>
      </c>
      <c r="E366" s="11" cm="1">
        <f t="array" ref="E366">(1+E365)*(1+INDEX(Data!$I:$I,717-(ROW()-5)))-1</f>
        <v>-5.6861906797777029E-2</v>
      </c>
    </row>
    <row r="367" spans="1:5" x14ac:dyDescent="0.2">
      <c r="A367" s="1" cm="1">
        <f t="array" ref="A367">INDEX(Data!$A:$A,717-(ROW()-5))</f>
        <v>45616</v>
      </c>
      <c r="B367" s="11" cm="1">
        <f t="array" ref="B367">(1+B366)*(1+INDEX(Data!$F:$F,717-(ROW()-5)))-1</f>
        <v>0.31937896606179095</v>
      </c>
      <c r="C367" s="11" cm="1">
        <f t="array" ref="C367">(1+C366)*(1+INDEX(Data!$G:$G,717-(ROW()-5)))-1</f>
        <v>0.51960193003618937</v>
      </c>
      <c r="D367" s="11" cm="1">
        <f t="array" ref="D367">(1+D366)*(1+INDEX(Data!$H:$H,717-(ROW()-5)))-1</f>
        <v>0.13506746418138849</v>
      </c>
      <c r="E367" s="11" cm="1">
        <f t="array" ref="E367">(1+E366)*(1+INDEX(Data!$I:$I,717-(ROW()-5)))-1</f>
        <v>-4.6601111586148214E-2</v>
      </c>
    </row>
    <row r="368" spans="1:5" x14ac:dyDescent="0.2">
      <c r="A368" s="1" cm="1">
        <f t="array" ref="A368">INDEX(Data!$A:$A,717-(ROW()-5))</f>
        <v>45617</v>
      </c>
      <c r="B368" s="11" cm="1">
        <f t="array" ref="B368">(1+B367)*(1+INDEX(Data!$F:$F,717-(ROW()-5)))-1</f>
        <v>0.32024665505891603</v>
      </c>
      <c r="C368" s="11" cm="1">
        <f t="array" ref="C368">(1+C367)*(1+INDEX(Data!$G:$G,717-(ROW()-5)))-1</f>
        <v>0.51387213510253438</v>
      </c>
      <c r="D368" s="11" cm="1">
        <f t="array" ref="D368">(1+D367)*(1+INDEX(Data!$H:$H,717-(ROW()-5)))-1</f>
        <v>0.13047711781889015</v>
      </c>
      <c r="E368" s="11" cm="1">
        <f t="array" ref="E368">(1+E367)*(1+INDEX(Data!$I:$I,717-(ROW()-5)))-1</f>
        <v>-4.6601111586148214E-2</v>
      </c>
    </row>
    <row r="369" spans="1:5" x14ac:dyDescent="0.2">
      <c r="A369" s="1" cm="1">
        <f t="array" ref="A369">INDEX(Data!$A:$A,717-(ROW()-5))</f>
        <v>45620</v>
      </c>
      <c r="B369" s="11" cm="1">
        <f t="array" ref="B369">(1+B368)*(1+INDEX(Data!$F:$F,717-(ROW()-5)))-1</f>
        <v>0.33340660484864615</v>
      </c>
      <c r="C369" s="11" cm="1">
        <f t="array" ref="C369">(1+C368)*(1+INDEX(Data!$G:$G,717-(ROW()-5)))-1</f>
        <v>0.51477683956574305</v>
      </c>
      <c r="D369" s="11" cm="1">
        <f t="array" ref="D369">(1+D368)*(1+INDEX(Data!$H:$H,717-(ROW()-5)))-1</f>
        <v>0.12672137988593701</v>
      </c>
      <c r="E369" s="11" cm="1">
        <f t="array" ref="E369">(1+E368)*(1+INDEX(Data!$I:$I,717-(ROW()-5)))-1</f>
        <v>-4.06156477126981E-2</v>
      </c>
    </row>
    <row r="370" spans="1:5" x14ac:dyDescent="0.2">
      <c r="A370" s="1" cm="1">
        <f t="array" ref="A370">INDEX(Data!$A:$A,717-(ROW()-5))</f>
        <v>45621</v>
      </c>
      <c r="B370" s="11" cm="1">
        <f t="array" ref="B370">(1+B369)*(1+INDEX(Data!$F:$F,717-(ROW()-5)))-1</f>
        <v>0.33571465758099883</v>
      </c>
      <c r="C370" s="11" cm="1">
        <f t="array" ref="C370">(1+C369)*(1+INDEX(Data!$G:$G,717-(ROW()-5)))-1</f>
        <v>0.53196622436670804</v>
      </c>
      <c r="D370" s="11" cm="1">
        <f t="array" ref="D370">(1+D369)*(1+INDEX(Data!$H:$H,717-(ROW()-5)))-1</f>
        <v>0.14897760467380738</v>
      </c>
      <c r="E370" s="11" cm="1">
        <f t="array" ref="E370">(1+E369)*(1+INDEX(Data!$I:$I,717-(ROW()-5)))-1</f>
        <v>-3.2064985036340587E-2</v>
      </c>
    </row>
    <row r="371" spans="1:5" x14ac:dyDescent="0.2">
      <c r="A371" s="1" cm="1">
        <f t="array" ref="A371">INDEX(Data!$A:$A,717-(ROW()-5))</f>
        <v>45622</v>
      </c>
      <c r="B371" s="11" cm="1">
        <f t="array" ref="B371">(1+B370)*(1+INDEX(Data!$F:$F,717-(ROW()-5)))-1</f>
        <v>0.34713922937647856</v>
      </c>
      <c r="C371" s="11" cm="1">
        <f t="array" ref="C371">(1+C370)*(1+INDEX(Data!$G:$G,717-(ROW()-5)))-1</f>
        <v>0.57901085645355965</v>
      </c>
      <c r="D371" s="11" cm="1">
        <f t="array" ref="D371">(1+D370)*(1+INDEX(Data!$H:$H,717-(ROW()-5)))-1</f>
        <v>0.16372235359577147</v>
      </c>
      <c r="E371" s="11" cm="1">
        <f t="array" ref="E371">(1+E370)*(1+INDEX(Data!$I:$I,717-(ROW()-5)))-1</f>
        <v>-3.1637451902522762E-2</v>
      </c>
    </row>
    <row r="372" spans="1:5" x14ac:dyDescent="0.2">
      <c r="A372" s="1" cm="1">
        <f t="array" ref="A372">INDEX(Data!$A:$A,717-(ROW()-5))</f>
        <v>45623</v>
      </c>
      <c r="B372" s="11" cm="1">
        <f t="array" ref="B372">(1+B371)*(1+INDEX(Data!$F:$F,717-(ROW()-5)))-1</f>
        <v>0.33422801709925753</v>
      </c>
      <c r="C372" s="11" cm="1">
        <f t="array" ref="C372">(1+C371)*(1+INDEX(Data!$G:$G,717-(ROW()-5)))-1</f>
        <v>0.59831121833534495</v>
      </c>
      <c r="D372" s="11" cm="1">
        <f t="array" ref="D372">(1+D371)*(1+INDEX(Data!$H:$H,717-(ROW()-5)))-1</f>
        <v>0.20322715259424129</v>
      </c>
      <c r="E372" s="11" cm="1">
        <f t="array" ref="E372">(1+E371)*(1+INDEX(Data!$I:$I,717-(ROW()-5)))-1</f>
        <v>-2.7362120564344061E-2</v>
      </c>
    </row>
    <row r="373" spans="1:5" x14ac:dyDescent="0.2">
      <c r="A373" s="1" cm="1">
        <f t="array" ref="A373">INDEX(Data!$A:$A,717-(ROW()-5))</f>
        <v>45624</v>
      </c>
      <c r="B373" s="11" cm="1">
        <f t="array" ref="B373">(1+B372)*(1+INDEX(Data!$F:$F,717-(ROW()-5)))-1</f>
        <v>0.32746004292168229</v>
      </c>
      <c r="C373" s="11" cm="1">
        <f t="array" ref="C373">(1+C372)*(1+INDEX(Data!$G:$G,717-(ROW()-5)))-1</f>
        <v>0.58986731001206394</v>
      </c>
      <c r="D373" s="11" cm="1">
        <f t="array" ref="D373">(1+D372)*(1+INDEX(Data!$H:$H,717-(ROW()-5)))-1</f>
        <v>0.19682848796772845</v>
      </c>
      <c r="E373" s="11" cm="1">
        <f t="array" ref="E373">(1+E372)*(1+INDEX(Data!$I:$I,717-(ROW()-5)))-1</f>
        <v>-3.2064985036340699E-2</v>
      </c>
    </row>
    <row r="374" spans="1:5" x14ac:dyDescent="0.2">
      <c r="A374" s="1" cm="1">
        <f t="array" ref="A374">INDEX(Data!$A:$A,717-(ROW()-5))</f>
        <v>45627</v>
      </c>
      <c r="B374" s="11" cm="1">
        <f t="array" ref="B374">(1+B373)*(1+INDEX(Data!$F:$F,717-(ROW()-5)))-1</f>
        <v>0.35025134057950025</v>
      </c>
      <c r="C374" s="11" cm="1">
        <f t="array" ref="C374">(1+C373)*(1+INDEX(Data!$G:$G,717-(ROW()-5)))-1</f>
        <v>0.56634499396863802</v>
      </c>
      <c r="D374" s="11" cm="1">
        <f t="array" ref="D374">(1+D373)*(1+INDEX(Data!$H:$H,717-(ROW()-5)))-1</f>
        <v>0.17791069689803862</v>
      </c>
      <c r="E374" s="11" cm="1">
        <f t="array" ref="E374">(1+E373)*(1+INDEX(Data!$I:$I,717-(ROW()-5)))-1</f>
        <v>-3.2064985036340699E-2</v>
      </c>
    </row>
    <row r="375" spans="1:5" x14ac:dyDescent="0.2">
      <c r="A375" s="1" cm="1">
        <f t="array" ref="A375">INDEX(Data!$A:$A,717-(ROW()-5))</f>
        <v>45628</v>
      </c>
      <c r="B375" s="11" cm="1">
        <f t="array" ref="B375">(1+B374)*(1+INDEX(Data!$F:$F,717-(ROW()-5)))-1</f>
        <v>0.34996211091379181</v>
      </c>
      <c r="C375" s="11" cm="1">
        <f t="array" ref="C375">(1+C374)*(1+INDEX(Data!$G:$G,717-(ROW()-5)))-1</f>
        <v>0.58323281061520005</v>
      </c>
      <c r="D375" s="11" cm="1">
        <f t="array" ref="D375">(1+D374)*(1+INDEX(Data!$H:$H,717-(ROW()-5)))-1</f>
        <v>0.15718458756433429</v>
      </c>
      <c r="E375" s="11" cm="1">
        <f t="array" ref="E375">(1+E374)*(1+INDEX(Data!$I:$I,717-(ROW()-5)))-1</f>
        <v>2.4369388627618171E-2</v>
      </c>
    </row>
    <row r="376" spans="1:5" x14ac:dyDescent="0.2">
      <c r="A376" s="1" cm="1">
        <f t="array" ref="A376">INDEX(Data!$A:$A,717-(ROW()-5))</f>
        <v>45629</v>
      </c>
      <c r="B376" s="11" cm="1">
        <f t="array" ref="B376">(1+B375)*(1+INDEX(Data!$F:$F,717-(ROW()-5)))-1</f>
        <v>0.36393768836081963</v>
      </c>
      <c r="C376" s="11" cm="1">
        <f t="array" ref="C376">(1+C375)*(1+INDEX(Data!$G:$G,717-(ROW()-5)))-1</f>
        <v>0.63932448733413838</v>
      </c>
      <c r="D376" s="11" cm="1">
        <f t="array" ref="D376">(1+D375)*(1+INDEX(Data!$H:$H,717-(ROW()-5)))-1</f>
        <v>0.18931701210182217</v>
      </c>
      <c r="E376" s="11" cm="1">
        <f t="array" ref="E376">(1+E375)*(1+INDEX(Data!$I:$I,717-(ROW()-5)))-1</f>
        <v>5.9854638734501364E-2</v>
      </c>
    </row>
    <row r="377" spans="1:5" x14ac:dyDescent="0.2">
      <c r="A377" s="1" cm="1">
        <f t="array" ref="A377">INDEX(Data!$A:$A,717-(ROW()-5))</f>
        <v>45630</v>
      </c>
      <c r="B377" s="11" cm="1">
        <f t="array" ref="B377">(1+B376)*(1+INDEX(Data!$F:$F,717-(ROW()-5)))-1</f>
        <v>0.36783071966125402</v>
      </c>
      <c r="C377" s="11" cm="1">
        <f t="array" ref="C377">(1+C376)*(1+INDEX(Data!$G:$G,717-(ROW()-5)))-1</f>
        <v>0.61791314837153277</v>
      </c>
      <c r="D377" s="11" cm="1">
        <f t="array" ref="D377">(1+D376)*(1+INDEX(Data!$H:$H,717-(ROW()-5)))-1</f>
        <v>0.18194463764084001</v>
      </c>
      <c r="E377" s="11" cm="1">
        <f t="array" ref="E377">(1+E376)*(1+INDEX(Data!$I:$I,717-(ROW()-5)))-1</f>
        <v>5.9854638734501364E-2</v>
      </c>
    </row>
    <row r="378" spans="1:5" x14ac:dyDescent="0.2">
      <c r="A378" s="1" cm="1">
        <f t="array" ref="A378">INDEX(Data!$A:$A,717-(ROW()-5))</f>
        <v>45631</v>
      </c>
      <c r="B378" s="11" cm="1">
        <f t="array" ref="B378">(1+B377)*(1+INDEX(Data!$F:$F,717-(ROW()-5)))-1</f>
        <v>0.36733324463623562</v>
      </c>
      <c r="C378" s="11" cm="1">
        <f t="array" ref="C378">(1+C377)*(1+INDEX(Data!$G:$G,717-(ROW()-5)))-1</f>
        <v>0.64505428226779316</v>
      </c>
      <c r="D378" s="11" cm="1">
        <f t="array" ref="D378">(1+D377)*(1+INDEX(Data!$H:$H,717-(ROW()-5)))-1</f>
        <v>0.16372235359577125</v>
      </c>
      <c r="E378" s="11" cm="1">
        <f t="array" ref="E378">(1+E377)*(1+INDEX(Data!$I:$I,717-(ROW()-5)))-1</f>
        <v>5.9854638734501364E-2</v>
      </c>
    </row>
    <row r="379" spans="1:5" x14ac:dyDescent="0.2">
      <c r="A379" s="1" cm="1">
        <f t="array" ref="A379">INDEX(Data!$A:$A,717-(ROW()-5))</f>
        <v>45634</v>
      </c>
      <c r="B379" s="11" cm="1">
        <f t="array" ref="B379">(1+B378)*(1+INDEX(Data!$F:$F,717-(ROW()-5)))-1</f>
        <v>0.38134931423646257</v>
      </c>
      <c r="C379" s="11" cm="1">
        <f t="array" ref="C379">(1+C378)*(1+INDEX(Data!$G:$G,717-(ROW()-5)))-1</f>
        <v>0.61791314837153255</v>
      </c>
      <c r="D379" s="11" cm="1">
        <f t="array" ref="D379">(1+D378)*(1+INDEX(Data!$H:$H,717-(ROW()-5)))-1</f>
        <v>0.17540687160940305</v>
      </c>
      <c r="E379" s="11" cm="1">
        <f t="array" ref="E379">(1+E378)*(1+INDEX(Data!$I:$I,717-(ROW()-5)))-1</f>
        <v>6.3274903805044413E-2</v>
      </c>
    </row>
    <row r="380" spans="1:5" x14ac:dyDescent="0.2">
      <c r="A380" s="1" cm="1">
        <f t="array" ref="A380">INDEX(Data!$A:$A,717-(ROW()-5))</f>
        <v>45635</v>
      </c>
      <c r="B380" s="11" cm="1">
        <f t="array" ref="B380">(1+B379)*(1+INDEX(Data!$F:$F,717-(ROW()-5)))-1</f>
        <v>0.39309203866422182</v>
      </c>
      <c r="C380" s="11" cm="1">
        <f t="array" ref="C380">(1+C379)*(1+INDEX(Data!$G:$G,717-(ROW()-5)))-1</f>
        <v>0.66194209891435518</v>
      </c>
      <c r="D380" s="11" cm="1">
        <f t="array" ref="D380">(1+D379)*(1+INDEX(Data!$H:$H,717-(ROW()-5)))-1</f>
        <v>0.20990402003060193</v>
      </c>
      <c r="E380" s="11" cm="1">
        <f t="array" ref="E380">(1+E379)*(1+INDEX(Data!$I:$I,717-(ROW()-5)))-1</f>
        <v>6.3274903805044413E-2</v>
      </c>
    </row>
    <row r="381" spans="1:5" x14ac:dyDescent="0.2">
      <c r="A381" s="1" cm="1">
        <f t="array" ref="A381">INDEX(Data!$A:$A,717-(ROW()-5))</f>
        <v>45636</v>
      </c>
      <c r="B381" s="11" cm="1">
        <f t="array" ref="B381">(1+B380)*(1+INDEX(Data!$F:$F,717-(ROW()-5)))-1</f>
        <v>0.38870153233876881</v>
      </c>
      <c r="C381" s="11" cm="1">
        <f t="array" ref="C381">(1+C380)*(1+INDEX(Data!$G:$G,717-(ROW()-5)))-1</f>
        <v>0.65772014475271456</v>
      </c>
      <c r="D381" s="11" cm="1">
        <f t="array" ref="D381">(1+D380)*(1+INDEX(Data!$H:$H,717-(ROW()-5)))-1</f>
        <v>0.2079566003616633</v>
      </c>
      <c r="E381" s="11" cm="1">
        <f t="array" ref="E381">(1+E380)*(1+INDEX(Data!$I:$I,717-(ROW()-5)))-1</f>
        <v>6.3274903805044413E-2</v>
      </c>
    </row>
    <row r="382" spans="1:5" x14ac:dyDescent="0.2">
      <c r="A382" s="1" cm="1">
        <f t="array" ref="A382">INDEX(Data!$A:$A,717-(ROW()-5))</f>
        <v>45637</v>
      </c>
      <c r="B382" s="11" cm="1">
        <f t="array" ref="B382">(1+B381)*(1+INDEX(Data!$F:$F,717-(ROW()-5)))-1</f>
        <v>0.38121048399692237</v>
      </c>
      <c r="C382" s="11" cm="1">
        <f t="array" ref="C382">(1+C381)*(1+INDEX(Data!$G:$G,717-(ROW()-5)))-1</f>
        <v>0.65138721351025386</v>
      </c>
      <c r="D382" s="11" cm="1">
        <f t="array" ref="D382">(1+D381)*(1+INDEX(Data!$H:$H,717-(ROW()-5)))-1</f>
        <v>0.19627208234803128</v>
      </c>
      <c r="E382" s="11" cm="1">
        <f t="array" ref="E382">(1+E381)*(1+INDEX(Data!$I:$I,717-(ROW()-5)))-1</f>
        <v>4.7883710987601136E-2</v>
      </c>
    </row>
    <row r="383" spans="1:5" x14ac:dyDescent="0.2">
      <c r="A383" s="1" cm="1">
        <f t="array" ref="A383">INDEX(Data!$A:$A,717-(ROW()-5))</f>
        <v>45638</v>
      </c>
      <c r="B383" s="11" cm="1">
        <f t="array" ref="B383">(1+B382)*(1+INDEX(Data!$F:$F,717-(ROW()-5)))-1</f>
        <v>0.37771080504185139</v>
      </c>
      <c r="C383" s="11" cm="1">
        <f t="array" ref="C383">(1+C382)*(1+INDEX(Data!$G:$G,717-(ROW()-5)))-1</f>
        <v>0.67038600723763619</v>
      </c>
      <c r="D383" s="11" cm="1">
        <f t="array" ref="D383">(1+D382)*(1+INDEX(Data!$H:$H,717-(ROW()-5)))-1</f>
        <v>0.18180553623591544</v>
      </c>
      <c r="E383" s="11" cm="1">
        <f t="array" ref="E383">(1+E382)*(1+INDEX(Data!$I:$I,717-(ROW()-5)))-1</f>
        <v>4.7883710987601136E-2</v>
      </c>
    </row>
    <row r="384" spans="1:5" x14ac:dyDescent="0.2">
      <c r="A384" s="1" cm="1">
        <f t="array" ref="A384">INDEX(Data!$A:$A,717-(ROW()-5))</f>
        <v>45641</v>
      </c>
      <c r="B384" s="11" cm="1">
        <f t="array" ref="B384">(1+B383)*(1+INDEX(Data!$F:$F,717-(ROW()-5)))-1</f>
        <v>0.3651408837701664</v>
      </c>
      <c r="C384" s="11" cm="1">
        <f t="array" ref="C384">(1+C383)*(1+INDEX(Data!$G:$G,717-(ROW()-5)))-1</f>
        <v>0.65289505428226824</v>
      </c>
      <c r="D384" s="11" cm="1">
        <f t="array" ref="D384">(1+D383)*(1+INDEX(Data!$H:$H,717-(ROW()-5)))-1</f>
        <v>0.16873000417304151</v>
      </c>
      <c r="E384" s="11" cm="1">
        <f t="array" ref="E384">(1+E383)*(1+INDEX(Data!$I:$I,717-(ROW()-5)))-1</f>
        <v>1.3681060282171531E-2</v>
      </c>
    </row>
    <row r="385" spans="1:5" x14ac:dyDescent="0.2">
      <c r="A385" s="1" cm="1">
        <f t="array" ref="A385">INDEX(Data!$A:$A,717-(ROW()-5))</f>
        <v>45642</v>
      </c>
      <c r="B385" s="11" cm="1">
        <f t="array" ref="B385">(1+B384)*(1+INDEX(Data!$F:$F,717-(ROW()-5)))-1</f>
        <v>0.38284173931151733</v>
      </c>
      <c r="C385" s="11" cm="1">
        <f t="array" ref="C385">(1+C384)*(1+INDEX(Data!$G:$G,717-(ROW()-5)))-1</f>
        <v>0.68636911942098955</v>
      </c>
      <c r="D385" s="11" cm="1">
        <f t="array" ref="D385">(1+D384)*(1+INDEX(Data!$H:$H,717-(ROW()-5)))-1</f>
        <v>0.20169703714007436</v>
      </c>
      <c r="E385" s="11" cm="1">
        <f t="array" ref="E385">(1+E384)*(1+INDEX(Data!$I:$I,717-(ROW()-5)))-1</f>
        <v>-3.292005130397635E-2</v>
      </c>
    </row>
    <row r="386" spans="1:5" x14ac:dyDescent="0.2">
      <c r="A386" s="1" cm="1">
        <f t="array" ref="A386">INDEX(Data!$A:$A,717-(ROW()-5))</f>
        <v>45643</v>
      </c>
      <c r="B386" s="11" cm="1">
        <f t="array" ref="B386">(1+B385)*(1+INDEX(Data!$F:$F,717-(ROW()-5)))-1</f>
        <v>0.39421424976716946</v>
      </c>
      <c r="C386" s="11" cm="1">
        <f t="array" ref="C386">(1+C385)*(1+INDEX(Data!$G:$G,717-(ROW()-5)))-1</f>
        <v>0.6887816646562126</v>
      </c>
      <c r="D386" s="11" cm="1">
        <f t="array" ref="D386">(1+D385)*(1+INDEX(Data!$H:$H,717-(ROW()-5)))-1</f>
        <v>0.22186674085408198</v>
      </c>
      <c r="E386" s="11" cm="1">
        <f t="array" ref="E386">(1+E385)*(1+INDEX(Data!$I:$I,717-(ROW()-5)))-1</f>
        <v>-5.4724241128687789E-2</v>
      </c>
    </row>
    <row r="387" spans="1:5" x14ac:dyDescent="0.2">
      <c r="A387" s="1" cm="1">
        <f t="array" ref="A387">INDEX(Data!$A:$A,717-(ROW()-5))</f>
        <v>45644</v>
      </c>
      <c r="B387" s="11" cm="1">
        <f t="array" ref="B387">(1+B386)*(1+INDEX(Data!$F:$F,717-(ROW()-5)))-1</f>
        <v>0.40180363619535697</v>
      </c>
      <c r="C387" s="11" cm="1">
        <f t="array" ref="C387">(1+C386)*(1+INDEX(Data!$G:$G,717-(ROW()-5)))-1</f>
        <v>0.66043425814234036</v>
      </c>
      <c r="D387" s="11" cm="1">
        <f t="array" ref="D387">(1+D386)*(1+INDEX(Data!$H:$H,717-(ROW()-5)))-1</f>
        <v>0.21950201697037075</v>
      </c>
      <c r="E387" s="11" cm="1">
        <f t="array" ref="E387">(1+E386)*(1+INDEX(Data!$I:$I,717-(ROW()-5)))-1</f>
        <v>-3.5057716973065811E-2</v>
      </c>
    </row>
    <row r="388" spans="1:5" x14ac:dyDescent="0.2">
      <c r="A388" s="1" cm="1">
        <f t="array" ref="A388">INDEX(Data!$A:$A,717-(ROW()-5))</f>
        <v>45645</v>
      </c>
      <c r="B388" s="11" cm="1">
        <f t="array" ref="B388">(1+B387)*(1+INDEX(Data!$F:$F,717-(ROW()-5)))-1</f>
        <v>0.38811150382072346</v>
      </c>
      <c r="C388" s="11" cm="1">
        <f t="array" ref="C388">(1+C387)*(1+INDEX(Data!$G:$G,717-(ROW()-5)))-1</f>
        <v>0.62786489746682772</v>
      </c>
      <c r="D388" s="11" cm="1">
        <f t="array" ref="D388">(1+D387)*(1+INDEX(Data!$H:$H,717-(ROW()-5)))-1</f>
        <v>0.2143552649881757</v>
      </c>
      <c r="E388" s="11" cm="1">
        <f t="array" ref="E388">(1+E387)*(1+INDEX(Data!$I:$I,717-(ROW()-5)))-1</f>
        <v>-3.5485250106883748E-2</v>
      </c>
    </row>
    <row r="389" spans="1:5" x14ac:dyDescent="0.2">
      <c r="A389" s="1" cm="1">
        <f t="array" ref="A389">INDEX(Data!$A:$A,717-(ROW()-5))</f>
        <v>45648</v>
      </c>
      <c r="B389" s="11" cm="1">
        <f t="array" ref="B389">(1+B388)*(1+INDEX(Data!$F:$F,717-(ROW()-5)))-1</f>
        <v>0.40262504844596858</v>
      </c>
      <c r="C389" s="11" cm="1">
        <f t="array" ref="C389">(1+C388)*(1+INDEX(Data!$G:$G,717-(ROW()-5)))-1</f>
        <v>0.63540410132689984</v>
      </c>
      <c r="D389" s="11" cm="1">
        <f t="array" ref="D389">(1+D388)*(1+INDEX(Data!$H:$H,717-(ROW()-5)))-1</f>
        <v>0.21324245374878226</v>
      </c>
      <c r="E389" s="11" cm="1">
        <f t="array" ref="E389">(1+E388)*(1+INDEX(Data!$I:$I,717-(ROW()-5)))-1</f>
        <v>-3.5485250106883748E-2</v>
      </c>
    </row>
    <row r="390" spans="1:5" x14ac:dyDescent="0.2">
      <c r="A390" s="1" cm="1">
        <f t="array" ref="A390">INDEX(Data!$A:$A,717-(ROW()-5))</f>
        <v>45649</v>
      </c>
      <c r="B390" s="11" cm="1">
        <f t="array" ref="B390">(1+B389)*(1+INDEX(Data!$F:$F,717-(ROW()-5)))-1</f>
        <v>0.4014392068165642</v>
      </c>
      <c r="C390" s="11" cm="1">
        <f t="array" ref="C390">(1+C389)*(1+INDEX(Data!$G:$G,717-(ROW()-5)))-1</f>
        <v>0.6357056694813028</v>
      </c>
      <c r="D390" s="11" cm="1">
        <f t="array" ref="D390">(1+D389)*(1+INDEX(Data!$H:$H,717-(ROW()-5)))-1</f>
        <v>0.19849770482681817</v>
      </c>
      <c r="E390" s="11" cm="1">
        <f t="array" ref="E390">(1+E389)*(1+INDEX(Data!$I:$I,717-(ROW()-5)))-1</f>
        <v>-3.5485250106883748E-2</v>
      </c>
    </row>
    <row r="391" spans="1:5" x14ac:dyDescent="0.2">
      <c r="A391" s="1" cm="1">
        <f t="array" ref="A391">INDEX(Data!$A:$A,717-(ROW()-5))</f>
        <v>45650</v>
      </c>
      <c r="B391" s="11" cm="1">
        <f t="array" ref="B391">(1+B390)*(1+INDEX(Data!$F:$F,717-(ROW()-5)))-1</f>
        <v>0.40797579726157318</v>
      </c>
      <c r="C391" s="11" cm="1">
        <f t="array" ref="C391">(1+C390)*(1+INDEX(Data!$G:$G,717-(ROW()-5)))-1</f>
        <v>0.64867310012062718</v>
      </c>
      <c r="D391" s="11" cm="1">
        <f t="array" ref="D391">(1+D390)*(1+INDEX(Data!$H:$H,717-(ROW()-5)))-1</f>
        <v>0.17818889970788643</v>
      </c>
      <c r="E391" s="11" cm="1">
        <f t="array" ref="E391">(1+E390)*(1+INDEX(Data!$I:$I,717-(ROW()-5)))-1</f>
        <v>-2.8644719965797871E-2</v>
      </c>
    </row>
    <row r="392" spans="1:5" x14ac:dyDescent="0.2">
      <c r="A392" s="1" cm="1">
        <f t="array" ref="A392">INDEX(Data!$A:$A,717-(ROW()-5))</f>
        <v>45651</v>
      </c>
      <c r="B392" s="11" cm="1">
        <f t="array" ref="B392">(1+B391)*(1+INDEX(Data!$F:$F,717-(ROW()-5)))-1</f>
        <v>0.40177471322878611</v>
      </c>
      <c r="C392" s="11" cm="1">
        <f t="array" ref="C392">(1+C391)*(1+INDEX(Data!$G:$G,717-(ROW()-5)))-1</f>
        <v>0.61037394451145954</v>
      </c>
      <c r="D392" s="11" cm="1">
        <f t="array" ref="D392">(1+D391)*(1+INDEX(Data!$H:$H,717-(ROW()-5)))-1</f>
        <v>0.14967311169842756</v>
      </c>
      <c r="E392" s="11" cm="1">
        <f t="array" ref="E392">(1+E391)*(1+INDEX(Data!$I:$I,717-(ROW()-5)))-1</f>
        <v>-2.3086789226165583E-2</v>
      </c>
    </row>
    <row r="393" spans="1:5" x14ac:dyDescent="0.2">
      <c r="A393" s="1" cm="1">
        <f t="array" ref="A393">INDEX(Data!$A:$A,717-(ROW()-5))</f>
        <v>45652</v>
      </c>
      <c r="B393" s="11" cm="1">
        <f t="array" ref="B393">(1+B392)*(1+INDEX(Data!$F:$F,717-(ROW()-5)))-1</f>
        <v>0.39221278048046804</v>
      </c>
      <c r="C393" s="11" cm="1">
        <f t="array" ref="C393">(1+C392)*(1+INDEX(Data!$G:$G,717-(ROW()-5)))-1</f>
        <v>0.60434258142340158</v>
      </c>
      <c r="D393" s="11" cm="1">
        <f t="array" ref="D393">(1+D392)*(1+INDEX(Data!$H:$H,717-(ROW()-5)))-1</f>
        <v>0.19488106829878915</v>
      </c>
      <c r="E393" s="11" cm="1">
        <f t="array" ref="E393">(1+E392)*(1+INDEX(Data!$I:$I,717-(ROW()-5)))-1</f>
        <v>-2.3086789226165583E-2</v>
      </c>
    </row>
    <row r="394" spans="1:5" x14ac:dyDescent="0.2">
      <c r="A394" s="1" cm="1">
        <f t="array" ref="A394">INDEX(Data!$A:$A,717-(ROW()-5))</f>
        <v>45655</v>
      </c>
      <c r="B394" s="11" cm="1">
        <f t="array" ref="B394">(1+B393)*(1+INDEX(Data!$F:$F,717-(ROW()-5)))-1</f>
        <v>0.38840073348643189</v>
      </c>
      <c r="C394" s="11" cm="1">
        <f t="array" ref="C394">(1+C393)*(1+INDEX(Data!$G:$G,717-(ROW()-5)))-1</f>
        <v>0.5877563329312423</v>
      </c>
      <c r="D394" s="11" cm="1">
        <f t="array" ref="D394">(1+D393)*(1+INDEX(Data!$H:$H,717-(ROW()-5)))-1</f>
        <v>0.18514396995409577</v>
      </c>
      <c r="E394" s="11" cm="1">
        <f t="array" ref="E394">(1+E393)*(1+INDEX(Data!$I:$I,717-(ROW()-5)))-1</f>
        <v>-3.8477982043608971E-2</v>
      </c>
    </row>
    <row r="395" spans="1:5" x14ac:dyDescent="0.2">
      <c r="A395" s="1" cm="1">
        <f t="array" ref="A395">INDEX(Data!$A:$A,717-(ROW()-5))</f>
        <v>45656</v>
      </c>
      <c r="B395" s="11" cm="1">
        <f t="array" ref="B395">(1+B394)*(1+INDEX(Data!$F:$F,717-(ROW()-5)))-1</f>
        <v>0.38602326563430922</v>
      </c>
      <c r="C395" s="11" cm="1">
        <f t="array" ref="C395">(1+C394)*(1+INDEX(Data!$G:$G,717-(ROW()-5)))-1</f>
        <v>0.5983112183353434</v>
      </c>
      <c r="D395" s="11" cm="1">
        <f t="array" ref="D395">(1+D394)*(1+INDEX(Data!$H:$H,717-(ROW()-5)))-1</f>
        <v>0.18097092780637003</v>
      </c>
      <c r="E395" s="11" cm="1">
        <f t="array" ref="E395">(1+E394)*(1+INDEX(Data!$I:$I,717-(ROW()-5)))-1</f>
        <v>-5.1731509191962899E-2</v>
      </c>
    </row>
    <row r="396" spans="1:5" x14ac:dyDescent="0.2">
      <c r="A396" s="1" cm="1">
        <f t="array" ref="A396">INDEX(Data!$A:$A,717-(ROW()-5))</f>
        <v>45657</v>
      </c>
      <c r="B396" s="11" cm="1">
        <f t="array" ref="B396">(1+B395)*(1+INDEX(Data!$F:$F,717-(ROW()-5)))-1</f>
        <v>0.40386295141520057</v>
      </c>
      <c r="C396" s="11" cm="1">
        <f t="array" ref="C396">(1+C395)*(1+INDEX(Data!$G:$G,717-(ROW()-5)))-1</f>
        <v>0.57720144752714075</v>
      </c>
      <c r="D396" s="11" cm="1">
        <f t="array" ref="D396">(1+D395)*(1+INDEX(Data!$H:$H,717-(ROW()-5)))-1</f>
        <v>0.19168173598553251</v>
      </c>
      <c r="E396" s="11" cm="1">
        <f t="array" ref="E396">(1+E395)*(1+INDEX(Data!$I:$I,717-(ROW()-5)))-1</f>
        <v>-5.3014108593416598E-2</v>
      </c>
    </row>
    <row r="397" spans="1:5" x14ac:dyDescent="0.2">
      <c r="A397" s="1" cm="1">
        <f t="array" ref="A397">INDEX(Data!$A:$A,717-(ROW()-5))</f>
        <v>45658</v>
      </c>
      <c r="B397" s="11" cm="1">
        <f t="array" ref="B397">(1+B396)*(1+INDEX(Data!$F:$F,717-(ROW()-5)))-1</f>
        <v>0.41098957037825401</v>
      </c>
      <c r="C397" s="11" cm="1">
        <f t="array" ref="C397">(1+C396)*(1+INDEX(Data!$G:$G,717-(ROW()-5)))-1</f>
        <v>0.5669481302774424</v>
      </c>
      <c r="D397" s="11" cm="1">
        <f t="array" ref="D397">(1+D396)*(1+INDEX(Data!$H:$H,717-(ROW()-5)))-1</f>
        <v>0.1894561135067454</v>
      </c>
      <c r="E397" s="11" cm="1">
        <f t="array" ref="E397">(1+E396)*(1+INDEX(Data!$I:$I,717-(ROW()-5)))-1</f>
        <v>4.1898247114150688E-2</v>
      </c>
    </row>
    <row r="398" spans="1:5" x14ac:dyDescent="0.2">
      <c r="A398" s="1" cm="1">
        <f t="array" ref="A398">INDEX(Data!$A:$A,717-(ROW()-5))</f>
        <v>45659</v>
      </c>
      <c r="B398" s="11" cm="1">
        <f t="array" ref="B398">(1+B397)*(1+INDEX(Data!$F:$F,717-(ROW()-5)))-1</f>
        <v>0.42018128915446584</v>
      </c>
      <c r="C398" s="11" cm="1">
        <f t="array" ref="C398">(1+C397)*(1+INDEX(Data!$G:$G,717-(ROW()-5)))-1</f>
        <v>0.53950542822677883</v>
      </c>
      <c r="D398" s="11" cm="1">
        <f t="array" ref="D398">(1+D397)*(1+INDEX(Data!$H:$H,717-(ROW()-5)))-1</f>
        <v>0.16553067185978487</v>
      </c>
      <c r="E398" s="11" cm="1">
        <f t="array" ref="E398">(1+E397)*(1+INDEX(Data!$I:$I,717-(ROW()-5)))-1</f>
        <v>-1.6246259085079706E-2</v>
      </c>
    </row>
    <row r="399" spans="1:5" x14ac:dyDescent="0.2">
      <c r="A399" s="1" cm="1">
        <f t="array" ref="A399">INDEX(Data!$A:$A,717-(ROW()-5))</f>
        <v>45662</v>
      </c>
      <c r="B399" s="11" cm="1">
        <f t="array" ref="B399">(1+B398)*(1+INDEX(Data!$F:$F,717-(ROW()-5)))-1</f>
        <v>0.4334569308104792</v>
      </c>
      <c r="C399" s="11" cm="1">
        <f t="array" ref="C399">(1+C398)*(1+INDEX(Data!$G:$G,717-(ROW()-5)))-1</f>
        <v>0.52322074788902251</v>
      </c>
      <c r="D399" s="11" cm="1">
        <f t="array" ref="D399">(1+D398)*(1+INDEX(Data!$H:$H,717-(ROW()-5)))-1</f>
        <v>0.19613298094310649</v>
      </c>
      <c r="E399" s="11" cm="1">
        <f t="array" ref="E399">(1+E398)*(1+INDEX(Data!$I:$I,717-(ROW()-5)))-1</f>
        <v>5.1303976058139078E-3</v>
      </c>
    </row>
    <row r="400" spans="1:5" x14ac:dyDescent="0.2">
      <c r="A400" s="1" cm="1">
        <f t="array" ref="A400">INDEX(Data!$A:$A,717-(ROW()-5))</f>
        <v>45663</v>
      </c>
      <c r="B400" s="11" cm="1">
        <f t="array" ref="B400">(1+B399)*(1+INDEX(Data!$F:$F,717-(ROW()-5)))-1</f>
        <v>0.44670943409323605</v>
      </c>
      <c r="C400" s="11" cm="1">
        <f t="array" ref="C400">(1+C399)*(1+INDEX(Data!$G:$G,717-(ROW()-5)))-1</f>
        <v>0.54252110977080781</v>
      </c>
      <c r="D400" s="11" cm="1">
        <f t="array" ref="D400">(1+D399)*(1+INDEX(Data!$H:$H,717-(ROW()-5)))-1</f>
        <v>0.18709138962303418</v>
      </c>
      <c r="E400" s="11" cm="1">
        <f t="array" ref="E400">(1+E399)*(1+INDEX(Data!$I:$I,717-(ROW()-5)))-1</f>
        <v>8.9781958101746717E-3</v>
      </c>
    </row>
    <row r="401" spans="1:5" x14ac:dyDescent="0.2">
      <c r="A401" s="1" cm="1">
        <f t="array" ref="A401">INDEX(Data!$A:$A,717-(ROW()-5))</f>
        <v>45664</v>
      </c>
      <c r="B401" s="11" cm="1">
        <f t="array" ref="B401">(1+B400)*(1+INDEX(Data!$F:$F,717-(ROW()-5)))-1</f>
        <v>0.44657060385369607</v>
      </c>
      <c r="C401" s="11" cm="1">
        <f t="array" ref="C401">(1+C400)*(1+INDEX(Data!$G:$G,717-(ROW()-5)))-1</f>
        <v>0.5168878166465618</v>
      </c>
      <c r="D401" s="11" cm="1">
        <f t="array" ref="D401">(1+D400)*(1+INDEX(Data!$H:$H,717-(ROW()-5)))-1</f>
        <v>0.17081652524690405</v>
      </c>
      <c r="E401" s="11" cm="1">
        <f t="array" ref="E401">(1+E400)*(1+INDEX(Data!$I:$I,717-(ROW()-5)))-1</f>
        <v>8.9781958101746717E-3</v>
      </c>
    </row>
    <row r="402" spans="1:5" x14ac:dyDescent="0.2">
      <c r="A402" s="1" cm="1">
        <f t="array" ref="A402">INDEX(Data!$A:$A,717-(ROW()-5))</f>
        <v>45665</v>
      </c>
      <c r="B402" s="11" cm="1">
        <f t="array" ref="B402">(1+B401)*(1+INDEX(Data!$F:$F,717-(ROW()-5)))-1</f>
        <v>0.43493778669890593</v>
      </c>
      <c r="C402" s="11" cm="1">
        <f t="array" ref="C402">(1+C401)*(1+INDEX(Data!$G:$G,717-(ROW()-5)))-1</f>
        <v>0.4969843184559708</v>
      </c>
      <c r="D402" s="11" cm="1">
        <f t="array" ref="D402">(1+D401)*(1+INDEX(Data!$H:$H,717-(ROW()-5)))-1</f>
        <v>0.14744748921964024</v>
      </c>
      <c r="E402" s="11" cm="1">
        <f t="array" ref="E402">(1+E401)*(1+INDEX(Data!$I:$I,717-(ROW()-5)))-1</f>
        <v>8.9781958101746717E-3</v>
      </c>
    </row>
    <row r="403" spans="1:5" x14ac:dyDescent="0.2">
      <c r="A403" s="1" cm="1">
        <f t="array" ref="A403">INDEX(Data!$A:$A,717-(ROW()-5))</f>
        <v>45666</v>
      </c>
      <c r="B403" s="11" cm="1">
        <f t="array" ref="B403">(1+B402)*(1+INDEX(Data!$F:$F,717-(ROW()-5)))-1</f>
        <v>0.43941506192407132</v>
      </c>
      <c r="C403" s="11" cm="1">
        <f t="array" ref="C403">(1+C402)*(1+INDEX(Data!$G:$G,717-(ROW()-5)))-1</f>
        <v>0.5033172496984315</v>
      </c>
      <c r="D403" s="11" cm="1">
        <f t="array" ref="D403">(1+D402)*(1+INDEX(Data!$H:$H,717-(ROW()-5)))-1</f>
        <v>0.13005981360411645</v>
      </c>
      <c r="E403" s="11" cm="1">
        <f t="array" ref="E403">(1+E402)*(1+INDEX(Data!$I:$I,717-(ROW()-5)))-1</f>
        <v>8.9781958101746717E-3</v>
      </c>
    </row>
    <row r="404" spans="1:5" x14ac:dyDescent="0.2">
      <c r="A404" s="1" cm="1">
        <f t="array" ref="A404">INDEX(Data!$A:$A,717-(ROW()-5))</f>
        <v>45669</v>
      </c>
      <c r="B404" s="11" cm="1">
        <f t="array" ref="B404">(1+B403)*(1+INDEX(Data!$F:$F,717-(ROW()-5)))-1</f>
        <v>0.44178674518287986</v>
      </c>
      <c r="C404" s="11" cm="1">
        <f t="array" ref="C404">(1+C403)*(1+INDEX(Data!$G:$G,717-(ROW()-5)))-1</f>
        <v>0.49276236429433018</v>
      </c>
      <c r="D404" s="11" cm="1">
        <f t="array" ref="D404">(1+D403)*(1+INDEX(Data!$H:$H,717-(ROW()-5)))-1</f>
        <v>0.12825149534010194</v>
      </c>
      <c r="E404" s="11" cm="1">
        <f t="array" ref="E404">(1+E403)*(1+INDEX(Data!$I:$I,717-(ROW()-5)))-1</f>
        <v>8.9781958101746717E-3</v>
      </c>
    </row>
    <row r="405" spans="1:5" x14ac:dyDescent="0.2">
      <c r="A405" s="1" cm="1">
        <f t="array" ref="A405">INDEX(Data!$A:$A,717-(ROW()-5))</f>
        <v>45670</v>
      </c>
      <c r="B405" s="11" cm="1">
        <f t="array" ref="B405">(1+B404)*(1+INDEX(Data!$F:$F,717-(ROW()-5)))-1</f>
        <v>0.44263708040006233</v>
      </c>
      <c r="C405" s="11" cm="1">
        <f t="array" ref="C405">(1+C404)*(1+INDEX(Data!$G:$G,717-(ROW()-5)))-1</f>
        <v>0.50542822677925181</v>
      </c>
      <c r="D405" s="11" cm="1">
        <f t="array" ref="D405">(1+D404)*(1+INDEX(Data!$H:$H,717-(ROW()-5)))-1</f>
        <v>0.13924050632911289</v>
      </c>
      <c r="E405" s="11" cm="1">
        <f t="array" ref="E405">(1+E404)*(1+INDEX(Data!$I:$I,717-(ROW()-5)))-1</f>
        <v>8.9781958101746717E-3</v>
      </c>
    </row>
    <row r="406" spans="1:5" x14ac:dyDescent="0.2">
      <c r="A406" s="1" cm="1">
        <f t="array" ref="A406">INDEX(Data!$A:$A,717-(ROW()-5))</f>
        <v>45671</v>
      </c>
      <c r="B406" s="11" cm="1">
        <f t="array" ref="B406">(1+B405)*(1+INDEX(Data!$F:$F,717-(ROW()-5)))-1</f>
        <v>0.46157005431733089</v>
      </c>
      <c r="C406" s="11" cm="1">
        <f t="array" ref="C406">(1+C405)*(1+INDEX(Data!$G:$G,717-(ROW()-5)))-1</f>
        <v>0.52171290711700813</v>
      </c>
      <c r="D406" s="11" cm="1">
        <f t="array" ref="D406">(1+D405)*(1+INDEX(Data!$H:$H,717-(ROW()-5)))-1</f>
        <v>0.14480456252608054</v>
      </c>
      <c r="E406" s="11" cm="1">
        <f t="array" ref="E406">(1+E405)*(1+INDEX(Data!$I:$I,717-(ROW()-5)))-1</f>
        <v>7.5673364685762357E-2</v>
      </c>
    </row>
    <row r="407" spans="1:5" x14ac:dyDescent="0.2">
      <c r="A407" s="1" cm="1">
        <f t="array" ref="A407">INDEX(Data!$A:$A,717-(ROW()-5))</f>
        <v>45672</v>
      </c>
      <c r="B407" s="11" cm="1">
        <f t="array" ref="B407">(1+B406)*(1+INDEX(Data!$F:$F,717-(ROW()-5)))-1</f>
        <v>0.48003447617615214</v>
      </c>
      <c r="C407" s="11" cm="1">
        <f t="array" ref="C407">(1+C406)*(1+INDEX(Data!$G:$G,717-(ROW()-5)))-1</f>
        <v>0.54101326899879321</v>
      </c>
      <c r="D407" s="11" cm="1">
        <f t="array" ref="D407">(1+D406)*(1+INDEX(Data!$H:$H,717-(ROW()-5)))-1</f>
        <v>0.18027542078174874</v>
      </c>
      <c r="E407" s="11" cm="1">
        <f t="array" ref="E407">(1+E406)*(1+INDEX(Data!$I:$I,717-(ROW()-5)))-1</f>
        <v>7.0115433946130068E-2</v>
      </c>
    </row>
    <row r="408" spans="1:5" x14ac:dyDescent="0.2">
      <c r="A408" s="1" cm="1">
        <f t="array" ref="A408">INDEX(Data!$A:$A,717-(ROW()-5))</f>
        <v>45673</v>
      </c>
      <c r="B408" s="11" cm="1">
        <f t="array" ref="B408">(1+B407)*(1+INDEX(Data!$F:$F,717-(ROW()-5)))-1</f>
        <v>0.48494559589988007</v>
      </c>
      <c r="C408" s="11" cm="1">
        <f t="array" ref="C408">(1+C407)*(1+INDEX(Data!$G:$G,717-(ROW()-5)))-1</f>
        <v>0.50331724969843128</v>
      </c>
      <c r="D408" s="11" cm="1">
        <f t="array" ref="D408">(1+D407)*(1+INDEX(Data!$H:$H,717-(ROW()-5)))-1</f>
        <v>0.18639588259841311</v>
      </c>
      <c r="E408" s="11" cm="1">
        <f t="array" ref="E408">(1+E407)*(1+INDEX(Data!$I:$I,717-(ROW()-5)))-1</f>
        <v>9.4484822573748684E-2</v>
      </c>
    </row>
    <row r="409" spans="1:5" x14ac:dyDescent="0.2">
      <c r="A409" s="1" cm="1">
        <f t="array" ref="A409">INDEX(Data!$A:$A,717-(ROW()-5))</f>
        <v>45676</v>
      </c>
      <c r="B409" s="11" cm="1">
        <f t="array" ref="B409">(1+B408)*(1+INDEX(Data!$F:$F,717-(ROW()-5)))-1</f>
        <v>0.50134491794554359</v>
      </c>
      <c r="C409" s="11" cm="1">
        <f t="array" ref="C409">(1+C408)*(1+INDEX(Data!$G:$G,717-(ROW()-5)))-1</f>
        <v>0.53196622436670626</v>
      </c>
      <c r="D409" s="11" cm="1">
        <f t="array" ref="D409">(1+D408)*(1+INDEX(Data!$H:$H,717-(ROW()-5)))-1</f>
        <v>0.21713729308665908</v>
      </c>
      <c r="E409" s="11" cm="1">
        <f t="array" ref="E409">(1+E408)*(1+INDEX(Data!$I:$I,717-(ROW()-5)))-1</f>
        <v>0.10089781958101685</v>
      </c>
    </row>
    <row r="410" spans="1:5" x14ac:dyDescent="0.2">
      <c r="A410" s="1" cm="1">
        <f t="array" ref="A410">INDEX(Data!$A:$A,717-(ROW()-5))</f>
        <v>45677</v>
      </c>
      <c r="B410" s="11" cm="1">
        <f t="array" ref="B410">(1+B409)*(1+INDEX(Data!$F:$F,717-(ROW()-5)))-1</f>
        <v>0.50045409057516177</v>
      </c>
      <c r="C410" s="11" cm="1">
        <f t="array" ref="C410">(1+C409)*(1+INDEX(Data!$G:$G,717-(ROW()-5)))-1</f>
        <v>0.54674306393244798</v>
      </c>
      <c r="D410" s="11" cm="1">
        <f t="array" ref="D410">(1+D409)*(1+INDEX(Data!$H:$H,717-(ROW()-5)))-1</f>
        <v>0.20837390457643523</v>
      </c>
      <c r="E410" s="11" cm="1">
        <f t="array" ref="E410">(1+E409)*(1+INDEX(Data!$I:$I,717-(ROW()-5)))-1</f>
        <v>0.1060282171868312</v>
      </c>
    </row>
    <row r="411" spans="1:5" x14ac:dyDescent="0.2">
      <c r="A411" s="1" cm="1">
        <f t="array" ref="A411">INDEX(Data!$A:$A,717-(ROW()-5))</f>
        <v>45678</v>
      </c>
      <c r="B411" s="11" cm="1">
        <f t="array" ref="B411">(1+B410)*(1+INDEX(Data!$F:$F,717-(ROW()-5)))-1</f>
        <v>0.49985827746380251</v>
      </c>
      <c r="C411" s="11" cm="1">
        <f t="array" ref="C411">(1+C410)*(1+INDEX(Data!$G:$G,717-(ROW()-5)))-1</f>
        <v>0.51688781664656136</v>
      </c>
      <c r="D411" s="11" cm="1">
        <f t="array" ref="D411">(1+D410)*(1+INDEX(Data!$H:$H,717-(ROW()-5)))-1</f>
        <v>0.20364445680901277</v>
      </c>
      <c r="E411" s="11" cm="1">
        <f t="array" ref="E411">(1+E410)*(1+INDEX(Data!$I:$I,717-(ROW()-5)))-1</f>
        <v>0.1060282171868312</v>
      </c>
    </row>
    <row r="412" spans="1:5" x14ac:dyDescent="0.2">
      <c r="A412" s="1" cm="1">
        <f t="array" ref="A412">INDEX(Data!$A:$A,717-(ROW()-5))</f>
        <v>45679</v>
      </c>
      <c r="B412" s="11" cm="1">
        <f t="array" ref="B412">(1+B411)*(1+INDEX(Data!$F:$F,717-(ROW()-5)))-1</f>
        <v>0.48938237897184589</v>
      </c>
      <c r="C412" s="11" cm="1">
        <f t="array" ref="C412">(1+C411)*(1+INDEX(Data!$G:$G,717-(ROW()-5)))-1</f>
        <v>0.50180940892641668</v>
      </c>
      <c r="D412" s="11" cm="1">
        <f t="array" ref="D412">(1+D411)*(1+INDEX(Data!$H:$H,717-(ROW()-5)))-1</f>
        <v>0.19042982334121472</v>
      </c>
      <c r="E412" s="11" cm="1">
        <f t="array" ref="E412">(1+E411)*(1+INDEX(Data!$I:$I,717-(ROW()-5)))-1</f>
        <v>9.3202223172295096E-2</v>
      </c>
    </row>
    <row r="413" spans="1:5" x14ac:dyDescent="0.2">
      <c r="A413" s="1" cm="1">
        <f t="array" ref="A413">INDEX(Data!$A:$A,717-(ROW()-5))</f>
        <v>45680</v>
      </c>
      <c r="B413" s="11" cm="1">
        <f t="array" ref="B413">(1+B412)*(1+INDEX(Data!$F:$F,717-(ROW()-5)))-1</f>
        <v>0.47964112383078872</v>
      </c>
      <c r="C413" s="11" cm="1">
        <f t="array" ref="C413">(1+C412)*(1+INDEX(Data!$G:$G,717-(ROW()-5)))-1</f>
        <v>0.49095295536791239</v>
      </c>
      <c r="D413" s="11" cm="1">
        <f t="array" ref="D413">(1+D412)*(1+INDEX(Data!$H:$H,717-(ROW()-5)))-1</f>
        <v>0.20127973292530132</v>
      </c>
      <c r="E413" s="11" cm="1">
        <f t="array" ref="E413">(1+E412)*(1+INDEX(Data!$I:$I,717-(ROW()-5)))-1</f>
        <v>6.4129970072679843E-2</v>
      </c>
    </row>
    <row r="414" spans="1:5" x14ac:dyDescent="0.2">
      <c r="A414" s="1" cm="1">
        <f t="array" ref="A414">INDEX(Data!$A:$A,717-(ROW()-5))</f>
        <v>45683</v>
      </c>
      <c r="B414" s="11" cm="1">
        <f t="array" ref="B414">(1+B413)*(1+INDEX(Data!$F:$F,717-(ROW()-5)))-1</f>
        <v>0.48001712239620975</v>
      </c>
      <c r="C414" s="11" cm="1">
        <f t="array" ref="C414">(1+C413)*(1+INDEX(Data!$G:$G,717-(ROW()-5)))-1</f>
        <v>0.49034981905910668</v>
      </c>
      <c r="D414" s="11" cm="1">
        <f t="array" ref="D414">(1+D413)*(1+INDEX(Data!$H:$H,717-(ROW()-5)))-1</f>
        <v>0.1989150090415901</v>
      </c>
      <c r="E414" s="11" cm="1">
        <f t="array" ref="E414">(1+E413)*(1+INDEX(Data!$I:$I,717-(ROW()-5)))-1</f>
        <v>6.883283454467648E-2</v>
      </c>
    </row>
    <row r="415" spans="1:5" x14ac:dyDescent="0.2">
      <c r="A415" s="1" cm="1">
        <f t="array" ref="A415">INDEX(Data!$A:$A,717-(ROW()-5))</f>
        <v>45684</v>
      </c>
      <c r="B415" s="11" cm="1">
        <f t="array" ref="B415">(1+B414)*(1+INDEX(Data!$F:$F,717-(ROW()-5)))-1</f>
        <v>0.44787792194269738</v>
      </c>
      <c r="C415" s="11" cm="1">
        <f t="array" ref="C415">(1+C414)*(1+INDEX(Data!$G:$G,717-(ROW()-5)))-1</f>
        <v>0.48401688781664576</v>
      </c>
      <c r="D415" s="11" cm="1">
        <f t="array" ref="D415">(1+D414)*(1+INDEX(Data!$H:$H,717-(ROW()-5)))-1</f>
        <v>0.18027542078174874</v>
      </c>
      <c r="E415" s="11" cm="1">
        <f t="array" ref="E415">(1+E414)*(1+INDEX(Data!$I:$I,717-(ROW()-5)))-1</f>
        <v>6.883283454467648E-2</v>
      </c>
    </row>
    <row r="416" spans="1:5" x14ac:dyDescent="0.2">
      <c r="A416" s="1" cm="1">
        <f t="array" ref="A416">INDEX(Data!$A:$A,717-(ROW()-5))</f>
        <v>45685</v>
      </c>
      <c r="B416" s="11" cm="1">
        <f t="array" ref="B416">(1+B415)*(1+INDEX(Data!$F:$F,717-(ROW()-5)))-1</f>
        <v>0.449763699363116</v>
      </c>
      <c r="C416" s="11" cm="1">
        <f t="array" ref="C416">(1+C415)*(1+INDEX(Data!$G:$G,717-(ROW()-5)))-1</f>
        <v>0.50482509047044544</v>
      </c>
      <c r="D416" s="11" cm="1">
        <f t="array" ref="D416">(1+D415)*(1+INDEX(Data!$H:$H,717-(ROW()-5)))-1</f>
        <v>0.17540687160940216</v>
      </c>
      <c r="E416" s="11" cm="1">
        <f t="array" ref="E416">(1+E415)*(1+INDEX(Data!$I:$I,717-(ROW()-5)))-1</f>
        <v>6.883283454467648E-2</v>
      </c>
    </row>
    <row r="417" spans="1:5" x14ac:dyDescent="0.2">
      <c r="A417" s="1" cm="1">
        <f t="array" ref="A417">INDEX(Data!$A:$A,717-(ROW()-5))</f>
        <v>45686</v>
      </c>
      <c r="B417" s="11" cm="1">
        <f t="array" ref="B417">(1+B416)*(1+INDEX(Data!$F:$F,717-(ROW()-5)))-1</f>
        <v>0.45740514713113067</v>
      </c>
      <c r="C417" s="11" cm="1">
        <f t="array" ref="C417">(1+C416)*(1+INDEX(Data!$G:$G,717-(ROW()-5)))-1</f>
        <v>0.53980699638118113</v>
      </c>
      <c r="D417" s="11" cm="1">
        <f t="array" ref="D417">(1+D416)*(1+INDEX(Data!$H:$H,717-(ROW()-5)))-1</f>
        <v>0.1930727500347742</v>
      </c>
      <c r="E417" s="11" cm="1">
        <f t="array" ref="E417">(1+E416)*(1+INDEX(Data!$I:$I,717-(ROW()-5)))-1</f>
        <v>6.883283454467648E-2</v>
      </c>
    </row>
    <row r="418" spans="1:5" x14ac:dyDescent="0.2">
      <c r="A418" s="1" cm="1">
        <f t="array" ref="A418">INDEX(Data!$A:$A,717-(ROW()-5))</f>
        <v>45687</v>
      </c>
      <c r="B418" s="11" cm="1">
        <f t="array" ref="B418">(1+B417)*(1+INDEX(Data!$F:$F,717-(ROW()-5)))-1</f>
        <v>0.44649540414061173</v>
      </c>
      <c r="C418" s="11" cm="1">
        <f t="array" ref="C418">(1+C417)*(1+INDEX(Data!$G:$G,717-(ROW()-5)))-1</f>
        <v>0.5093486127864888</v>
      </c>
      <c r="D418" s="11" cm="1">
        <f t="array" ref="D418">(1+D417)*(1+INDEX(Data!$H:$H,717-(ROW()-5)))-1</f>
        <v>0.19627208234803062</v>
      </c>
      <c r="E418" s="11" cm="1">
        <f t="array" ref="E418">(1+E417)*(1+INDEX(Data!$I:$I,717-(ROW()-5)))-1</f>
        <v>4.7456177853782977E-2</v>
      </c>
    </row>
    <row r="419" spans="1:5" x14ac:dyDescent="0.2">
      <c r="A419" s="1" cm="1">
        <f t="array" ref="A419">INDEX(Data!$A:$A,717-(ROW()-5))</f>
        <v>45690</v>
      </c>
      <c r="B419" s="11" cm="1">
        <f t="array" ref="B419">(1+B418)*(1+INDEX(Data!$F:$F,717-(ROW()-5)))-1</f>
        <v>0.45216430558849563</v>
      </c>
      <c r="C419" s="11" cm="1">
        <f t="array" ref="C419">(1+C418)*(1+INDEX(Data!$G:$G,717-(ROW()-5)))-1</f>
        <v>0.48793727382388319</v>
      </c>
      <c r="D419" s="11" cm="1">
        <f t="array" ref="D419">(1+D418)*(1+INDEX(Data!$H:$H,717-(ROW()-5)))-1</f>
        <v>0.20294894978439171</v>
      </c>
      <c r="E419" s="11" cm="1">
        <f t="array" ref="E419">(1+E418)*(1+INDEX(Data!$I:$I,717-(ROW()-5)))-1</f>
        <v>2.6079521162889474E-2</v>
      </c>
    </row>
    <row r="420" spans="1:5" x14ac:dyDescent="0.2">
      <c r="A420" s="1" cm="1">
        <f t="array" ref="A420">INDEX(Data!$A:$A,717-(ROW()-5))</f>
        <v>45691</v>
      </c>
      <c r="B420" s="11" cm="1">
        <f t="array" ref="B420">(1+B419)*(1+INDEX(Data!$F:$F,717-(ROW()-5)))-1</f>
        <v>0.44722426289819706</v>
      </c>
      <c r="C420" s="11" cm="1">
        <f t="array" ref="C420">(1+C419)*(1+INDEX(Data!$G:$G,717-(ROW()-5)))-1</f>
        <v>0.48220747889022819</v>
      </c>
      <c r="D420" s="11" cm="1">
        <f t="array" ref="D420">(1+D419)*(1+INDEX(Data!$H:$H,717-(ROW()-5)))-1</f>
        <v>0.18931701210182106</v>
      </c>
      <c r="E420" s="11" cm="1">
        <f t="array" ref="E420">(1+E419)*(1+INDEX(Data!$I:$I,717-(ROW()-5)))-1</f>
        <v>3.4202650705423832E-3</v>
      </c>
    </row>
    <row r="421" spans="1:5" x14ac:dyDescent="0.2">
      <c r="A421" s="1" cm="1">
        <f t="array" ref="A421">INDEX(Data!$A:$A,717-(ROW()-5))</f>
        <v>45692</v>
      </c>
      <c r="B421" s="11" cm="1">
        <f t="array" ref="B421">(1+B420)*(1+INDEX(Data!$F:$F,717-(ROW()-5)))-1</f>
        <v>0.46811821394896858</v>
      </c>
      <c r="C421" s="11" cm="1">
        <f t="array" ref="C421">(1+C420)*(1+INDEX(Data!$G:$G,717-(ROW()-5)))-1</f>
        <v>0.52291917973461888</v>
      </c>
      <c r="D421" s="11" cm="1">
        <f t="array" ref="D421">(1+D420)*(1+INDEX(Data!$H:$H,717-(ROW()-5)))-1</f>
        <v>0.20948671581582845</v>
      </c>
      <c r="E421" s="11" cm="1">
        <f t="array" ref="E421">(1+E420)*(1+INDEX(Data!$I:$I,717-(ROW()-5)))-1</f>
        <v>2.6079521162889696E-2</v>
      </c>
    </row>
    <row r="422" spans="1:5" x14ac:dyDescent="0.2">
      <c r="A422" s="1" cm="1">
        <f t="array" ref="A422">INDEX(Data!$A:$A,717-(ROW()-5))</f>
        <v>45693</v>
      </c>
      <c r="B422" s="11" cm="1">
        <f t="array" ref="B422">(1+B421)*(1+INDEX(Data!$F:$F,717-(ROW()-5)))-1</f>
        <v>0.49144169419169037</v>
      </c>
      <c r="C422" s="11" cm="1">
        <f t="array" ref="C422">(1+C421)*(1+INDEX(Data!$G:$G,717-(ROW()-5)))-1</f>
        <v>0.53437876960192887</v>
      </c>
      <c r="D422" s="11" cm="1">
        <f t="array" ref="D422">(1+D421)*(1+INDEX(Data!$H:$H,717-(ROW()-5)))-1</f>
        <v>0.21978021978021856</v>
      </c>
      <c r="E422" s="11" cm="1">
        <f t="array" ref="E422">(1+E421)*(1+INDEX(Data!$I:$I,717-(ROW()-5)))-1</f>
        <v>3.4630183839247097E-2</v>
      </c>
    </row>
    <row r="423" spans="1:5" x14ac:dyDescent="0.2">
      <c r="A423" s="1" cm="1">
        <f t="array" ref="A423">INDEX(Data!$A:$A,717-(ROW()-5))</f>
        <v>45694</v>
      </c>
      <c r="B423" s="11" cm="1">
        <f t="array" ref="B423">(1+B422)*(1+INDEX(Data!$F:$F,717-(ROW()-5)))-1</f>
        <v>0.48864195102763341</v>
      </c>
      <c r="C423" s="11" cm="1">
        <f t="array" ref="C423">(1+C422)*(1+INDEX(Data!$G:$G,717-(ROW()-5)))-1</f>
        <v>0.49276236429432929</v>
      </c>
      <c r="D423" s="11" cm="1">
        <f t="array" ref="D423">(1+D422)*(1+INDEX(Data!$H:$H,717-(ROW()-5)))-1</f>
        <v>0.19919321185143857</v>
      </c>
      <c r="E423" s="11" cm="1">
        <f t="array" ref="E423">(1+E422)*(1+INDEX(Data!$I:$I,717-(ROW()-5)))-1</f>
        <v>3.4630183839247097E-2</v>
      </c>
    </row>
    <row r="424" spans="1:5" x14ac:dyDescent="0.2">
      <c r="A424" s="1" cm="1">
        <f t="array" ref="A424">INDEX(Data!$A:$A,717-(ROW()-5))</f>
        <v>45697</v>
      </c>
      <c r="B424" s="11" cm="1">
        <f t="array" ref="B424">(1+B423)*(1+INDEX(Data!$F:$F,717-(ROW()-5)))-1</f>
        <v>0.48319286412568796</v>
      </c>
      <c r="C424" s="11" cm="1">
        <f t="array" ref="C424">(1+C423)*(1+INDEX(Data!$G:$G,717-(ROW()-5)))-1</f>
        <v>0.46682750301568032</v>
      </c>
      <c r="D424" s="11" cm="1">
        <f t="array" ref="D424">(1+D423)*(1+INDEX(Data!$H:$H,717-(ROW()-5)))-1</f>
        <v>0.17540687160940216</v>
      </c>
      <c r="E424" s="11" cm="1">
        <f t="array" ref="E424">(1+E423)*(1+INDEX(Data!$I:$I,717-(ROW()-5)))-1</f>
        <v>3.4630183839247097E-2</v>
      </c>
    </row>
    <row r="425" spans="1:5" x14ac:dyDescent="0.2">
      <c r="A425" s="1" cm="1">
        <f t="array" ref="A425">INDEX(Data!$A:$A,717-(ROW()-5))</f>
        <v>45698</v>
      </c>
      <c r="B425" s="11" cm="1">
        <f t="array" ref="B425">(1+B424)*(1+INDEX(Data!$F:$F,717-(ROW()-5)))-1</f>
        <v>0.49725521047242793</v>
      </c>
      <c r="C425" s="11" cm="1">
        <f t="array" ref="C425">(1+C424)*(1+INDEX(Data!$G:$G,717-(ROW()-5)))-1</f>
        <v>0.48160434258142204</v>
      </c>
      <c r="D425" s="11" cm="1">
        <f t="array" ref="D425">(1+D424)*(1+INDEX(Data!$H:$H,717-(ROW()-5)))-1</f>
        <v>0.17540687160940216</v>
      </c>
      <c r="E425" s="11" cm="1">
        <f t="array" ref="E425">(1+E424)*(1+INDEX(Data!$I:$I,717-(ROW()-5)))-1</f>
        <v>3.4630183839247097E-2</v>
      </c>
    </row>
    <row r="426" spans="1:5" x14ac:dyDescent="0.2">
      <c r="A426" s="1" cm="1">
        <f t="array" ref="A426">INDEX(Data!$A:$A,717-(ROW()-5))</f>
        <v>45699</v>
      </c>
      <c r="B426" s="11" cm="1">
        <f t="array" ref="B426">(1+B425)*(1+INDEX(Data!$F:$F,717-(ROW()-5)))-1</f>
        <v>0.48574386977723538</v>
      </c>
      <c r="C426" s="11" cm="1">
        <f t="array" ref="C426">(1+C425)*(1+INDEX(Data!$G:$G,717-(ROW()-5)))-1</f>
        <v>0.45627261761157878</v>
      </c>
      <c r="D426" s="11" cm="1">
        <f t="array" ref="D426">(1+D425)*(1+INDEX(Data!$H:$H,717-(ROW()-5)))-1</f>
        <v>0.17665878425371973</v>
      </c>
      <c r="E426" s="11" cm="1">
        <f t="array" ref="E426">(1+E425)*(1+INDEX(Data!$I:$I,717-(ROW()-5)))-1</f>
        <v>3.4630183839247097E-2</v>
      </c>
    </row>
    <row r="427" spans="1:5" x14ac:dyDescent="0.2">
      <c r="A427" s="1" cm="1">
        <f t="array" ref="A427">INDEX(Data!$A:$A,717-(ROW()-5))</f>
        <v>45700</v>
      </c>
      <c r="B427" s="11" cm="1">
        <f t="array" ref="B427">(1+B426)*(1+INDEX(Data!$F:$F,717-(ROW()-5)))-1</f>
        <v>0.4636756462836884</v>
      </c>
      <c r="C427" s="11" cm="1">
        <f t="array" ref="C427">(1+C426)*(1+INDEX(Data!$G:$G,717-(ROW()-5)))-1</f>
        <v>0.42611580217128942</v>
      </c>
      <c r="D427" s="11" cm="1">
        <f t="array" ref="D427">(1+D426)*(1+INDEX(Data!$H:$H,717-(ROW()-5)))-1</f>
        <v>0.16427875921546686</v>
      </c>
      <c r="E427" s="11" cm="1">
        <f t="array" ref="E427">(1+E426)*(1+INDEX(Data!$I:$I,717-(ROW()-5)))-1</f>
        <v>3.4630183839247097E-2</v>
      </c>
    </row>
    <row r="428" spans="1:5" x14ac:dyDescent="0.2">
      <c r="A428" s="1" cm="1">
        <f t="array" ref="A428">INDEX(Data!$A:$A,717-(ROW()-5))</f>
        <v>45701</v>
      </c>
      <c r="B428" s="11" cm="1">
        <f t="array" ref="B428">(1+B427)*(1+INDEX(Data!$F:$F,717-(ROW()-5)))-1</f>
        <v>0.48901216499973987</v>
      </c>
      <c r="C428" s="11" cm="1">
        <f t="array" ref="C428">(1+C427)*(1+INDEX(Data!$G:$G,717-(ROW()-5)))-1</f>
        <v>0.45597104945717604</v>
      </c>
      <c r="D428" s="11" cm="1">
        <f t="array" ref="D428">(1+D427)*(1+INDEX(Data!$H:$H,717-(ROW()-5)))-1</f>
        <v>0.17012101822228276</v>
      </c>
      <c r="E428" s="11" cm="1">
        <f t="array" ref="E428">(1+E427)*(1+INDEX(Data!$I:$I,717-(ROW()-5)))-1</f>
        <v>3.5485250106882749E-2</v>
      </c>
    </row>
    <row r="429" spans="1:5" x14ac:dyDescent="0.2">
      <c r="A429" s="1" cm="1">
        <f t="array" ref="A429">INDEX(Data!$A:$A,717-(ROW()-5))</f>
        <v>45704</v>
      </c>
      <c r="B429" s="11" cm="1">
        <f t="array" ref="B429">(1+B428)*(1+INDEX(Data!$F:$F,717-(ROW()-5)))-1</f>
        <v>0.49359356290456025</v>
      </c>
      <c r="C429" s="11" cm="1">
        <f t="array" ref="C429">(1+C428)*(1+INDEX(Data!$G:$G,717-(ROW()-5)))-1</f>
        <v>0.45747889022919064</v>
      </c>
      <c r="D429" s="11" cm="1">
        <f t="array" ref="D429">(1+D428)*(1+INDEX(Data!$H:$H,717-(ROW()-5)))-1</f>
        <v>0.17234664070106986</v>
      </c>
      <c r="E429" s="11" cm="1">
        <f t="array" ref="E429">(1+E428)*(1+INDEX(Data!$I:$I,717-(ROW()-5)))-1</f>
        <v>4.4463445917058086E-2</v>
      </c>
    </row>
    <row r="430" spans="1:5" x14ac:dyDescent="0.2">
      <c r="A430" s="1" cm="1">
        <f t="array" ref="A430">INDEX(Data!$A:$A,717-(ROW()-5))</f>
        <v>45705</v>
      </c>
      <c r="B430" s="11" cm="1">
        <f t="array" ref="B430">(1+B429)*(1+INDEX(Data!$F:$F,717-(ROW()-5)))-1</f>
        <v>0.48734041753194579</v>
      </c>
      <c r="C430" s="11" cm="1">
        <f t="array" ref="C430">(1+C429)*(1+INDEX(Data!$G:$G,717-(ROW()-5)))-1</f>
        <v>0.44692400482508932</v>
      </c>
      <c r="D430" s="11" cm="1">
        <f t="array" ref="D430">(1+D429)*(1+INDEX(Data!$H:$H,717-(ROW()-5)))-1</f>
        <v>0.17485046598970522</v>
      </c>
      <c r="E430" s="11" cm="1">
        <f t="array" ref="E430">(1+E429)*(1+INDEX(Data!$I:$I,717-(ROW()-5)))-1</f>
        <v>4.4463445917058086E-2</v>
      </c>
    </row>
    <row r="431" spans="1:5" x14ac:dyDescent="0.2">
      <c r="A431" s="1" cm="1">
        <f t="array" ref="A431">INDEX(Data!$A:$A,717-(ROW()-5))</f>
        <v>45706</v>
      </c>
      <c r="B431" s="11" cm="1">
        <f t="array" ref="B431">(1+B430)*(1+INDEX(Data!$F:$F,717-(ROW()-5)))-1</f>
        <v>0.50959953260486079</v>
      </c>
      <c r="C431" s="11" cm="1">
        <f t="array" ref="C431">(1+C430)*(1+INDEX(Data!$G:$G,717-(ROW()-5)))-1</f>
        <v>0.45989143546441391</v>
      </c>
      <c r="D431" s="11" cm="1">
        <f t="array" ref="D431">(1+D430)*(1+INDEX(Data!$H:$H,717-(ROW()-5)))-1</f>
        <v>0.1952983725135613</v>
      </c>
      <c r="E431" s="11" cm="1">
        <f t="array" ref="E431">(1+E430)*(1+INDEX(Data!$I:$I,717-(ROW()-5)))-1</f>
        <v>4.4463445917058086E-2</v>
      </c>
    </row>
    <row r="432" spans="1:5" x14ac:dyDescent="0.2">
      <c r="A432" s="1" cm="1">
        <f t="array" ref="A432">INDEX(Data!$A:$A,717-(ROW()-5))</f>
        <v>45707</v>
      </c>
      <c r="B432" s="11" cm="1">
        <f t="array" ref="B432">(1+B431)*(1+INDEX(Data!$F:$F,717-(ROW()-5)))-1</f>
        <v>0.50551560972505882</v>
      </c>
      <c r="C432" s="11" cm="1">
        <f t="array" ref="C432">(1+C431)*(1+INDEX(Data!$G:$G,717-(ROW()-5)))-1</f>
        <v>0.47798552472858757</v>
      </c>
      <c r="D432" s="11" cm="1">
        <f t="array" ref="D432">(1+D431)*(1+INDEX(Data!$H:$H,717-(ROW()-5)))-1</f>
        <v>0.19515927110863718</v>
      </c>
      <c r="E432" s="11" cm="1">
        <f t="array" ref="E432">(1+E431)*(1+INDEX(Data!$I:$I,717-(ROW()-5)))-1</f>
        <v>4.4463445917058086E-2</v>
      </c>
    </row>
    <row r="433" spans="1:5" x14ac:dyDescent="0.2">
      <c r="A433" s="1" cm="1">
        <f t="array" ref="A433">INDEX(Data!$A:$A,717-(ROW()-5))</f>
        <v>45708</v>
      </c>
      <c r="B433" s="11" cm="1">
        <f t="array" ref="B433">(1+B432)*(1+INDEX(Data!$F:$F,717-(ROW()-5)))-1</f>
        <v>0.49728413343899902</v>
      </c>
      <c r="C433" s="11" cm="1">
        <f t="array" ref="C433">(1+C432)*(1+INDEX(Data!$G:$G,717-(ROW()-5)))-1</f>
        <v>0.46592279855247187</v>
      </c>
      <c r="D433" s="11" cm="1">
        <f t="array" ref="D433">(1+D432)*(1+INDEX(Data!$H:$H,717-(ROW()-5)))-1</f>
        <v>0.18208373904576325</v>
      </c>
      <c r="E433" s="11" cm="1">
        <f t="array" ref="E433">(1+E432)*(1+INDEX(Data!$I:$I,717-(ROW()-5)))-1</f>
        <v>4.4463445917058086E-2</v>
      </c>
    </row>
    <row r="434" spans="1:5" x14ac:dyDescent="0.2">
      <c r="A434" s="1" cm="1">
        <f t="array" ref="A434">INDEX(Data!$A:$A,717-(ROW()-5))</f>
        <v>45711</v>
      </c>
      <c r="B434" s="11" cm="1">
        <f t="array" ref="B434">(1+B433)*(1+INDEX(Data!$F:$F,717-(ROW()-5)))-1</f>
        <v>0.47781897693682684</v>
      </c>
      <c r="C434" s="11" cm="1">
        <f t="array" ref="C434">(1+C433)*(1+INDEX(Data!$G:$G,717-(ROW()-5)))-1</f>
        <v>0.44119420989143454</v>
      </c>
      <c r="D434" s="11" cm="1">
        <f t="array" ref="D434">(1+D433)*(1+INDEX(Data!$H:$H,717-(ROW()-5)))-1</f>
        <v>0.16594797607455725</v>
      </c>
      <c r="E434" s="11" cm="1">
        <f t="array" ref="E434">(1+E433)*(1+INDEX(Data!$I:$I,717-(ROW()-5)))-1</f>
        <v>4.4463445917058086E-2</v>
      </c>
    </row>
    <row r="435" spans="1:5" x14ac:dyDescent="0.2">
      <c r="A435" s="1" cm="1">
        <f t="array" ref="A435">INDEX(Data!$A:$A,717-(ROW()-5))</f>
        <v>45712</v>
      </c>
      <c r="B435" s="11" cm="1">
        <f t="array" ref="B435">(1+B434)*(1+INDEX(Data!$F:$F,717-(ROW()-5)))-1</f>
        <v>0.46825704418850855</v>
      </c>
      <c r="C435" s="11" cm="1">
        <f t="array" ref="C435">(1+C434)*(1+INDEX(Data!$G:$G,717-(ROW()-5)))-1</f>
        <v>0.44028950542822587</v>
      </c>
      <c r="D435" s="11" cm="1">
        <f t="array" ref="D435">(1+D434)*(1+INDEX(Data!$H:$H,717-(ROW()-5)))-1</f>
        <v>0.16511336764501205</v>
      </c>
      <c r="E435" s="11" cm="1">
        <f t="array" ref="E435">(1+E434)*(1+INDEX(Data!$I:$I,717-(ROW()-5)))-1</f>
        <v>3.2920051303975573E-2</v>
      </c>
    </row>
    <row r="436" spans="1:5" x14ac:dyDescent="0.2">
      <c r="A436" s="1" cm="1">
        <f t="array" ref="A436">INDEX(Data!$A:$A,717-(ROW()-5))</f>
        <v>45713</v>
      </c>
      <c r="B436" s="11" cm="1">
        <f t="array" ref="B436">(1+B435)*(1+INDEX(Data!$F:$F,717-(ROW()-5)))-1</f>
        <v>0.46463010418052586</v>
      </c>
      <c r="C436" s="11" cm="1">
        <f t="array" ref="C436">(1+C435)*(1+INDEX(Data!$G:$G,717-(ROW()-5)))-1</f>
        <v>0.44782870928829821</v>
      </c>
      <c r="D436" s="11" cm="1">
        <f t="array" ref="D436">(1+D435)*(1+INDEX(Data!$H:$H,717-(ROW()-5)))-1</f>
        <v>0.16107942690221044</v>
      </c>
      <c r="E436" s="11" cm="1">
        <f t="array" ref="E436">(1+E435)*(1+INDEX(Data!$I:$I,717-(ROW()-5)))-1</f>
        <v>6.1992304403590826E-2</v>
      </c>
    </row>
    <row r="437" spans="1:5" x14ac:dyDescent="0.2">
      <c r="A437" s="1" cm="1">
        <f t="array" ref="A437">INDEX(Data!$A:$A,717-(ROW()-5))</f>
        <v>45714</v>
      </c>
      <c r="B437" s="11" cm="1">
        <f t="array" ref="B437">(1+B436)*(1+INDEX(Data!$F:$F,717-(ROW()-5)))-1</f>
        <v>0.47073285012697208</v>
      </c>
      <c r="C437" s="11" cm="1">
        <f t="array" ref="C437">(1+C436)*(1+INDEX(Data!$G:$G,717-(ROW()-5)))-1</f>
        <v>0.4499396863691183</v>
      </c>
      <c r="D437" s="11" cm="1">
        <f t="array" ref="D437">(1+D436)*(1+INDEX(Data!$H:$H,717-(ROW()-5)))-1</f>
        <v>0.16205313673667976</v>
      </c>
      <c r="E437" s="11" cm="1">
        <f t="array" ref="E437">(1+E436)*(1+INDEX(Data!$I:$I,717-(ROW()-5)))-1</f>
        <v>6.1992304403590826E-2</v>
      </c>
    </row>
    <row r="438" spans="1:5" x14ac:dyDescent="0.2">
      <c r="A438" s="1" cm="1">
        <f t="array" ref="A438">INDEX(Data!$A:$A,717-(ROW()-5))</f>
        <v>45715</v>
      </c>
      <c r="B438" s="11" cm="1">
        <f t="array" ref="B438">(1+B437)*(1+INDEX(Data!$F:$F,717-(ROW()-5)))-1</f>
        <v>0.47074441931360034</v>
      </c>
      <c r="C438" s="11" cm="1">
        <f t="array" ref="C438">(1+C437)*(1+INDEX(Data!$G:$G,717-(ROW()-5)))-1</f>
        <v>0.45325693606755024</v>
      </c>
      <c r="D438" s="11" cm="1">
        <f t="array" ref="D438">(1+D437)*(1+INDEX(Data!$H:$H,717-(ROW()-5)))-1</f>
        <v>0.18375295590485319</v>
      </c>
      <c r="E438" s="11" cm="1">
        <f t="array" ref="E438">(1+E437)*(1+INDEX(Data!$I:$I,717-(ROW()-5)))-1</f>
        <v>6.4557503206498001E-2</v>
      </c>
    </row>
    <row r="439" spans="1:5" x14ac:dyDescent="0.2">
      <c r="A439" s="1" cm="1">
        <f t="array" ref="A439">INDEX(Data!$A:$A,717-(ROW()-5))</f>
        <v>45718</v>
      </c>
      <c r="B439" s="11" cm="1">
        <f t="array" ref="B439">(1+B438)*(1+INDEX(Data!$F:$F,717-(ROW()-5)))-1</f>
        <v>0.46552671614422181</v>
      </c>
      <c r="C439" s="11" cm="1">
        <f t="array" ref="C439">(1+C438)*(1+INDEX(Data!$G:$G,717-(ROW()-5)))-1</f>
        <v>0.44481302774426923</v>
      </c>
      <c r="D439" s="11" cm="1">
        <f t="array" ref="D439">(1+D438)*(1+INDEX(Data!$H:$H,717-(ROW()-5)))-1</f>
        <v>0.18375295590485319</v>
      </c>
      <c r="E439" s="11" cm="1">
        <f t="array" ref="E439">(1+E438)*(1+INDEX(Data!$I:$I,717-(ROW()-5)))-1</f>
        <v>5.9854638734501364E-2</v>
      </c>
    </row>
    <row r="440" spans="1:5" x14ac:dyDescent="0.2">
      <c r="A440" s="1" cm="1">
        <f t="array" ref="A440">INDEX(Data!$A:$A,717-(ROW()-5))</f>
        <v>45719</v>
      </c>
      <c r="B440" s="11" cm="1">
        <f t="array" ref="B440">(1+B439)*(1+INDEX(Data!$F:$F,717-(ROW()-5)))-1</f>
        <v>0.48372504671059136</v>
      </c>
      <c r="C440" s="11" cm="1">
        <f t="array" ref="C440">(1+C439)*(1+INDEX(Data!$G:$G,717-(ROW()-5)))-1</f>
        <v>0.41737032569360588</v>
      </c>
      <c r="D440" s="11" cm="1">
        <f t="array" ref="D440">(1+D439)*(1+INDEX(Data!$H:$H,717-(ROW()-5)))-1</f>
        <v>0.18486576714424685</v>
      </c>
      <c r="E440" s="11" cm="1">
        <f t="array" ref="E440">(1+E439)*(1+INDEX(Data!$I:$I,717-(ROW()-5)))-1</f>
        <v>5.9854638734501364E-2</v>
      </c>
    </row>
    <row r="441" spans="1:5" x14ac:dyDescent="0.2">
      <c r="A441" s="1" cm="1">
        <f t="array" ref="A441">INDEX(Data!$A:$A,717-(ROW()-5))</f>
        <v>45720</v>
      </c>
      <c r="B441" s="11" cm="1">
        <f t="array" ref="B441">(1+B440)*(1+INDEX(Data!$F:$F,717-(ROW()-5)))-1</f>
        <v>0.45259236549374426</v>
      </c>
      <c r="C441" s="11" cm="1">
        <f t="array" ref="C441">(1+C440)*(1+INDEX(Data!$G:$G,717-(ROW()-5)))-1</f>
        <v>0.40470446320868425</v>
      </c>
      <c r="D441" s="11" cm="1">
        <f t="array" ref="D441">(1+D440)*(1+INDEX(Data!$H:$H,717-(ROW()-5)))-1</f>
        <v>0.17763249408818882</v>
      </c>
      <c r="E441" s="11" cm="1">
        <f t="array" ref="E441">(1+E440)*(1+INDEX(Data!$I:$I,717-(ROW()-5)))-1</f>
        <v>5.9854638734501364E-2</v>
      </c>
    </row>
    <row r="442" spans="1:5" x14ac:dyDescent="0.2">
      <c r="A442" s="1" cm="1">
        <f t="array" ref="A442">INDEX(Data!$A:$A,717-(ROW()-5))</f>
        <v>45721</v>
      </c>
      <c r="B442" s="11" cm="1">
        <f t="array" ref="B442">(1+B441)*(1+INDEX(Data!$F:$F,717-(ROW()-5)))-1</f>
        <v>0.46671255777362641</v>
      </c>
      <c r="C442" s="11" cm="1">
        <f t="array" ref="C442">(1+C441)*(1+INDEX(Data!$G:$G,717-(ROW()-5)))-1</f>
        <v>0.43546441495777954</v>
      </c>
      <c r="D442" s="11" cm="1">
        <f t="array" ref="D442">(1+D441)*(1+INDEX(Data!$H:$H,717-(ROW()-5)))-1</f>
        <v>0.16775629433857131</v>
      </c>
      <c r="E442" s="11" cm="1">
        <f t="array" ref="E442">(1+E441)*(1+INDEX(Data!$I:$I,717-(ROW()-5)))-1</f>
        <v>5.9854638734501364E-2</v>
      </c>
    </row>
    <row r="443" spans="1:5" x14ac:dyDescent="0.2">
      <c r="A443" s="1" cm="1">
        <f t="array" ref="A443">INDEX(Data!$A:$A,717-(ROW()-5))</f>
        <v>45722</v>
      </c>
      <c r="B443" s="11" cm="1">
        <f t="array" ref="B443">(1+B442)*(1+INDEX(Data!$F:$F,717-(ROW()-5)))-1</f>
        <v>0.45749191603084416</v>
      </c>
      <c r="C443" s="11" cm="1">
        <f t="array" ref="C443">(1+C442)*(1+INDEX(Data!$G:$G,717-(ROW()-5)))-1</f>
        <v>0.41133896260554792</v>
      </c>
      <c r="D443" s="11" cm="1">
        <f t="array" ref="D443">(1+D442)*(1+INDEX(Data!$H:$H,717-(ROW()-5)))-1</f>
        <v>0.15746279037418121</v>
      </c>
      <c r="E443" s="11" cm="1">
        <f t="array" ref="E443">(1+E442)*(1+INDEX(Data!$I:$I,717-(ROW()-5)))-1</f>
        <v>5.9854638734501364E-2</v>
      </c>
    </row>
    <row r="444" spans="1:5" x14ac:dyDescent="0.2">
      <c r="A444" s="1" cm="1">
        <f t="array" ref="A444">INDEX(Data!$A:$A,717-(ROW()-5))</f>
        <v>45725</v>
      </c>
      <c r="B444" s="11" cm="1">
        <f t="array" ref="B444">(1+B443)*(1+INDEX(Data!$F:$F,717-(ROW()-5)))-1</f>
        <v>0.474654804393978</v>
      </c>
      <c r="C444" s="11" cm="1">
        <f t="array" ref="C444">(1+C443)*(1+INDEX(Data!$G:$G,717-(ROW()-5)))-1</f>
        <v>0.4384800965018083</v>
      </c>
      <c r="D444" s="11" cm="1">
        <f t="array" ref="D444">(1+D443)*(1+INDEX(Data!$H:$H,717-(ROW()-5)))-1</f>
        <v>0.16664348309917765</v>
      </c>
      <c r="E444" s="11" cm="1">
        <f t="array" ref="E444">(1+E443)*(1+INDEX(Data!$I:$I,717-(ROW()-5)))-1</f>
        <v>6.1137238135954952E-2</v>
      </c>
    </row>
    <row r="445" spans="1:5" x14ac:dyDescent="0.2">
      <c r="A445" s="1" cm="1">
        <f t="array" ref="A445">INDEX(Data!$A:$A,717-(ROW()-5))</f>
        <v>45726</v>
      </c>
      <c r="B445" s="11" cm="1">
        <f t="array" ref="B445">(1+B444)*(1+INDEX(Data!$F:$F,717-(ROW()-5)))-1</f>
        <v>0.46189977613623956</v>
      </c>
      <c r="C445" s="11" cm="1">
        <f t="array" ref="C445">(1+C444)*(1+INDEX(Data!$G:$G,717-(ROW()-5)))-1</f>
        <v>0.40379975874547536</v>
      </c>
      <c r="D445" s="11" cm="1">
        <f t="array" ref="D445">(1+D444)*(1+INDEX(Data!$H:$H,717-(ROW()-5)))-1</f>
        <v>0.13826679649464291</v>
      </c>
      <c r="E445" s="11" cm="1">
        <f t="array" ref="E445">(1+E444)*(1+INDEX(Data!$I:$I,717-(ROW()-5)))-1</f>
        <v>6.5412569474133653E-2</v>
      </c>
    </row>
    <row r="446" spans="1:5" x14ac:dyDescent="0.2">
      <c r="A446" s="1" cm="1">
        <f t="array" ref="A446">INDEX(Data!$A:$A,717-(ROW()-5))</f>
        <v>45727</v>
      </c>
      <c r="B446" s="11" cm="1">
        <f t="array" ref="B446">(1+B445)*(1+INDEX(Data!$F:$F,717-(ROW()-5)))-1</f>
        <v>0.45583173774967811</v>
      </c>
      <c r="C446" s="11" cm="1">
        <f t="array" ref="C446">(1+C445)*(1+INDEX(Data!$G:$G,717-(ROW()-5)))-1</f>
        <v>0.42792521109770698</v>
      </c>
      <c r="D446" s="11" cm="1">
        <f t="array" ref="D446">(1+D445)*(1+INDEX(Data!$H:$H,717-(ROW()-5)))-1</f>
        <v>0.17735429127834013</v>
      </c>
      <c r="E446" s="11" cm="1">
        <f t="array" ref="E446">(1+E445)*(1+INDEX(Data!$I:$I,717-(ROW()-5)))-1</f>
        <v>6.5412569474133653E-2</v>
      </c>
    </row>
    <row r="447" spans="1:5" x14ac:dyDescent="0.2">
      <c r="A447" s="1" cm="1">
        <f t="array" ref="A447">INDEX(Data!$A:$A,717-(ROW()-5))</f>
        <v>45728</v>
      </c>
      <c r="B447" s="11" cm="1">
        <f t="array" ref="B447">(1+B446)*(1+INDEX(Data!$F:$F,717-(ROW()-5)))-1</f>
        <v>0.4778363307167699</v>
      </c>
      <c r="C447" s="11" cm="1">
        <f t="array" ref="C447">(1+C446)*(1+INDEX(Data!$G:$G,717-(ROW()-5)))-1</f>
        <v>0.47165259348612665</v>
      </c>
      <c r="D447" s="11" cm="1">
        <f t="array" ref="D447">(1+D446)*(1+INDEX(Data!$H:$H,717-(ROW()-5)))-1</f>
        <v>0.17568507441924996</v>
      </c>
      <c r="E447" s="11" cm="1">
        <f t="array" ref="E447">(1+E446)*(1+INDEX(Data!$I:$I,717-(ROW()-5)))-1</f>
        <v>6.5412569474133653E-2</v>
      </c>
    </row>
    <row r="448" spans="1:5" x14ac:dyDescent="0.2">
      <c r="A448" s="1" cm="1">
        <f t="array" ref="A448">INDEX(Data!$A:$A,717-(ROW()-5))</f>
        <v>45729</v>
      </c>
      <c r="B448" s="11" cm="1">
        <f t="array" ref="B448">(1+B447)*(1+INDEX(Data!$F:$F,717-(ROW()-5)))-1</f>
        <v>0.48581906949032017</v>
      </c>
      <c r="C448" s="11" cm="1">
        <f t="array" ref="C448">(1+C447)*(1+INDEX(Data!$G:$G,717-(ROW()-5)))-1</f>
        <v>0.46441495778045705</v>
      </c>
      <c r="D448" s="11" cm="1">
        <f t="array" ref="D448">(1+D447)*(1+INDEX(Data!$H:$H,717-(ROW()-5)))-1</f>
        <v>0.17345945194046286</v>
      </c>
      <c r="E448" s="11" cm="1">
        <f t="array" ref="E448">(1+E447)*(1+INDEX(Data!$I:$I,717-(ROW()-5)))-1</f>
        <v>6.5412569474133653E-2</v>
      </c>
    </row>
    <row r="449" spans="1:5" x14ac:dyDescent="0.2">
      <c r="A449" s="1" cm="1">
        <f t="array" ref="A449">INDEX(Data!$A:$A,717-(ROW()-5))</f>
        <v>45732</v>
      </c>
      <c r="B449" s="11" cm="1">
        <f t="array" ref="B449">(1+B448)*(1+INDEX(Data!$F:$F,717-(ROW()-5)))-1</f>
        <v>0.50288361976711315</v>
      </c>
      <c r="C449" s="11" cm="1">
        <f t="array" ref="C449">(1+C448)*(1+INDEX(Data!$G:$G,717-(ROW()-5)))-1</f>
        <v>0.49607961399276101</v>
      </c>
      <c r="D449" s="11" cm="1">
        <f t="array" ref="D449">(1+D448)*(1+INDEX(Data!$H:$H,717-(ROW()-5)))-1</f>
        <v>0.20879120879120694</v>
      </c>
      <c r="E449" s="11" cm="1">
        <f t="array" ref="E449">(1+E448)*(1+INDEX(Data!$I:$I,717-(ROW()-5)))-1</f>
        <v>6.5412569474133653E-2</v>
      </c>
    </row>
    <row r="450" spans="1:5" x14ac:dyDescent="0.2">
      <c r="A450" s="1" cm="1">
        <f t="array" ref="A450">INDEX(Data!$A:$A,717-(ROW()-5))</f>
        <v>45733</v>
      </c>
      <c r="B450" s="11" cm="1">
        <f t="array" ref="B450">(1+B449)*(1+INDEX(Data!$F:$F,717-(ROW()-5)))-1</f>
        <v>0.49914098789284722</v>
      </c>
      <c r="C450" s="11" cm="1">
        <f t="array" ref="C450">(1+C449)*(1+INDEX(Data!$G:$G,717-(ROW()-5)))-1</f>
        <v>0.47165259348612665</v>
      </c>
      <c r="D450" s="11" cm="1">
        <f t="array" ref="D450">(1+D449)*(1+INDEX(Data!$H:$H,717-(ROW()-5)))-1</f>
        <v>0.20420086242870861</v>
      </c>
      <c r="E450" s="11" cm="1">
        <f t="array" ref="E450">(1+E449)*(1+INDEX(Data!$I:$I,717-(ROW()-5)))-1</f>
        <v>3.9333048311243513E-2</v>
      </c>
    </row>
    <row r="451" spans="1:5" x14ac:dyDescent="0.2">
      <c r="A451" s="1" cm="1">
        <f t="array" ref="A451">INDEX(Data!$A:$A,717-(ROW()-5))</f>
        <v>45734</v>
      </c>
      <c r="B451" s="11" cm="1">
        <f t="array" ref="B451">(1+B450)*(1+INDEX(Data!$F:$F,717-(ROW()-5)))-1</f>
        <v>0.48344738623151184</v>
      </c>
      <c r="C451" s="11" cm="1">
        <f t="array" ref="C451">(1+C450)*(1+INDEX(Data!$G:$G,717-(ROW()-5)))-1</f>
        <v>0.42943305186972136</v>
      </c>
      <c r="D451" s="11" cm="1">
        <f t="array" ref="D451">(1+D450)*(1+INDEX(Data!$H:$H,717-(ROW()-5)))-1</f>
        <v>0.13618027542077993</v>
      </c>
      <c r="E451" s="11" cm="1">
        <f t="array" ref="E451">(1+E450)*(1+INDEX(Data!$I:$I,717-(ROW()-5)))-1</f>
        <v>3.9333048311243513E-2</v>
      </c>
    </row>
    <row r="452" spans="1:5" x14ac:dyDescent="0.2">
      <c r="A452" s="1" cm="1">
        <f t="array" ref="A452">INDEX(Data!$A:$A,717-(ROW()-5))</f>
        <v>45735</v>
      </c>
      <c r="B452" s="11" cm="1">
        <f t="array" ref="B452">(1+B451)*(1+INDEX(Data!$F:$F,717-(ROW()-5)))-1</f>
        <v>0.46961063902402422</v>
      </c>
      <c r="C452" s="11" cm="1">
        <f t="array" ref="C452">(1+C451)*(1+INDEX(Data!$G:$G,717-(ROW()-5)))-1</f>
        <v>0.4176718938480084</v>
      </c>
      <c r="D452" s="11" cm="1">
        <f t="array" ref="D452">(1+D451)*(1+INDEX(Data!$H:$H,717-(ROW()-5)))-1</f>
        <v>9.7788287661703555E-2</v>
      </c>
      <c r="E452" s="11" cm="1">
        <f t="array" ref="E452">(1+E451)*(1+INDEX(Data!$I:$I,717-(ROW()-5)))-1</f>
        <v>4.7028644719959711E-3</v>
      </c>
    </row>
    <row r="453" spans="1:5" x14ac:dyDescent="0.2">
      <c r="A453" s="1" cm="1">
        <f t="array" ref="A453">INDEX(Data!$A:$A,717-(ROW()-5))</f>
        <v>45736</v>
      </c>
      <c r="B453" s="11" cm="1">
        <f t="array" ref="B453">(1+B452)*(1+INDEX(Data!$F:$F,717-(ROW()-5)))-1</f>
        <v>0.46429459776830462</v>
      </c>
      <c r="C453" s="11" cm="1">
        <f t="array" ref="C453">(1+C452)*(1+INDEX(Data!$G:$G,717-(ROW()-5)))-1</f>
        <v>0.38118214716525811</v>
      </c>
      <c r="D453" s="11" cm="1">
        <f t="array" ref="D453">(1+D452)*(1+INDEX(Data!$H:$H,717-(ROW()-5)))-1</f>
        <v>0.10251773542912601</v>
      </c>
      <c r="E453" s="11" cm="1">
        <f t="array" ref="E453">(1+E452)*(1+INDEX(Data!$I:$I,717-(ROW()-5)))-1</f>
        <v>4.7028644719959711E-3</v>
      </c>
    </row>
    <row r="454" spans="1:5" x14ac:dyDescent="0.2">
      <c r="A454" s="1" cm="1">
        <f t="array" ref="A454">INDEX(Data!$A:$A,717-(ROW()-5))</f>
        <v>45739</v>
      </c>
      <c r="B454" s="11" cm="1">
        <f t="array" ref="B454">(1+B453)*(1+INDEX(Data!$F:$F,717-(ROW()-5)))-1</f>
        <v>0.41092015525848535</v>
      </c>
      <c r="C454" s="11" cm="1">
        <f t="array" ref="C454">(1+C453)*(1+INDEX(Data!$G:$G,717-(ROW()-5)))-1</f>
        <v>0.33594692400482384</v>
      </c>
      <c r="D454" s="11" cm="1">
        <f t="array" ref="D454">(1+D453)*(1+INDEX(Data!$H:$H,717-(ROW()-5)))-1</f>
        <v>7.0941716511335073E-2</v>
      </c>
      <c r="E454" s="11" cm="1">
        <f t="array" ref="E454">(1+E453)*(1+INDEX(Data!$I:$I,717-(ROW()-5)))-1</f>
        <v>4.7028644719959711E-3</v>
      </c>
    </row>
    <row r="455" spans="1:5" x14ac:dyDescent="0.2">
      <c r="A455" s="1" cm="1">
        <f t="array" ref="A455">INDEX(Data!$A:$A,717-(ROW()-5))</f>
        <v>45740</v>
      </c>
      <c r="B455" s="11" cm="1">
        <f t="array" ref="B455">(1+B454)*(1+INDEX(Data!$F:$F,717-(ROW()-5)))-1</f>
        <v>0.43813666680164154</v>
      </c>
      <c r="C455" s="11" cm="1">
        <f t="array" ref="C455">(1+C454)*(1+INDEX(Data!$G:$G,717-(ROW()-5)))-1</f>
        <v>0.37153196622436546</v>
      </c>
      <c r="D455" s="11" cm="1">
        <f t="array" ref="D455">(1+D454)*(1+INDEX(Data!$H:$H,717-(ROW()-5)))-1</f>
        <v>7.5532062873833405E-2</v>
      </c>
      <c r="E455" s="11" cm="1">
        <f t="array" ref="E455">(1+E454)*(1+INDEX(Data!$I:$I,717-(ROW()-5)))-1</f>
        <v>4.7028644719959711E-3</v>
      </c>
    </row>
    <row r="456" spans="1:5" x14ac:dyDescent="0.2">
      <c r="A456" s="1" cm="1">
        <f t="array" ref="A456">INDEX(Data!$A:$A,717-(ROW()-5))</f>
        <v>45741</v>
      </c>
      <c r="B456" s="11" cm="1">
        <f t="array" ref="B456">(1+B455)*(1+INDEX(Data!$F:$F,717-(ROW()-5)))-1</f>
        <v>0.44353369236375939</v>
      </c>
      <c r="C456" s="11" cm="1">
        <f t="array" ref="C456">(1+C455)*(1+INDEX(Data!$G:$G,717-(ROW()-5)))-1</f>
        <v>0.37635705669481179</v>
      </c>
      <c r="D456" s="11" cm="1">
        <f t="array" ref="D456">(1+D455)*(1+INDEX(Data!$H:$H,717-(ROW()-5)))-1</f>
        <v>6.1621922381414507E-2</v>
      </c>
      <c r="E456" s="11" cm="1">
        <f t="array" ref="E456">(1+E455)*(1+INDEX(Data!$I:$I,717-(ROW()-5)))-1</f>
        <v>4.7028644719959711E-3</v>
      </c>
    </row>
    <row r="457" spans="1:5" x14ac:dyDescent="0.2">
      <c r="A457" s="1" cm="1">
        <f t="array" ref="A457">INDEX(Data!$A:$A,717-(ROW()-5))</f>
        <v>45742</v>
      </c>
      <c r="B457" s="11" cm="1">
        <f t="array" ref="B457">(1+B456)*(1+INDEX(Data!$F:$F,717-(ROW()-5)))-1</f>
        <v>0.4249882861985399</v>
      </c>
      <c r="C457" s="11" cm="1">
        <f t="array" ref="C457">(1+C456)*(1+INDEX(Data!$G:$G,717-(ROW()-5)))-1</f>
        <v>0.34800965018093977</v>
      </c>
      <c r="D457" s="11" cm="1">
        <f t="array" ref="D457">(1+D456)*(1+INDEX(Data!$H:$H,717-(ROW()-5)))-1</f>
        <v>6.412574767004986E-2</v>
      </c>
      <c r="E457" s="11" cm="1">
        <f t="array" ref="E457">(1+E456)*(1+INDEX(Data!$I:$I,717-(ROW()-5)))-1</f>
        <v>4.7028644719959711E-3</v>
      </c>
    </row>
    <row r="458" spans="1:5" x14ac:dyDescent="0.2">
      <c r="A458" s="1" cm="1">
        <f t="array" ref="A458">INDEX(Data!$A:$A,717-(ROW()-5))</f>
        <v>45743</v>
      </c>
      <c r="B458" s="11" cm="1">
        <f t="array" ref="B458">(1+B457)*(1+INDEX(Data!$F:$F,717-(ROW()-5)))-1</f>
        <v>0.44046207331393683</v>
      </c>
      <c r="C458" s="11" cm="1">
        <f t="array" ref="C458">(1+C457)*(1+INDEX(Data!$G:$G,717-(ROW()-5)))-1</f>
        <v>0.48703256936067429</v>
      </c>
      <c r="D458" s="11" cm="1">
        <f t="array" ref="D458">(1+D457)*(1+INDEX(Data!$H:$H,717-(ROW()-5)))-1</f>
        <v>4.5347058005284158E-2</v>
      </c>
      <c r="E458" s="11" cm="1">
        <f t="array" ref="E458">(1+E457)*(1+INDEX(Data!$I:$I,717-(ROW()-5)))-1</f>
        <v>1.2825994014535658E-2</v>
      </c>
    </row>
    <row r="459" spans="1:5" x14ac:dyDescent="0.2">
      <c r="A459" s="1" cm="1">
        <f t="array" ref="A459">INDEX(Data!$A:$A,717-(ROW()-5))</f>
        <v>45746</v>
      </c>
      <c r="B459" s="11" cm="1">
        <f t="array" ref="B459">(1+B458)*(1+INDEX(Data!$F:$F,717-(ROW()-5)))-1</f>
        <v>0.42230423490076641</v>
      </c>
      <c r="C459" s="11" cm="1">
        <f t="array" ref="C459">(1+C458)*(1+INDEX(Data!$G:$G,717-(ROW()-5)))-1</f>
        <v>0.47768395657418461</v>
      </c>
      <c r="D459" s="11" cm="1">
        <f t="array" ref="D459">(1+D458)*(1+INDEX(Data!$H:$H,717-(ROW()-5)))-1</f>
        <v>5.4388649325356475E-2</v>
      </c>
      <c r="E459" s="11" cm="1">
        <f t="array" ref="E459">(1+E458)*(1+INDEX(Data!$I:$I,717-(ROW()-5)))-1</f>
        <v>1.2825994014535658E-2</v>
      </c>
    </row>
    <row r="460" spans="1:5" x14ac:dyDescent="0.2">
      <c r="A460" s="1" cm="1">
        <f t="array" ref="A460">INDEX(Data!$A:$A,717-(ROW()-5))</f>
        <v>45747</v>
      </c>
      <c r="B460" s="11" cm="1">
        <f t="array" ref="B460">(1+B459)*(1+INDEX(Data!$F:$F,717-(ROW()-5)))-1</f>
        <v>0.41517761593771252</v>
      </c>
      <c r="C460" s="11" cm="1">
        <f t="array" ref="C460">(1+C459)*(1+INDEX(Data!$G:$G,717-(ROW()-5)))-1</f>
        <v>0.45989143546441369</v>
      </c>
      <c r="D460" s="11" cm="1">
        <f t="array" ref="D460">(1+D459)*(1+INDEX(Data!$H:$H,717-(ROW()-5)))-1</f>
        <v>8.4295451384057252E-2</v>
      </c>
      <c r="E460" s="11" cm="1">
        <f t="array" ref="E460">(1+E459)*(1+INDEX(Data!$I:$I,717-(ROW()-5)))-1</f>
        <v>1.2825994014535658E-2</v>
      </c>
    </row>
    <row r="461" spans="1:5" x14ac:dyDescent="0.2">
      <c r="A461" s="1" cm="1">
        <f t="array" ref="A461">INDEX(Data!$A:$A,717-(ROW()-5))</f>
        <v>45748</v>
      </c>
      <c r="B461" s="11" cm="1">
        <f t="array" ref="B461">(1+B460)*(1+INDEX(Data!$F:$F,717-(ROW()-5)))-1</f>
        <v>0.42442139605375151</v>
      </c>
      <c r="C461" s="11" cm="1">
        <f t="array" ref="C461">(1+C460)*(1+INDEX(Data!$G:$G,717-(ROW()-5)))-1</f>
        <v>0.45958986731001095</v>
      </c>
      <c r="D461" s="11" cm="1">
        <f t="array" ref="D461">(1+D460)*(1+INDEX(Data!$H:$H,717-(ROW()-5)))-1</f>
        <v>0.10307414104882295</v>
      </c>
      <c r="E461" s="11" cm="1">
        <f t="array" ref="E461">(1+E460)*(1+INDEX(Data!$I:$I,717-(ROW()-5)))-1</f>
        <v>1.2825994014535658E-2</v>
      </c>
    </row>
    <row r="462" spans="1:5" x14ac:dyDescent="0.2">
      <c r="A462" s="1" cm="1">
        <f t="array" ref="A462">INDEX(Data!$A:$A,717-(ROW()-5))</f>
        <v>45749</v>
      </c>
      <c r="B462" s="11" cm="1">
        <f t="array" ref="B462">(1+B461)*(1+INDEX(Data!$F:$F,717-(ROW()-5)))-1</f>
        <v>0.44769859954995961</v>
      </c>
      <c r="C462" s="11" cm="1">
        <f t="array" ref="C462">(1+C461)*(1+INDEX(Data!$G:$G,717-(ROW()-5)))-1</f>
        <v>0.51085645355850318</v>
      </c>
      <c r="D462" s="11" cm="1">
        <f t="array" ref="D462">(1+D461)*(1+INDEX(Data!$H:$H,717-(ROW()-5)))-1</f>
        <v>0.12393935178745141</v>
      </c>
      <c r="E462" s="11" cm="1">
        <f t="array" ref="E462">(1+E461)*(1+INDEX(Data!$I:$I,717-(ROW()-5)))-1</f>
        <v>1.2825994014535658E-2</v>
      </c>
    </row>
    <row r="463" spans="1:5" x14ac:dyDescent="0.2">
      <c r="A463" s="1" cm="1">
        <f t="array" ref="A463">INDEX(Data!$A:$A,717-(ROW()-5))</f>
        <v>45750</v>
      </c>
      <c r="B463" s="11" cm="1">
        <f t="array" ref="B463">(1+B462)*(1+INDEX(Data!$F:$F,717-(ROW()-5)))-1</f>
        <v>0.43534849282421306</v>
      </c>
      <c r="C463" s="11" cm="1">
        <f t="array" ref="C463">(1+C462)*(1+INDEX(Data!$G:$G,717-(ROW()-5)))-1</f>
        <v>0.52744270205066224</v>
      </c>
      <c r="D463" s="11" cm="1">
        <f t="array" ref="D463">(1+D462)*(1+INDEX(Data!$H:$H,717-(ROW()-5)))-1</f>
        <v>0.17540687160940149</v>
      </c>
      <c r="E463" s="11" cm="1">
        <f t="array" ref="E463">(1+E462)*(1+INDEX(Data!$I:$I,717-(ROW()-5)))-1</f>
        <v>1.2825994014535658E-2</v>
      </c>
    </row>
    <row r="464" spans="1:5" x14ac:dyDescent="0.2">
      <c r="A464" s="1" cm="1">
        <f t="array" ref="A464">INDEX(Data!$A:$A,717-(ROW()-5))</f>
        <v>45753</v>
      </c>
      <c r="B464" s="11" cm="1">
        <f t="array" ref="B464">(1+B463)*(1+INDEX(Data!$F:$F,717-(ROW()-5)))-1</f>
        <v>0.38062045547887857</v>
      </c>
      <c r="C464" s="11" cm="1">
        <f t="array" ref="C464">(1+C463)*(1+INDEX(Data!$G:$G,717-(ROW()-5)))-1</f>
        <v>0.50452352231604225</v>
      </c>
      <c r="D464" s="11" cm="1">
        <f t="array" ref="D464">(1+D463)*(1+INDEX(Data!$H:$H,717-(ROW()-5)))-1</f>
        <v>0.1471692864097911</v>
      </c>
      <c r="E464" s="11" cm="1">
        <f t="array" ref="E464">(1+E463)*(1+INDEX(Data!$I:$I,717-(ROW()-5)))-1</f>
        <v>-2.3514322359983297E-2</v>
      </c>
    </row>
    <row r="465" spans="1:5" x14ac:dyDescent="0.2">
      <c r="A465" s="1" cm="1">
        <f t="array" ref="A465">INDEX(Data!$A:$A,717-(ROW()-5))</f>
        <v>45754</v>
      </c>
      <c r="B465" s="11" cm="1">
        <f t="array" ref="B465">(1+B464)*(1+INDEX(Data!$F:$F,717-(ROW()-5)))-1</f>
        <v>0.39181364354179204</v>
      </c>
      <c r="C465" s="11" cm="1">
        <f t="array" ref="C465">(1+C464)*(1+INDEX(Data!$G:$G,717-(ROW()-5)))-1</f>
        <v>0.49246079613992655</v>
      </c>
      <c r="D465" s="11" cm="1">
        <f t="array" ref="D465">(1+D464)*(1+INDEX(Data!$H:$H,717-(ROW()-5)))-1</f>
        <v>0.1471692864097911</v>
      </c>
      <c r="E465" s="11" cm="1">
        <f t="array" ref="E465">(1+E464)*(1+INDEX(Data!$I:$I,717-(ROW()-5)))-1</f>
        <v>-6.3274903805045302E-2</v>
      </c>
    </row>
    <row r="466" spans="1:5" x14ac:dyDescent="0.2">
      <c r="A466" s="1" cm="1">
        <f t="array" ref="A466">INDEX(Data!$A:$A,717-(ROW()-5))</f>
        <v>45755</v>
      </c>
      <c r="B466" s="11" cm="1">
        <f t="array" ref="B466">(1+B465)*(1+INDEX(Data!$F:$F,717-(ROW()-5)))-1</f>
        <v>0.4141190353612203</v>
      </c>
      <c r="C466" s="11" cm="1">
        <f t="array" ref="C466">(1+C465)*(1+INDEX(Data!$G:$G,717-(ROW()-5)))-1</f>
        <v>0.48462002412545124</v>
      </c>
      <c r="D466" s="11" cm="1">
        <f t="array" ref="D466">(1+D465)*(1+INDEX(Data!$H:$H,717-(ROW()-5)))-1</f>
        <v>0.10335234385867142</v>
      </c>
      <c r="E466" s="11" cm="1">
        <f t="array" ref="E466">(1+E465)*(1+INDEX(Data!$I:$I,717-(ROW()-5)))-1</f>
        <v>-4.0188114578880274E-2</v>
      </c>
    </row>
    <row r="467" spans="1:5" x14ac:dyDescent="0.2">
      <c r="A467" s="1" cm="1">
        <f t="array" ref="A467">INDEX(Data!$A:$A,717-(ROW()-5))</f>
        <v>45756</v>
      </c>
      <c r="B467" s="11" cm="1">
        <f t="array" ref="B467">(1+B466)*(1+INDEX(Data!$F:$F,717-(ROW()-5)))-1</f>
        <v>0.39061044813244505</v>
      </c>
      <c r="C467" s="11" cm="1">
        <f t="array" ref="C467">(1+C466)*(1+INDEX(Data!$G:$G,717-(ROW()-5)))-1</f>
        <v>0.4399879372738229</v>
      </c>
      <c r="D467" s="11" cm="1">
        <f t="array" ref="D467">(1+D466)*(1+INDEX(Data!$H:$H,717-(ROW()-5)))-1</f>
        <v>6.5238558909443523E-2</v>
      </c>
      <c r="E467" s="11" cm="1">
        <f t="array" ref="E467">(1+E466)*(1+INDEX(Data!$I:$I,717-(ROW()-5)))-1</f>
        <v>-4.0188114578880274E-2</v>
      </c>
    </row>
    <row r="468" spans="1:5" x14ac:dyDescent="0.2">
      <c r="A468" s="1" cm="1">
        <f t="array" ref="A468">INDEX(Data!$A:$A,717-(ROW()-5))</f>
        <v>45757</v>
      </c>
      <c r="B468" s="11" cm="1">
        <f t="array" ref="B468">(1+B467)*(1+INDEX(Data!$F:$F,717-(ROW()-5)))-1</f>
        <v>0.4201870737477813</v>
      </c>
      <c r="C468" s="11" cm="1">
        <f t="array" ref="C468">(1+C467)*(1+INDEX(Data!$G:$G,717-(ROW()-5)))-1</f>
        <v>0.45838359469239953</v>
      </c>
      <c r="D468" s="11" cm="1">
        <f t="array" ref="D468">(1+D467)*(1+INDEX(Data!$H:$H,717-(ROW()-5)))-1</f>
        <v>0.10251773542912646</v>
      </c>
      <c r="E468" s="11" cm="1">
        <f t="array" ref="E468">(1+E467)*(1+INDEX(Data!$I:$I,717-(ROW()-5)))-1</f>
        <v>-4.4463445917058975E-2</v>
      </c>
    </row>
    <row r="469" spans="1:5" x14ac:dyDescent="0.2">
      <c r="A469" s="1" cm="1">
        <f t="array" ref="A469">INDEX(Data!$A:$A,717-(ROW()-5))</f>
        <v>45761</v>
      </c>
      <c r="B469" s="11" cm="1">
        <f t="array" ref="B469">(1+B468)*(1+INDEX(Data!$F:$F,717-(ROW()-5)))-1</f>
        <v>0.45276011869985577</v>
      </c>
      <c r="C469" s="11" cm="1">
        <f t="array" ref="C469">(1+C468)*(1+INDEX(Data!$G:$G,717-(ROW()-5)))-1</f>
        <v>0.46833534378769492</v>
      </c>
      <c r="D469" s="11" cm="1">
        <f t="array" ref="D469">(1+D468)*(1+INDEX(Data!$H:$H,717-(ROW()-5)))-1</f>
        <v>0.10043121435526348</v>
      </c>
      <c r="E469" s="11" cm="1">
        <f t="array" ref="E469">(1+E468)*(1+INDEX(Data!$I:$I,717-(ROW()-5)))-1</f>
        <v>-3.2492518170158635E-2</v>
      </c>
    </row>
    <row r="470" spans="1:5" x14ac:dyDescent="0.2">
      <c r="A470" s="1" cm="1">
        <f t="array" ref="A470">INDEX(Data!$A:$A,717-(ROW()-5))</f>
        <v>45762</v>
      </c>
      <c r="B470" s="11" cm="1">
        <f t="array" ref="B470">(1+B469)*(1+INDEX(Data!$F:$F,717-(ROW()-5)))-1</f>
        <v>0.46087011852631798</v>
      </c>
      <c r="C470" s="11" cm="1">
        <f t="array" ref="C470">(1+C469)*(1+INDEX(Data!$G:$G,717-(ROW()-5)))-1</f>
        <v>0.45868516284680227</v>
      </c>
      <c r="D470" s="11" cm="1">
        <f t="array" ref="D470">(1+D469)*(1+INDEX(Data!$H:$H,717-(ROW()-5)))-1</f>
        <v>0.10710808179162457</v>
      </c>
      <c r="E470" s="11" cm="1">
        <f t="array" ref="E470">(1+E469)*(1+INDEX(Data!$I:$I,717-(ROW()-5)))-1</f>
        <v>-3.2492518170158635E-2</v>
      </c>
    </row>
    <row r="471" spans="1:5" x14ac:dyDescent="0.2">
      <c r="A471" s="1" cm="1">
        <f t="array" ref="A471">INDEX(Data!$A:$A,717-(ROW()-5))</f>
        <v>45763</v>
      </c>
      <c r="B471" s="11" cm="1">
        <f t="array" ref="B471">(1+B470)*(1+INDEX(Data!$F:$F,717-(ROW()-5)))-1</f>
        <v>0.46658529672071514</v>
      </c>
      <c r="C471" s="11" cm="1">
        <f t="array" ref="C471">(1+C470)*(1+INDEX(Data!$G:$G,717-(ROW()-5)))-1</f>
        <v>0.44752714113389525</v>
      </c>
      <c r="D471" s="11" cm="1">
        <f t="array" ref="D471">(1+D470)*(1+INDEX(Data!$H:$H,717-(ROW()-5)))-1</f>
        <v>0.11879259980525636</v>
      </c>
      <c r="E471" s="11" cm="1">
        <f t="array" ref="E471">(1+E470)*(1+INDEX(Data!$I:$I,717-(ROW()-5)))-1</f>
        <v>-3.2492518170158635E-2</v>
      </c>
    </row>
    <row r="472" spans="1:5" x14ac:dyDescent="0.2">
      <c r="A472" s="1" cm="1">
        <f t="array" ref="A472">INDEX(Data!$A:$A,717-(ROW()-5))</f>
        <v>45764</v>
      </c>
      <c r="B472" s="11" cm="1">
        <f t="array" ref="B472">(1+B471)*(1+INDEX(Data!$F:$F,717-(ROW()-5)))-1</f>
        <v>0.46678197289339707</v>
      </c>
      <c r="C472" s="11" cm="1">
        <f t="array" ref="C472">(1+C471)*(1+INDEX(Data!$G:$G,717-(ROW()-5)))-1</f>
        <v>0.45747889022919064</v>
      </c>
      <c r="D472" s="11" cm="1">
        <f t="array" ref="D472">(1+D471)*(1+INDEX(Data!$H:$H,717-(ROW()-5)))-1</f>
        <v>0.10905550146056298</v>
      </c>
      <c r="E472" s="11" cm="1">
        <f t="array" ref="E472">(1+E471)*(1+INDEX(Data!$I:$I,717-(ROW()-5)))-1</f>
        <v>-3.2492518170158635E-2</v>
      </c>
    </row>
    <row r="473" spans="1:5" x14ac:dyDescent="0.2">
      <c r="A473" s="1" cm="1">
        <f t="array" ref="A473">INDEX(Data!$A:$A,717-(ROW()-5))</f>
        <v>45767</v>
      </c>
      <c r="B473" s="11" cm="1">
        <f t="array" ref="B473">(1+B472)*(1+INDEX(Data!$F:$F,717-(ROW()-5)))-1</f>
        <v>0.46827439796845205</v>
      </c>
      <c r="C473" s="11" cm="1">
        <f t="array" ref="C473">(1+C472)*(1+INDEX(Data!$G:$G,717-(ROW()-5)))-1</f>
        <v>0.44963811821471533</v>
      </c>
      <c r="D473" s="11" cm="1">
        <f t="array" ref="D473">(1+D472)*(1+INDEX(Data!$H:$H,717-(ROW()-5)))-1</f>
        <v>0.12644317707608654</v>
      </c>
      <c r="E473" s="11" cm="1">
        <f t="array" ref="E473">(1+E472)*(1+INDEX(Data!$I:$I,717-(ROW()-5)))-1</f>
        <v>-3.2492518170158635E-2</v>
      </c>
    </row>
    <row r="474" spans="1:5" x14ac:dyDescent="0.2">
      <c r="A474" s="1" cm="1">
        <f t="array" ref="A474">INDEX(Data!$A:$A,717-(ROW()-5))</f>
        <v>45768</v>
      </c>
      <c r="B474" s="11" cm="1">
        <f t="array" ref="B474">(1+B473)*(1+INDEX(Data!$F:$F,717-(ROW()-5)))-1</f>
        <v>0.44598635992896618</v>
      </c>
      <c r="C474" s="11" cm="1">
        <f t="array" ref="C474">(1+C473)*(1+INDEX(Data!$G:$G,717-(ROW()-5)))-1</f>
        <v>0.47135102533172368</v>
      </c>
      <c r="D474" s="11" cm="1">
        <f t="array" ref="D474">(1+D473)*(1+INDEX(Data!$H:$H,717-(ROW()-5)))-1</f>
        <v>0.10279593823897426</v>
      </c>
      <c r="E474" s="11" cm="1">
        <f t="array" ref="E474">(1+E473)*(1+INDEX(Data!$I:$I,717-(ROW()-5)))-1</f>
        <v>-2.4796921761436996E-2</v>
      </c>
    </row>
    <row r="475" spans="1:5" x14ac:dyDescent="0.2">
      <c r="A475" s="1" cm="1">
        <f t="array" ref="A475">INDEX(Data!$A:$A,717-(ROW()-5))</f>
        <v>45769</v>
      </c>
      <c r="B475" s="11" cm="1">
        <f t="array" ref="B475">(1+B474)*(1+INDEX(Data!$F:$F,717-(ROW()-5)))-1</f>
        <v>0.45154535410388075</v>
      </c>
      <c r="C475" s="11" cm="1">
        <f t="array" ref="C475">(1+C474)*(1+INDEX(Data!$G:$G,717-(ROW()-5)))-1</f>
        <v>0.45174909529553564</v>
      </c>
      <c r="D475" s="11" cm="1">
        <f t="array" ref="D475">(1+D474)*(1+INDEX(Data!$H:$H,717-(ROW()-5)))-1</f>
        <v>8.8329392126858641E-2</v>
      </c>
      <c r="E475" s="11" cm="1">
        <f t="array" ref="E475">(1+E474)*(1+INDEX(Data!$I:$I,717-(ROW()-5)))-1</f>
        <v>-2.4796921761436996E-2</v>
      </c>
    </row>
    <row r="476" spans="1:5" x14ac:dyDescent="0.2">
      <c r="A476" s="1" cm="1">
        <f t="array" ref="A476">INDEX(Data!$A:$A,717-(ROW()-5))</f>
        <v>45770</v>
      </c>
      <c r="B476" s="11" cm="1">
        <f t="array" ref="B476">(1+B475)*(1+INDEX(Data!$F:$F,717-(ROW()-5)))-1</f>
        <v>0.47637861320160013</v>
      </c>
      <c r="C476" s="11" cm="1">
        <f t="array" ref="C476">(1+C475)*(1+INDEX(Data!$G:$G,717-(ROW()-5)))-1</f>
        <v>0.46743063932448603</v>
      </c>
      <c r="D476" s="11" cm="1">
        <f t="array" ref="D476">(1+D475)*(1+INDEX(Data!$H:$H,717-(ROW()-5)))-1</f>
        <v>8.2487133120042744E-2</v>
      </c>
      <c r="E476" s="11" cm="1">
        <f t="array" ref="E476">(1+E475)*(1+INDEX(Data!$I:$I,717-(ROW()-5)))-1</f>
        <v>-2.4796921761436996E-2</v>
      </c>
    </row>
    <row r="477" spans="1:5" x14ac:dyDescent="0.2">
      <c r="A477" s="1" cm="1">
        <f t="array" ref="A477">INDEX(Data!$A:$A,717-(ROW()-5))</f>
        <v>45771</v>
      </c>
      <c r="B477" s="11" cm="1">
        <f t="array" ref="B477">(1+B476)*(1+INDEX(Data!$F:$F,717-(ROW()-5)))-1</f>
        <v>0.47696864171964526</v>
      </c>
      <c r="C477" s="11" cm="1">
        <f t="array" ref="C477">(1+C476)*(1+INDEX(Data!$G:$G,717-(ROW()-5)))-1</f>
        <v>0.44571773220747768</v>
      </c>
      <c r="D477" s="11" cm="1">
        <f t="array" ref="D477">(1+D476)*(1+INDEX(Data!$H:$H,717-(ROW()-5)))-1</f>
        <v>5.7448880233688771E-2</v>
      </c>
      <c r="E477" s="11" cm="1">
        <f t="array" ref="E477">(1+E476)*(1+INDEX(Data!$I:$I,717-(ROW()-5)))-1</f>
        <v>-1.2825994014540321E-3</v>
      </c>
    </row>
    <row r="478" spans="1:5" x14ac:dyDescent="0.2">
      <c r="A478" s="1" cm="1">
        <f t="array" ref="A478">INDEX(Data!$A:$A,717-(ROW()-5))</f>
        <v>45774</v>
      </c>
      <c r="B478" s="11" cm="1">
        <f t="array" ref="B478">(1+B477)*(1+INDEX(Data!$F:$F,717-(ROW()-5)))-1</f>
        <v>0.47936924794502422</v>
      </c>
      <c r="C478" s="11" cm="1">
        <f t="array" ref="C478">(1+C477)*(1+INDEX(Data!$G:$G,717-(ROW()-5)))-1</f>
        <v>0.42943305186972136</v>
      </c>
      <c r="D478" s="11" cm="1">
        <f t="array" ref="D478">(1+D477)*(1+INDEX(Data!$H:$H,717-(ROW()-5)))-1</f>
        <v>5.0911114202251806E-2</v>
      </c>
      <c r="E478" s="11" cm="1">
        <f t="array" ref="E478">(1+E477)*(1+INDEX(Data!$I:$I,717-(ROW()-5)))-1</f>
        <v>-1.2825994014540321E-3</v>
      </c>
    </row>
    <row r="479" spans="1:5" x14ac:dyDescent="0.2">
      <c r="A479" s="1" cm="1">
        <f t="array" ref="A479">INDEX(Data!$A:$A,717-(ROW()-5))</f>
        <v>45775</v>
      </c>
      <c r="B479" s="11" cm="1">
        <f t="array" ref="B479">(1+B478)*(1+INDEX(Data!$F:$F,717-(ROW()-5)))-1</f>
        <v>0.47440606688146891</v>
      </c>
      <c r="C479" s="11" cm="1">
        <f t="array" ref="C479">(1+C478)*(1+INDEX(Data!$G:$G,717-(ROW()-5)))-1</f>
        <v>0.43214716525934738</v>
      </c>
      <c r="D479" s="11" cm="1">
        <f t="array" ref="D479">(1+D478)*(1+INDEX(Data!$H:$H,717-(ROW()-5)))-1</f>
        <v>2.6568368340518678E-2</v>
      </c>
      <c r="E479" s="11" cm="1">
        <f t="array" ref="E479">(1+E478)*(1+INDEX(Data!$I:$I,717-(ROW()-5)))-1</f>
        <v>-2.0949123557076121E-2</v>
      </c>
    </row>
    <row r="480" spans="1:5" x14ac:dyDescent="0.2">
      <c r="A480" s="1" cm="1">
        <f t="array" ref="A480">INDEX(Data!$A:$A,717-(ROW()-5))</f>
        <v>45776</v>
      </c>
      <c r="B480" s="11" cm="1">
        <f t="array" ref="B480">(1+B479)*(1+INDEX(Data!$F:$F,717-(ROW()-5)))-1</f>
        <v>0.47924198689211273</v>
      </c>
      <c r="C480" s="11" cm="1">
        <f t="array" ref="C480">(1+C479)*(1+INDEX(Data!$G:$G,717-(ROW()-5)))-1</f>
        <v>0.43244873341375034</v>
      </c>
      <c r="D480" s="11" cm="1">
        <f t="array" ref="D480">(1+D479)*(1+INDEX(Data!$H:$H,717-(ROW()-5)))-1</f>
        <v>2.4203644456807449E-2</v>
      </c>
      <c r="E480" s="11" cm="1">
        <f t="array" ref="E480">(1+E479)*(1+INDEX(Data!$I:$I,717-(ROW()-5)))-1</f>
        <v>-1.8383924754168945E-2</v>
      </c>
    </row>
    <row r="481" spans="1:5" x14ac:dyDescent="0.2">
      <c r="A481" s="1" cm="1">
        <f t="array" ref="A481">INDEX(Data!$A:$A,717-(ROW()-5))</f>
        <v>45781</v>
      </c>
      <c r="B481" s="11" cm="1">
        <f t="array" ref="B481">(1+B480)*(1+INDEX(Data!$F:$F,717-(ROW()-5)))-1</f>
        <v>0.48127237914538545</v>
      </c>
      <c r="C481" s="11" cm="1">
        <f t="array" ref="C481">(1+C480)*(1+INDEX(Data!$G:$G,717-(ROW()-5)))-1</f>
        <v>0.44903498190590962</v>
      </c>
      <c r="D481" s="11" cm="1">
        <f t="array" ref="D481">(1+D480)*(1+INDEX(Data!$H:$H,717-(ROW()-5)))-1</f>
        <v>2.3090833217413786E-2</v>
      </c>
      <c r="E481" s="11" cm="1">
        <f t="array" ref="E481">(1+E480)*(1+INDEX(Data!$I:$I,717-(ROW()-5)))-1</f>
        <v>-1.8383924754168945E-2</v>
      </c>
    </row>
    <row r="482" spans="1:5" x14ac:dyDescent="0.2">
      <c r="A482" s="1" cm="1">
        <f t="array" ref="A482">INDEX(Data!$A:$A,717-(ROW()-5))</f>
        <v>45782</v>
      </c>
      <c r="B482" s="11" cm="1">
        <f t="array" ref="B482">(1+B481)*(1+INDEX(Data!$F:$F,717-(ROW()-5)))-1</f>
        <v>0.49665361276775566</v>
      </c>
      <c r="C482" s="11" cm="1">
        <f t="array" ref="C482">(1+C481)*(1+INDEX(Data!$G:$G,717-(ROW()-5)))-1</f>
        <v>0.45536791314837055</v>
      </c>
      <c r="D482" s="11" cm="1">
        <f t="array" ref="D482">(1+D481)*(1+INDEX(Data!$H:$H,717-(ROW()-5)))-1</f>
        <v>6.6351370148836741E-2</v>
      </c>
      <c r="E482" s="11" cm="1">
        <f t="array" ref="E482">(1+E481)*(1+INDEX(Data!$I:$I,717-(ROW()-5)))-1</f>
        <v>-6.1564771269773888E-2</v>
      </c>
    </row>
    <row r="483" spans="1:5" x14ac:dyDescent="0.2">
      <c r="A483" s="1" cm="1">
        <f t="array" ref="A483">INDEX(Data!$A:$A,717-(ROW()-5))</f>
        <v>45783</v>
      </c>
      <c r="B483" s="11" cm="1">
        <f t="array" ref="B483">(1+B482)*(1+INDEX(Data!$F:$F,717-(ROW()-5)))-1</f>
        <v>0.50463635154130637</v>
      </c>
      <c r="C483" s="11" cm="1">
        <f t="array" ref="C483">(1+C482)*(1+INDEX(Data!$G:$G,717-(ROW()-5)))-1</f>
        <v>0.47738238841978187</v>
      </c>
      <c r="D483" s="11" cm="1">
        <f t="array" ref="D483">(1+D482)*(1+INDEX(Data!$H:$H,717-(ROW()-5)))-1</f>
        <v>5.4110446515508004E-2</v>
      </c>
      <c r="E483" s="11" cm="1">
        <f t="array" ref="E483">(1+E482)*(1+INDEX(Data!$I:$I,717-(ROW()-5)))-1</f>
        <v>-3.420265070543016E-2</v>
      </c>
    </row>
    <row r="484" spans="1:5" x14ac:dyDescent="0.2">
      <c r="A484" s="1" cm="1">
        <f t="array" ref="A484">INDEX(Data!$A:$A,717-(ROW()-5))</f>
        <v>45784</v>
      </c>
      <c r="B484" s="11" cm="1">
        <f t="array" ref="B484">(1+B483)*(1+INDEX(Data!$F:$F,717-(ROW()-5)))-1</f>
        <v>0.52812758499013857</v>
      </c>
      <c r="C484" s="11" cm="1">
        <f t="array" ref="C484">(1+C483)*(1+INDEX(Data!$G:$G,717-(ROW()-5)))-1</f>
        <v>0.5078407720144742</v>
      </c>
      <c r="D484" s="11" cm="1">
        <f t="array" ref="D484">(1+D483)*(1+INDEX(Data!$H:$H,717-(ROW()-5)))-1</f>
        <v>8.1374321880649081E-2</v>
      </c>
      <c r="E484" s="11" cm="1">
        <f t="array" ref="E484">(1+E483)*(1+INDEX(Data!$I:$I,717-(ROW()-5)))-1</f>
        <v>-1.6246259085079595E-2</v>
      </c>
    </row>
    <row r="485" spans="1:5" x14ac:dyDescent="0.2">
      <c r="A485" s="1" cm="1">
        <f t="array" ref="A485">INDEX(Data!$A:$A,717-(ROW()-5))</f>
        <v>45785</v>
      </c>
      <c r="B485" s="11" cm="1">
        <f t="array" ref="B485">(1+B484)*(1+INDEX(Data!$F:$F,717-(ROW()-5)))-1</f>
        <v>0.54422032359015127</v>
      </c>
      <c r="C485" s="11" cm="1">
        <f t="array" ref="C485">(1+C484)*(1+INDEX(Data!$G:$G,717-(ROW()-5)))-1</f>
        <v>0.52955367913148255</v>
      </c>
      <c r="D485" s="11" cm="1">
        <f t="array" ref="D485">(1+D484)*(1+INDEX(Data!$H:$H,717-(ROW()-5)))-1</f>
        <v>0.10251773542912579</v>
      </c>
      <c r="E485" s="11" cm="1">
        <f t="array" ref="E485">(1+E484)*(1+INDEX(Data!$I:$I,717-(ROW()-5)))-1</f>
        <v>-8.5506626763620641E-4</v>
      </c>
    </row>
    <row r="486" spans="1:5" x14ac:dyDescent="0.2">
      <c r="A486" s="1" cm="1">
        <f t="array" ref="A486">INDEX(Data!$A:$A,717-(ROW()-5))</f>
        <v>45788</v>
      </c>
      <c r="B486" s="11" cm="1">
        <f t="array" ref="B486">(1+B485)*(1+INDEX(Data!$F:$F,717-(ROW()-5)))-1</f>
        <v>0.5441914006235804</v>
      </c>
      <c r="C486" s="11" cm="1">
        <f t="array" ref="C486">(1+C485)*(1+INDEX(Data!$G:$G,717-(ROW()-5)))-1</f>
        <v>0.55247285886610231</v>
      </c>
      <c r="D486" s="11" cm="1">
        <f t="array" ref="D486">(1+D485)*(1+INDEX(Data!$H:$H,717-(ROW()-5)))-1</f>
        <v>9.5006259563219508E-2</v>
      </c>
      <c r="E486" s="11" cm="1">
        <f t="array" ref="E486">(1+E485)*(1+INDEX(Data!$I:$I,717-(ROW()-5)))-1</f>
        <v>7.6955964087213058E-3</v>
      </c>
    </row>
    <row r="487" spans="1:5" x14ac:dyDescent="0.2">
      <c r="A487" s="1" cm="1">
        <f t="array" ref="A487">INDEX(Data!$A:$A,717-(ROW()-5))</f>
        <v>45789</v>
      </c>
      <c r="B487" s="11" cm="1">
        <f t="array" ref="B487">(1+B486)*(1+INDEX(Data!$F:$F,717-(ROW()-5)))-1</f>
        <v>0.54119498128684196</v>
      </c>
      <c r="C487" s="11" cm="1">
        <f t="array" ref="C487">(1+C486)*(1+INDEX(Data!$G:$G,717-(ROW()-5)))-1</f>
        <v>0.54885404101326762</v>
      </c>
      <c r="D487" s="11" cm="1">
        <f t="array" ref="D487">(1+D486)*(1+INDEX(Data!$H:$H,717-(ROW()-5)))-1</f>
        <v>7.3445541799970204E-2</v>
      </c>
      <c r="E487" s="11" cm="1">
        <f t="array" ref="E487">(1+E486)*(1+INDEX(Data!$I:$I,717-(ROW()-5)))-1</f>
        <v>7.6955964087213058E-3</v>
      </c>
    </row>
    <row r="488" spans="1:5" x14ac:dyDescent="0.2">
      <c r="A488" s="1" cm="1">
        <f t="array" ref="A488">INDEX(Data!$A:$A,717-(ROW()-5))</f>
        <v>45790</v>
      </c>
      <c r="B488" s="11" cm="1">
        <f t="array" ref="B488">(1+B487)*(1+INDEX(Data!$F:$F,717-(ROW()-5)))-1</f>
        <v>0.5414495033926654</v>
      </c>
      <c r="C488" s="11" cm="1">
        <f t="array" ref="C488">(1+C487)*(1+INDEX(Data!$G:$G,717-(ROW()-5)))-1</f>
        <v>0.5575995174909516</v>
      </c>
      <c r="D488" s="11" cm="1">
        <f t="array" ref="D488">(1+D487)*(1+INDEX(Data!$H:$H,717-(ROW()-5)))-1</f>
        <v>6.5794964529139799E-2</v>
      </c>
      <c r="E488" s="11" cm="1">
        <f t="array" ref="E488">(1+E487)*(1+INDEX(Data!$I:$I,717-(ROW()-5)))-1</f>
        <v>7.6955964087213058E-3</v>
      </c>
    </row>
    <row r="489" spans="1:5" x14ac:dyDescent="0.2">
      <c r="A489" s="1" cm="1">
        <f t="array" ref="A489">INDEX(Data!$A:$A,717-(ROW()-5))</f>
        <v>45791</v>
      </c>
      <c r="B489" s="11" cm="1">
        <f t="array" ref="B489">(1+B488)*(1+INDEX(Data!$F:$F,717-(ROW()-5)))-1</f>
        <v>0.55242866150295433</v>
      </c>
      <c r="C489" s="11" cm="1">
        <f t="array" ref="C489">(1+C488)*(1+INDEX(Data!$G:$G,717-(ROW()-5)))-1</f>
        <v>0.58474065138721198</v>
      </c>
      <c r="D489" s="11" cm="1">
        <f t="array" ref="D489">(1+D488)*(1+INDEX(Data!$H:$H,717-(ROW()-5)))-1</f>
        <v>9.9735707330641965E-2</v>
      </c>
      <c r="E489" s="11" cm="1">
        <f t="array" ref="E489">(1+E488)*(1+INDEX(Data!$I:$I,717-(ROW()-5)))-1</f>
        <v>-4.06156477126981E-2</v>
      </c>
    </row>
    <row r="490" spans="1:5" x14ac:dyDescent="0.2">
      <c r="A490" s="1" cm="1">
        <f t="array" ref="A490">INDEX(Data!$A:$A,717-(ROW()-5))</f>
        <v>45792</v>
      </c>
      <c r="B490" s="11" cm="1">
        <f t="array" ref="B490">(1+B489)*(1+INDEX(Data!$F:$F,717-(ROW()-5)))-1</f>
        <v>0.54917193546707832</v>
      </c>
      <c r="C490" s="11" cm="1">
        <f t="array" ref="C490">(1+C489)*(1+INDEX(Data!$G:$G,717-(ROW()-5)))-1</f>
        <v>0.57117008443908168</v>
      </c>
      <c r="D490" s="11" cm="1">
        <f t="array" ref="D490">(1+D489)*(1+INDEX(Data!$H:$H,717-(ROW()-5)))-1</f>
        <v>9.8344693281400053E-2</v>
      </c>
      <c r="E490" s="11" cm="1">
        <f t="array" ref="E490">(1+E489)*(1+INDEX(Data!$I:$I,717-(ROW()-5)))-1</f>
        <v>-3.2492518170158524E-2</v>
      </c>
    </row>
    <row r="491" spans="1:5" x14ac:dyDescent="0.2">
      <c r="A491" s="1" cm="1">
        <f t="array" ref="A491">INDEX(Data!$A:$A,717-(ROW()-5))</f>
        <v>45795</v>
      </c>
      <c r="B491" s="11" cm="1">
        <f t="array" ref="B491">(1+B490)*(1+INDEX(Data!$F:$F,717-(ROW()-5)))-1</f>
        <v>0.56522418191389212</v>
      </c>
      <c r="C491" s="11" cm="1">
        <f t="array" ref="C491">(1+C490)*(1+INDEX(Data!$G:$G,717-(ROW()-5)))-1</f>
        <v>0.62515078407719993</v>
      </c>
      <c r="D491" s="11" cm="1">
        <f t="array" ref="D491">(1+D490)*(1+INDEX(Data!$H:$H,717-(ROW()-5)))-1</f>
        <v>0.1146195576575304</v>
      </c>
      <c r="E491" s="11" cm="1">
        <f t="array" ref="E491">(1+E490)*(1+INDEX(Data!$I:$I,717-(ROW()-5)))-1</f>
        <v>-1.9666524155622311E-2</v>
      </c>
    </row>
    <row r="492" spans="1:5" x14ac:dyDescent="0.2">
      <c r="A492" s="1" cm="1">
        <f t="array" ref="A492">INDEX(Data!$A:$A,717-(ROW()-5))</f>
        <v>45796</v>
      </c>
      <c r="B492" s="11" cm="1">
        <f t="array" ref="B492">(1+B491)*(1+INDEX(Data!$F:$F,717-(ROW()-5)))-1</f>
        <v>0.55878592955522399</v>
      </c>
      <c r="C492" s="11" cm="1">
        <f t="array" ref="C492">(1+C491)*(1+INDEX(Data!$G:$G,717-(ROW()-5)))-1</f>
        <v>0.60223160434257994</v>
      </c>
      <c r="D492" s="11" cm="1">
        <f t="array" ref="D492">(1+D491)*(1+INDEX(Data!$H:$H,717-(ROW()-5)))-1</f>
        <v>0.14452635971623118</v>
      </c>
      <c r="E492" s="11" cm="1">
        <f t="array" ref="E492">(1+E491)*(1+INDEX(Data!$I:$I,717-(ROW()-5)))-1</f>
        <v>-1.6673792218897199E-2</v>
      </c>
    </row>
    <row r="493" spans="1:5" x14ac:dyDescent="0.2">
      <c r="A493" s="1" cm="1">
        <f t="array" ref="A493">INDEX(Data!$A:$A,717-(ROW()-5))</f>
        <v>45797</v>
      </c>
      <c r="B493" s="11" cm="1">
        <f t="array" ref="B493">(1+B492)*(1+INDEX(Data!$F:$F,717-(ROW()-5)))-1</f>
        <v>0.55270053738872038</v>
      </c>
      <c r="C493" s="11" cm="1">
        <f t="array" ref="C493">(1+C492)*(1+INDEX(Data!$G:$G,717-(ROW()-5)))-1</f>
        <v>0.56845597104945589</v>
      </c>
      <c r="D493" s="11" cm="1">
        <f t="array" ref="D493">(1+D492)*(1+INDEX(Data!$H:$H,717-(ROW()-5)))-1</f>
        <v>0.10446515509806464</v>
      </c>
      <c r="E493" s="11" cm="1">
        <f t="array" ref="E493">(1+E492)*(1+INDEX(Data!$I:$I,717-(ROW()-5)))-1</f>
        <v>-1.325352714835426E-2</v>
      </c>
    </row>
    <row r="494" spans="1:5" x14ac:dyDescent="0.2">
      <c r="A494" s="1" cm="1">
        <f t="array" ref="A494">INDEX(Data!$A:$A,717-(ROW()-5))</f>
        <v>45798</v>
      </c>
      <c r="B494" s="11" cm="1">
        <f t="array" ref="B494">(1+B493)*(1+INDEX(Data!$F:$F,717-(ROW()-5)))-1</f>
        <v>0.53932655764636617</v>
      </c>
      <c r="C494" s="11" cm="1">
        <f t="array" ref="C494">(1+C493)*(1+INDEX(Data!$G:$G,717-(ROW()-5)))-1</f>
        <v>0.53558504221954051</v>
      </c>
      <c r="D494" s="11" cm="1">
        <f t="array" ref="D494">(1+D493)*(1+INDEX(Data!$H:$H,717-(ROW()-5)))-1</f>
        <v>0.13228543608290244</v>
      </c>
      <c r="E494" s="11" cm="1">
        <f t="array" ref="E494">(1+E493)*(1+INDEX(Data!$I:$I,717-(ROW()-5)))-1</f>
        <v>-3.9760581445062226E-2</v>
      </c>
    </row>
    <row r="495" spans="1:5" x14ac:dyDescent="0.2">
      <c r="A495" s="1" cm="1">
        <f t="array" ref="A495">INDEX(Data!$A:$A,717-(ROW()-5))</f>
        <v>45799</v>
      </c>
      <c r="B495" s="11" cm="1">
        <f t="array" ref="B495">(1+B494)*(1+INDEX(Data!$F:$F,717-(ROW()-5)))-1</f>
        <v>0.51883752812758632</v>
      </c>
      <c r="C495" s="11" cm="1">
        <f t="array" ref="C495">(1+C494)*(1+INDEX(Data!$G:$G,717-(ROW()-5)))-1</f>
        <v>0.53558504221954051</v>
      </c>
      <c r="D495" s="11" cm="1">
        <f t="array" ref="D495">(1+D494)*(1+INDEX(Data!$H:$H,717-(ROW()-5)))-1</f>
        <v>0.10724718319654825</v>
      </c>
      <c r="E495" s="11" cm="1">
        <f t="array" ref="E495">(1+E494)*(1+INDEX(Data!$I:$I,717-(ROW()-5)))-1</f>
        <v>-4.8738777255237564E-2</v>
      </c>
    </row>
    <row r="496" spans="1:5" x14ac:dyDescent="0.2">
      <c r="A496" s="1" cm="1">
        <f t="array" ref="A496">INDEX(Data!$A:$A,717-(ROW()-5))</f>
        <v>45802</v>
      </c>
      <c r="B496" s="11" cm="1">
        <f t="array" ref="B496">(1+B495)*(1+INDEX(Data!$F:$F,717-(ROW()-5)))-1</f>
        <v>0.52483036680106321</v>
      </c>
      <c r="C496" s="11" cm="1">
        <f t="array" ref="C496">(1+C495)*(1+INDEX(Data!$G:$G,717-(ROW()-5)))-1</f>
        <v>0.5479493365500594</v>
      </c>
      <c r="D496" s="11" cm="1">
        <f t="array" ref="D496">(1+D495)*(1+INDEX(Data!$H:$H,717-(ROW()-5)))-1</f>
        <v>0.12407845319237532</v>
      </c>
      <c r="E496" s="11" cm="1">
        <f t="array" ref="E496">(1+E495)*(1+INDEX(Data!$I:$I,717-(ROW()-5)))-1</f>
        <v>-6.7122702009405955E-2</v>
      </c>
    </row>
    <row r="497" spans="1:5" x14ac:dyDescent="0.2">
      <c r="A497" s="1" cm="1">
        <f t="array" ref="A497">INDEX(Data!$A:$A,717-(ROW()-5))</f>
        <v>45803</v>
      </c>
      <c r="B497" s="11" cm="1">
        <f t="array" ref="B497">(1+B496)*(1+INDEX(Data!$F:$F,717-(ROW()-5)))-1</f>
        <v>0.55316330485385357</v>
      </c>
      <c r="C497" s="11" cm="1">
        <f t="array" ref="C497">(1+C496)*(1+INDEX(Data!$G:$G,717-(ROW()-5)))-1</f>
        <v>0.58323281061519805</v>
      </c>
      <c r="D497" s="11" cm="1">
        <f t="array" ref="D497">(1+D496)*(1+INDEX(Data!$H:$H,717-(ROW()-5)))-1</f>
        <v>0.15287244401168265</v>
      </c>
      <c r="E497" s="11" cm="1">
        <f t="array" ref="E497">(1+E496)*(1+INDEX(Data!$I:$I,717-(ROW()-5)))-1</f>
        <v>-5.3014108593416265E-2</v>
      </c>
    </row>
    <row r="498" spans="1:5" x14ac:dyDescent="0.2">
      <c r="A498" s="1" cm="1">
        <f t="array" ref="A498">INDEX(Data!$A:$A,717-(ROW()-5))</f>
        <v>45804</v>
      </c>
      <c r="B498" s="11" cm="1">
        <f t="array" ref="B498">(1+B497)*(1+INDEX(Data!$F:$F,717-(ROW()-5)))-1</f>
        <v>0.55898839032121983</v>
      </c>
      <c r="C498" s="11" cm="1">
        <f t="array" ref="C498">(1+C497)*(1+INDEX(Data!$G:$G,717-(ROW()-5)))-1</f>
        <v>0.58474065138721265</v>
      </c>
      <c r="D498" s="11" cm="1">
        <f t="array" ref="D498">(1+D497)*(1+INDEX(Data!$H:$H,717-(ROW()-5)))-1</f>
        <v>0.14716928640979088</v>
      </c>
      <c r="E498" s="11" cm="1">
        <f t="array" ref="E498">(1+E497)*(1+INDEX(Data!$I:$I,717-(ROW()-5)))-1</f>
        <v>-5.3014108593416265E-2</v>
      </c>
    </row>
    <row r="499" spans="1:5" x14ac:dyDescent="0.2">
      <c r="A499" s="1" cm="1">
        <f t="array" ref="A499">INDEX(Data!$A:$A,717-(ROW()-5))</f>
        <v>45805</v>
      </c>
      <c r="B499" s="11" cm="1">
        <f t="array" ref="B499">(1+B498)*(1+INDEX(Data!$F:$F,717-(ROW()-5)))-1</f>
        <v>0.56786195646515192</v>
      </c>
      <c r="C499" s="11" cm="1">
        <f t="array" ref="C499">(1+C498)*(1+INDEX(Data!$G:$G,717-(ROW()-5)))-1</f>
        <v>0.61338962605548786</v>
      </c>
      <c r="D499" s="11" cm="1">
        <f t="array" ref="D499">(1+D498)*(1+INDEX(Data!$H:$H,717-(ROW()-5)))-1</f>
        <v>0.16372235359576948</v>
      </c>
      <c r="E499" s="11" cm="1">
        <f t="array" ref="E499">(1+E498)*(1+INDEX(Data!$I:$I,717-(ROW()-5)))-1</f>
        <v>-4.4890979050876689E-2</v>
      </c>
    </row>
    <row r="500" spans="1:5" x14ac:dyDescent="0.2">
      <c r="A500" s="1" cm="1">
        <f t="array" ref="A500">INDEX(Data!$A:$A,717-(ROW()-5))</f>
        <v>45806</v>
      </c>
      <c r="B500" s="11" cm="1">
        <f t="array" ref="B500">(1+B499)*(1+INDEX(Data!$F:$F,717-(ROW()-5)))-1</f>
        <v>0.57613970949772475</v>
      </c>
      <c r="C500" s="11" cm="1">
        <f t="array" ref="C500">(1+C499)*(1+INDEX(Data!$G:$G,717-(ROW()-5)))-1</f>
        <v>0.60585042219541552</v>
      </c>
      <c r="D500" s="11" cm="1">
        <f t="array" ref="D500">(1+D499)*(1+INDEX(Data!$H:$H,717-(ROW()-5)))-1</f>
        <v>0.18236194185561083</v>
      </c>
      <c r="E500" s="11" cm="1">
        <f t="array" ref="E500">(1+E499)*(1+INDEX(Data!$I:$I,717-(ROW()-5)))-1</f>
        <v>-4.4890979050876689E-2</v>
      </c>
    </row>
    <row r="501" spans="1:5" x14ac:dyDescent="0.2">
      <c r="A501" s="1" cm="1">
        <f t="array" ref="A501">INDEX(Data!$A:$A,717-(ROW()-5))</f>
        <v>45811</v>
      </c>
      <c r="B501" s="11" cm="1">
        <f t="array" ref="B501">(1+B500)*(1+INDEX(Data!$F:$F,717-(ROW()-5)))-1</f>
        <v>0.57867336136933001</v>
      </c>
      <c r="C501" s="11" cm="1">
        <f t="array" ref="C501">(1+C500)*(1+INDEX(Data!$G:$G,717-(ROW()-5)))-1</f>
        <v>0.56182147165259289</v>
      </c>
      <c r="D501" s="11" cm="1">
        <f t="array" ref="D501">(1+D500)*(1+INDEX(Data!$H:$H,717-(ROW()-5)))-1</f>
        <v>0.13367645013214458</v>
      </c>
      <c r="E501" s="11" cm="1">
        <f t="array" ref="E501">(1+E500)*(1+INDEX(Data!$I:$I,717-(ROW()-5)))-1</f>
        <v>-1.1543394613082736E-2</v>
      </c>
    </row>
    <row r="502" spans="1:5" x14ac:dyDescent="0.2">
      <c r="A502" s="1" cm="1">
        <f t="array" ref="A502">INDEX(Data!$A:$A,717-(ROW()-5))</f>
        <v>45812</v>
      </c>
      <c r="B502" s="11" cm="1">
        <f t="array" ref="B502">(1+B501)*(1+INDEX(Data!$F:$F,717-(ROW()-5)))-1</f>
        <v>0.57531829724711336</v>
      </c>
      <c r="C502" s="11" cm="1">
        <f t="array" ref="C502">(1+C501)*(1+INDEX(Data!$G:$G,717-(ROW()-5)))-1</f>
        <v>0.53799758745476423</v>
      </c>
      <c r="D502" s="11" cm="1">
        <f t="array" ref="D502">(1+D501)*(1+INDEX(Data!$H:$H,717-(ROW()-5)))-1</f>
        <v>0.12185283071358843</v>
      </c>
      <c r="E502" s="11" cm="1">
        <f t="array" ref="E502">(1+E501)*(1+INDEX(Data!$I:$I,717-(ROW()-5)))-1</f>
        <v>-1.1543394613082736E-2</v>
      </c>
    </row>
    <row r="503" spans="1:5" x14ac:dyDescent="0.2">
      <c r="A503" s="1" cm="1">
        <f t="array" ref="A503">INDEX(Data!$A:$A,717-(ROW()-5))</f>
        <v>45813</v>
      </c>
      <c r="B503" s="11" cm="1">
        <f t="array" ref="B503">(1+B502)*(1+INDEX(Data!$F:$F,717-(ROW()-5)))-1</f>
        <v>0.5927183539361276</v>
      </c>
      <c r="C503" s="11" cm="1">
        <f t="array" ref="C503">(1+C502)*(1+INDEX(Data!$G:$G,717-(ROW()-5)))-1</f>
        <v>0.56393244873341319</v>
      </c>
      <c r="D503" s="11" cm="1">
        <f t="array" ref="D503">(1+D502)*(1+INDEX(Data!$H:$H,717-(ROW()-5)))-1</f>
        <v>0.12352204757267882</v>
      </c>
      <c r="E503" s="11" cm="1">
        <f t="array" ref="E503">(1+E502)*(1+INDEX(Data!$I:$I,717-(ROW()-5)))-1</f>
        <v>-5.3014108593416154E-2</v>
      </c>
    </row>
    <row r="504" spans="1:5" x14ac:dyDescent="0.2">
      <c r="A504" s="1" cm="1">
        <f t="array" ref="A504">INDEX(Data!$A:$A,717-(ROW()-5))</f>
        <v>45816</v>
      </c>
      <c r="B504" s="11" cm="1">
        <f t="array" ref="B504">(1+B503)*(1+INDEX(Data!$F:$F,717-(ROW()-5)))-1</f>
        <v>0.59182752656574578</v>
      </c>
      <c r="C504" s="11" cm="1">
        <f t="array" ref="C504">(1+C503)*(1+INDEX(Data!$G:$G,717-(ROW()-5)))-1</f>
        <v>0.57961399276236358</v>
      </c>
      <c r="D504" s="11" cm="1">
        <f t="array" ref="D504">(1+D503)*(1+INDEX(Data!$H:$H,717-(ROW()-5)))-1</f>
        <v>0.10585616914730678</v>
      </c>
      <c r="E504" s="11" cm="1">
        <f t="array" ref="E504">(1+E503)*(1+INDEX(Data!$I:$I,717-(ROW()-5)))-1</f>
        <v>-1.7101325352715024E-2</v>
      </c>
    </row>
    <row r="505" spans="1:5" x14ac:dyDescent="0.2">
      <c r="A505" s="1" cm="1">
        <f t="array" ref="A505">INDEX(Data!$A:$A,717-(ROW()-5))</f>
        <v>45817</v>
      </c>
      <c r="B505" s="11" cm="1">
        <f t="array" ref="B505">(1+B504)*(1+INDEX(Data!$F:$F,717-(ROW()-5)))-1</f>
        <v>0.58872119995603778</v>
      </c>
      <c r="C505" s="11" cm="1">
        <f t="array" ref="C505">(1+C504)*(1+INDEX(Data!$G:$G,717-(ROW()-5)))-1</f>
        <v>0.55036188178528289</v>
      </c>
      <c r="D505" s="11" cm="1">
        <f t="array" ref="D505">(1+D504)*(1+INDEX(Data!$H:$H,717-(ROW()-5)))-1</f>
        <v>0.11211573236889549</v>
      </c>
      <c r="E505" s="11" cm="1">
        <f t="array" ref="E505">(1+E504)*(1+INDEX(Data!$I:$I,717-(ROW()-5)))-1</f>
        <v>-1.7101325352715024E-2</v>
      </c>
    </row>
    <row r="506" spans="1:5" x14ac:dyDescent="0.2">
      <c r="A506" s="1" cm="1">
        <f t="array" ref="A506">INDEX(Data!$A:$A,717-(ROW()-5))</f>
        <v>45818</v>
      </c>
      <c r="B506" s="11" cm="1">
        <f t="array" ref="B506">(1+B505)*(1+INDEX(Data!$F:$F,717-(ROW()-5)))-1</f>
        <v>0.58640736263037097</v>
      </c>
      <c r="C506" s="11" cm="1">
        <f t="array" ref="C506">(1+C505)*(1+INDEX(Data!$G:$G,717-(ROW()-5)))-1</f>
        <v>0.55186972255729749</v>
      </c>
      <c r="D506" s="11" cm="1">
        <f t="array" ref="D506">(1+D505)*(1+INDEX(Data!$H:$H,717-(ROW()-5)))-1</f>
        <v>0.11225483377381962</v>
      </c>
      <c r="E506" s="11" cm="1">
        <f t="array" ref="E506">(1+E505)*(1+INDEX(Data!$I:$I,717-(ROW()-5)))-1</f>
        <v>-1.7101325352715024E-2</v>
      </c>
    </row>
    <row r="507" spans="1:5" x14ac:dyDescent="0.2">
      <c r="A507" s="1" cm="1">
        <f t="array" ref="A507">INDEX(Data!$A:$A,717-(ROW()-5))</f>
        <v>45819</v>
      </c>
      <c r="B507" s="11" cm="1">
        <f t="array" ref="B507">(1+B506)*(1+INDEX(Data!$F:$F,717-(ROW()-5)))-1</f>
        <v>0.5933083824541725</v>
      </c>
      <c r="C507" s="11" cm="1">
        <f t="array" ref="C507">(1+C506)*(1+INDEX(Data!$G:$G,717-(ROW()-5)))-1</f>
        <v>0.56936067551266545</v>
      </c>
      <c r="D507" s="11" cm="1">
        <f t="array" ref="D507">(1+D506)*(1+INDEX(Data!$H:$H,717-(ROW()-5)))-1</f>
        <v>0.11601057170677276</v>
      </c>
      <c r="E507" s="11" cm="1">
        <f t="array" ref="E507">(1+E506)*(1+INDEX(Data!$I:$I,717-(ROW()-5)))-1</f>
        <v>-1.7101325352715024E-2</v>
      </c>
    </row>
    <row r="508" spans="1:5" x14ac:dyDescent="0.2">
      <c r="A508" s="1" cm="1">
        <f t="array" ref="A508">INDEX(Data!$A:$A,717-(ROW()-5))</f>
        <v>45820</v>
      </c>
      <c r="B508" s="11" cm="1">
        <f t="array" ref="B508">(1+B507)*(1+INDEX(Data!$F:$F,717-(ROW()-5)))-1</f>
        <v>0.56524153569383406</v>
      </c>
      <c r="C508" s="11" cm="1">
        <f t="array" ref="C508">(1+C507)*(1+INDEX(Data!$G:$G,717-(ROW()-5)))-1</f>
        <v>0.51990349819059078</v>
      </c>
      <c r="D508" s="11" cm="1">
        <f t="array" ref="D508">(1+D507)*(1+INDEX(Data!$H:$H,717-(ROW()-5)))-1</f>
        <v>9.890109890109744E-2</v>
      </c>
      <c r="E508" s="11" cm="1">
        <f t="array" ref="E508">(1+E507)*(1+INDEX(Data!$I:$I,717-(ROW()-5)))-1</f>
        <v>-1.7101325352715024E-2</v>
      </c>
    </row>
    <row r="509" spans="1:5" x14ac:dyDescent="0.2">
      <c r="A509" s="1" cm="1">
        <f t="array" ref="A509">INDEX(Data!$A:$A,717-(ROW()-5))</f>
        <v>45823</v>
      </c>
      <c r="B509" s="11" cm="1">
        <f t="array" ref="B509">(1+B508)*(1+INDEX(Data!$F:$F,717-(ROW()-5)))-1</f>
        <v>0.57077739149549189</v>
      </c>
      <c r="C509" s="11" cm="1">
        <f t="array" ref="C509">(1+C508)*(1+INDEX(Data!$G:$G,717-(ROW()-5)))-1</f>
        <v>0.52864897466827476</v>
      </c>
      <c r="D509" s="11" cm="1">
        <f t="array" ref="D509">(1+D508)*(1+INDEX(Data!$H:$H,717-(ROW()-5)))-1</f>
        <v>9.4310752538599107E-2</v>
      </c>
      <c r="E509" s="11" cm="1">
        <f t="array" ref="E509">(1+E508)*(1+INDEX(Data!$I:$I,717-(ROW()-5)))-1</f>
        <v>-1.7101325352715024E-2</v>
      </c>
    </row>
    <row r="510" spans="1:5" x14ac:dyDescent="0.2">
      <c r="A510" s="1" cm="1">
        <f t="array" ref="A510">INDEX(Data!$A:$A,717-(ROW()-5))</f>
        <v>45824</v>
      </c>
      <c r="B510" s="11" cm="1">
        <f t="array" ref="B510">(1+B509)*(1+INDEX(Data!$F:$F,717-(ROW()-5)))-1</f>
        <v>0.61225871015138389</v>
      </c>
      <c r="C510" s="11" cm="1">
        <f t="array" ref="C510">(1+C509)*(1+INDEX(Data!$G:$G,717-(ROW()-5)))-1</f>
        <v>0.59469240048250871</v>
      </c>
      <c r="D510" s="11" cm="1">
        <f t="array" ref="D510">(1+D509)*(1+INDEX(Data!$H:$H,717-(ROW()-5)))-1</f>
        <v>0.14897760467380561</v>
      </c>
      <c r="E510" s="11" cm="1">
        <f t="array" ref="E510">(1+E509)*(1+INDEX(Data!$I:$I,717-(ROW()-5)))-1</f>
        <v>-1.7101325352715024E-2</v>
      </c>
    </row>
    <row r="511" spans="1:5" x14ac:dyDescent="0.2">
      <c r="A511" s="1" cm="1">
        <f t="array" ref="A511">INDEX(Data!$A:$A,717-(ROW()-5))</f>
        <v>45825</v>
      </c>
      <c r="B511" s="11" cm="1">
        <f t="array" ref="B511">(1+B510)*(1+INDEX(Data!$F:$F,717-(ROW()-5)))-1</f>
        <v>0.62108599954880295</v>
      </c>
      <c r="C511" s="11" cm="1">
        <f t="array" ref="C511">(1+C510)*(1+INDEX(Data!$G:$G,717-(ROW()-5)))-1</f>
        <v>0.57569360675512637</v>
      </c>
      <c r="D511" s="11" cm="1">
        <f t="array" ref="D511">(1+D510)*(1+INDEX(Data!$H:$H,717-(ROW()-5)))-1</f>
        <v>0.14577827236054919</v>
      </c>
      <c r="E511" s="11" cm="1">
        <f t="array" ref="E511">(1+E510)*(1+INDEX(Data!$I:$I,717-(ROW()-5)))-1</f>
        <v>-8.5506626763577342E-3</v>
      </c>
    </row>
    <row r="512" spans="1:5" x14ac:dyDescent="0.2">
      <c r="A512" s="1" cm="1">
        <f t="array" ref="A512">INDEX(Data!$A:$A,717-(ROW()-5))</f>
        <v>45826</v>
      </c>
      <c r="B512" s="11" cm="1">
        <f t="array" ref="B512">(1+B511)*(1+INDEX(Data!$F:$F,717-(ROW()-5)))-1</f>
        <v>0.64306166954932342</v>
      </c>
      <c r="C512" s="11" cm="1">
        <f t="array" ref="C512">(1+C511)*(1+INDEX(Data!$G:$G,717-(ROW()-5)))-1</f>
        <v>0.60464414957780432</v>
      </c>
      <c r="D512" s="11" cm="1">
        <f t="array" ref="D512">(1+D511)*(1+INDEX(Data!$H:$H,717-(ROW()-5)))-1</f>
        <v>0.14619557657532156</v>
      </c>
      <c r="E512" s="11" cm="1">
        <f t="array" ref="E512">(1+E511)*(1+INDEX(Data!$I:$I,717-(ROW()-5)))-1</f>
        <v>1.2825994014533659E-3</v>
      </c>
    </row>
    <row r="513" spans="1:5" x14ac:dyDescent="0.2">
      <c r="A513" s="1" cm="1">
        <f t="array" ref="A513">INDEX(Data!$A:$A,717-(ROW()-5))</f>
        <v>45827</v>
      </c>
      <c r="B513" s="11" cm="1">
        <f t="array" ref="B513">(1+B512)*(1+INDEX(Data!$F:$F,717-(ROW()-5)))-1</f>
        <v>0.65948991456155781</v>
      </c>
      <c r="C513" s="11" cm="1">
        <f t="array" ref="C513">(1+C512)*(1+INDEX(Data!$G:$G,717-(ROW()-5)))-1</f>
        <v>0.60946924004825043</v>
      </c>
      <c r="D513" s="11" cm="1">
        <f t="array" ref="D513">(1+D512)*(1+INDEX(Data!$H:$H,717-(ROW()-5)))-1</f>
        <v>0.18111002921129327</v>
      </c>
      <c r="E513" s="11" cm="1">
        <f t="array" ref="E513">(1+E512)*(1+INDEX(Data!$I:$I,717-(ROW()-5)))-1</f>
        <v>-2.9927319367253347E-3</v>
      </c>
    </row>
    <row r="514" spans="1:5" x14ac:dyDescent="0.2">
      <c r="A514" s="1" cm="1">
        <f t="array" ref="A514">INDEX(Data!$A:$A,717-(ROW()-5))</f>
        <v>45830</v>
      </c>
      <c r="B514" s="11" cm="1">
        <f t="array" ref="B514">(1+B513)*(1+INDEX(Data!$F:$F,717-(ROW()-5)))-1</f>
        <v>0.68888143319084039</v>
      </c>
      <c r="C514" s="11" cm="1">
        <f t="array" ref="C514">(1+C513)*(1+INDEX(Data!$G:$G,717-(ROW()-5)))-1</f>
        <v>0.63148371531966174</v>
      </c>
      <c r="D514" s="11" cm="1">
        <f t="array" ref="D514">(1+D513)*(1+INDEX(Data!$H:$H,717-(ROW()-5)))-1</f>
        <v>0.20294894978439104</v>
      </c>
      <c r="E514" s="11" cm="1">
        <f t="array" ref="E514">(1+E513)*(1+INDEX(Data!$I:$I,717-(ROW()-5)))-1</f>
        <v>1.3253527148353816E-2</v>
      </c>
    </row>
    <row r="515" spans="1:5" x14ac:dyDescent="0.2">
      <c r="A515" s="1" cm="1">
        <f t="array" ref="A515">INDEX(Data!$A:$A,717-(ROW()-5))</f>
        <v>45831</v>
      </c>
      <c r="B515" s="11" cm="1">
        <f t="array" ref="B515">(1+B514)*(1+INDEX(Data!$F:$F,717-(ROW()-5)))-1</f>
        <v>0.66654711840484171</v>
      </c>
      <c r="C515" s="11" cm="1">
        <f t="array" ref="C515">(1+C514)*(1+INDEX(Data!$G:$G,717-(ROW()-5)))-1</f>
        <v>0.61972255729794878</v>
      </c>
      <c r="D515" s="11" cm="1">
        <f t="array" ref="D515">(1+D514)*(1+INDEX(Data!$H:$H,717-(ROW()-5)))-1</f>
        <v>0.1911253303658349</v>
      </c>
      <c r="E515" s="11" cm="1">
        <f t="array" ref="E515">(1+E514)*(1+INDEX(Data!$I:$I,717-(ROW()-5)))-1</f>
        <v>-5.6861906797777029E-2</v>
      </c>
    </row>
    <row r="516" spans="1:5" x14ac:dyDescent="0.2">
      <c r="A516" s="1" cm="1">
        <f t="array" ref="A516">INDEX(Data!$A:$A,717-(ROW()-5))</f>
        <v>45832</v>
      </c>
      <c r="B516" s="11" cm="1">
        <f t="array" ref="B516">(1+B515)*(1+INDEX(Data!$F:$F,717-(ROW()-5)))-1</f>
        <v>0.69104487109033896</v>
      </c>
      <c r="C516" s="11" cm="1">
        <f t="array" ref="C516">(1+C515)*(1+INDEX(Data!$G:$G,717-(ROW()-5)))-1</f>
        <v>0.71290711700844334</v>
      </c>
      <c r="D516" s="11" cm="1">
        <f t="array" ref="D516">(1+D515)*(1+INDEX(Data!$H:$H,717-(ROW()-5)))-1</f>
        <v>0.24495757407149621</v>
      </c>
      <c r="E516" s="11" cm="1">
        <f t="array" ref="E516">(1+E515)*(1+INDEX(Data!$I:$I,717-(ROW()-5)))-1</f>
        <v>8.1231295425392425E-3</v>
      </c>
    </row>
    <row r="517" spans="1:5" x14ac:dyDescent="0.2">
      <c r="A517" s="1" cm="1">
        <f t="array" ref="A517">INDEX(Data!$A:$A,717-(ROW()-5))</f>
        <v>45833</v>
      </c>
      <c r="B517" s="11" cm="1">
        <f t="array" ref="B517">(1+B516)*(1+INDEX(Data!$F:$F,717-(ROW()-5)))-1</f>
        <v>0.72003725278094399</v>
      </c>
      <c r="C517" s="11" cm="1">
        <f t="array" ref="C517">(1+C516)*(1+INDEX(Data!$G:$G,717-(ROW()-5)))-1</f>
        <v>0.78528347406513799</v>
      </c>
      <c r="D517" s="11" cm="1">
        <f t="array" ref="D517">(1+D516)*(1+INDEX(Data!$H:$H,717-(ROW()-5)))-1</f>
        <v>0.32146334677980049</v>
      </c>
      <c r="E517" s="11" cm="1">
        <f t="array" ref="E517">(1+E516)*(1+INDEX(Data!$I:$I,717-(ROW()-5)))-1</f>
        <v>4.8738777255237009E-2</v>
      </c>
    </row>
    <row r="518" spans="1:5" x14ac:dyDescent="0.2">
      <c r="A518" s="1" cm="1">
        <f t="array" ref="A518">INDEX(Data!$A:$A,717-(ROW()-5))</f>
        <v>45834</v>
      </c>
      <c r="B518" s="11" cm="1">
        <f t="array" ref="B518">(1+B517)*(1+INDEX(Data!$F:$F,717-(ROW()-5)))-1</f>
        <v>0.70784911466799394</v>
      </c>
      <c r="C518" s="11" cm="1">
        <f t="array" ref="C518">(1+C517)*(1+INDEX(Data!$G:$G,717-(ROW()-5)))-1</f>
        <v>0.74607961399276168</v>
      </c>
      <c r="D518" s="11" cm="1">
        <f t="array" ref="D518">(1+D517)*(1+INDEX(Data!$H:$H,717-(ROW()-5)))-1</f>
        <v>0.31826401446654407</v>
      </c>
      <c r="E518" s="11" cm="1">
        <f t="array" ref="E518">(1+E517)*(1+INDEX(Data!$I:$I,717-(ROW()-5)))-1</f>
        <v>6.5412569474134097E-2</v>
      </c>
    </row>
    <row r="519" spans="1:5" x14ac:dyDescent="0.2">
      <c r="A519" s="1" cm="1">
        <f t="array" ref="A519">INDEX(Data!$A:$A,717-(ROW()-5))</f>
        <v>45837</v>
      </c>
      <c r="B519" s="11" cm="1">
        <f t="array" ref="B519">(1+B518)*(1+INDEX(Data!$F:$F,717-(ROW()-5)))-1</f>
        <v>0.74257402833293895</v>
      </c>
      <c r="C519" s="11" cm="1">
        <f t="array" ref="C519">(1+C518)*(1+INDEX(Data!$G:$G,717-(ROW()-5)))-1</f>
        <v>0.77020506634499331</v>
      </c>
      <c r="D519" s="11" cm="1">
        <f t="array" ref="D519">(1+D518)*(1+INDEX(Data!$H:$H,717-(ROW()-5)))-1</f>
        <v>0.31729030463207475</v>
      </c>
      <c r="E519" s="11" cm="1">
        <f t="array" ref="E519">(1+E518)*(1+INDEX(Data!$I:$I,717-(ROW()-5)))-1</f>
        <v>0.10645575032064958</v>
      </c>
    </row>
    <row r="520" spans="1:5" x14ac:dyDescent="0.2">
      <c r="A520" s="1" cm="1">
        <f t="array" ref="A520">INDEX(Data!$A:$A,717-(ROW()-5))</f>
        <v>45838</v>
      </c>
      <c r="B520" s="11" cm="1">
        <f t="array" ref="B520">(1+B519)*(1+INDEX(Data!$F:$F,717-(ROW()-5)))-1</f>
        <v>0.74839332920699086</v>
      </c>
      <c r="C520" s="11" cm="1">
        <f t="array" ref="C520">(1+C519)*(1+INDEX(Data!$G:$G,717-(ROW()-5)))-1</f>
        <v>0.76357056694812964</v>
      </c>
      <c r="D520" s="11" cm="1">
        <f t="array" ref="D520">(1+D519)*(1+INDEX(Data!$H:$H,717-(ROW()-5)))-1</f>
        <v>0.32146334677980026</v>
      </c>
      <c r="E520" s="11" cm="1">
        <f t="array" ref="E520">(1+E519)*(1+INDEX(Data!$I:$I,717-(ROW()-5)))-1</f>
        <v>0.10645575032064958</v>
      </c>
    </row>
    <row r="521" spans="1:5" x14ac:dyDescent="0.2">
      <c r="A521" s="1" cm="1">
        <f t="array" ref="A521">INDEX(Data!$A:$A,717-(ROW()-5))</f>
        <v>45839</v>
      </c>
      <c r="B521" s="11" cm="1">
        <f t="array" ref="B521">(1+B520)*(1+INDEX(Data!$F:$F,717-(ROW()-5)))-1</f>
        <v>0.7498568313154752</v>
      </c>
      <c r="C521" s="11" cm="1">
        <f t="array" ref="C521">(1+C520)*(1+INDEX(Data!$G:$G,717-(ROW()-5)))-1</f>
        <v>0.80398069963811758</v>
      </c>
      <c r="D521" s="11" cm="1">
        <f t="array" ref="D521">(1+D520)*(1+INDEX(Data!$H:$H,717-(ROW()-5)))-1</f>
        <v>0.33398247322297725</v>
      </c>
      <c r="E521" s="11" cm="1">
        <f t="array" ref="E521">(1+E520)*(1+INDEX(Data!$I:$I,717-(ROW()-5)))-1</f>
        <v>0.15604959384352268</v>
      </c>
    </row>
    <row r="522" spans="1:5" x14ac:dyDescent="0.2">
      <c r="A522" s="1" cm="1">
        <f t="array" ref="A522">INDEX(Data!$A:$A,717-(ROW()-5))</f>
        <v>45840</v>
      </c>
      <c r="B522" s="11" cm="1">
        <f t="array" ref="B522">(1+B521)*(1+INDEX(Data!$F:$F,717-(ROW()-5)))-1</f>
        <v>0.78090852822592405</v>
      </c>
      <c r="C522" s="11" cm="1">
        <f t="array" ref="C522">(1+C521)*(1+INDEX(Data!$G:$G,717-(ROW()-5)))-1</f>
        <v>0.8088057901085639</v>
      </c>
      <c r="D522" s="11" cm="1">
        <f t="array" ref="D522">(1+D521)*(1+INDEX(Data!$H:$H,717-(ROW()-5)))-1</f>
        <v>0.3754346918903857</v>
      </c>
      <c r="E522" s="11" cm="1">
        <f t="array" ref="E522">(1+E521)*(1+INDEX(Data!$I:$I,717-(ROW()-5)))-1</f>
        <v>0.17058572039333031</v>
      </c>
    </row>
    <row r="523" spans="1:5" x14ac:dyDescent="0.2">
      <c r="A523" s="1" cm="1">
        <f t="array" ref="A523">INDEX(Data!$A:$A,717-(ROW()-5))</f>
        <v>45841</v>
      </c>
      <c r="B523" s="11" cm="1">
        <f t="array" ref="B523">(1+B522)*(1+INDEX(Data!$F:$F,717-(ROW()-5)))-1</f>
        <v>0.79715745084541934</v>
      </c>
      <c r="C523" s="11" cm="1">
        <f t="array" ref="C523">(1+C522)*(1+INDEX(Data!$G:$G,717-(ROW()-5)))-1</f>
        <v>0.83142340168878115</v>
      </c>
      <c r="D523" s="11" cm="1">
        <f t="array" ref="D523">(1+D522)*(1+INDEX(Data!$H:$H,717-(ROW()-5)))-1</f>
        <v>0.37710390874947586</v>
      </c>
      <c r="E523" s="11" cm="1">
        <f t="array" ref="E523">(1+E522)*(1+INDEX(Data!$I:$I,717-(ROW()-5)))-1</f>
        <v>0.2171868319794783</v>
      </c>
    </row>
    <row r="524" spans="1:5" x14ac:dyDescent="0.2">
      <c r="A524" s="1" cm="1">
        <f t="array" ref="A524">INDEX(Data!$A:$A,717-(ROW()-5))</f>
        <v>45844</v>
      </c>
      <c r="B524" s="11" cm="1">
        <f t="array" ref="B524">(1+B523)*(1+INDEX(Data!$F:$F,717-(ROW()-5)))-1</f>
        <v>0.80112568185893784</v>
      </c>
      <c r="C524" s="11" cm="1">
        <f t="array" ref="C524">(1+C523)*(1+INDEX(Data!$G:$G,717-(ROW()-5)))-1</f>
        <v>0.82297949336550014</v>
      </c>
      <c r="D524" s="11" cm="1">
        <f t="array" ref="D524">(1+D523)*(1+INDEX(Data!$H:$H,717-(ROW()-5)))-1</f>
        <v>0.53846153846153588</v>
      </c>
      <c r="E524" s="11" cm="1">
        <f t="array" ref="E524">(1+E523)*(1+INDEX(Data!$I:$I,717-(ROW()-5)))-1</f>
        <v>0.23471569046601104</v>
      </c>
    </row>
    <row r="525" spans="1:5" x14ac:dyDescent="0.2">
      <c r="A525" s="1" cm="1">
        <f t="array" ref="A525">INDEX(Data!$A:$A,717-(ROW()-5))</f>
        <v>45845</v>
      </c>
      <c r="B525" s="11" cm="1">
        <f t="array" ref="B525">(1+B524)*(1+INDEX(Data!$F:$F,717-(ROW()-5)))-1</f>
        <v>0.79194553226935471</v>
      </c>
      <c r="C525" s="11" cm="1">
        <f t="array" ref="C525">(1+C524)*(1+INDEX(Data!$G:$G,717-(ROW()-5)))-1</f>
        <v>0.82448733413751452</v>
      </c>
      <c r="D525" s="11" cm="1">
        <f t="array" ref="D525">(1+D524)*(1+INDEX(Data!$H:$H,717-(ROW()-5)))-1</f>
        <v>0.5426345806092614</v>
      </c>
      <c r="E525" s="11" cm="1">
        <f t="array" ref="E525">(1+E524)*(1+INDEX(Data!$I:$I,717-(ROW()-5)))-1</f>
        <v>0.23813595553655387</v>
      </c>
    </row>
    <row r="526" spans="1:5" x14ac:dyDescent="0.2">
      <c r="A526" s="1" cm="1">
        <f t="array" ref="A526">INDEX(Data!$A:$A,717-(ROW()-5))</f>
        <v>45846</v>
      </c>
      <c r="B526" s="11" cm="1">
        <f t="array" ref="B526">(1+B525)*(1+INDEX(Data!$F:$F,717-(ROW()-5)))-1</f>
        <v>0.7809548049724373</v>
      </c>
      <c r="C526" s="11" cm="1">
        <f t="array" ref="C526">(1+C525)*(1+INDEX(Data!$G:$G,717-(ROW()-5)))-1</f>
        <v>0.80337756332931187</v>
      </c>
      <c r="D526" s="11" cm="1">
        <f t="array" ref="D526">(1+D525)*(1+INDEX(Data!$H:$H,717-(ROW()-5)))-1</f>
        <v>0.51203227152593978</v>
      </c>
      <c r="E526" s="11" cm="1">
        <f t="array" ref="E526">(1+E525)*(1+INDEX(Data!$I:$I,717-(ROW()-5)))-1</f>
        <v>0.23129542539546799</v>
      </c>
    </row>
    <row r="527" spans="1:5" x14ac:dyDescent="0.2">
      <c r="A527" s="1" cm="1">
        <f t="array" ref="A527">INDEX(Data!$A:$A,717-(ROW()-5))</f>
        <v>45847</v>
      </c>
      <c r="B527" s="11" cm="1">
        <f t="array" ref="B527">(1+B526)*(1+INDEX(Data!$F:$F,717-(ROW()-5)))-1</f>
        <v>0.81106361317267672</v>
      </c>
      <c r="C527" s="11" cm="1">
        <f t="array" ref="C527">(1+C526)*(1+INDEX(Data!$G:$G,717-(ROW()-5)))-1</f>
        <v>0.83323281061519849</v>
      </c>
      <c r="D527" s="11" cm="1">
        <f t="array" ref="D527">(1+D526)*(1+INDEX(Data!$H:$H,717-(ROW()-5)))-1</f>
        <v>0.49534010293503705</v>
      </c>
      <c r="E527" s="11" cm="1">
        <f t="array" ref="E527">(1+E526)*(1+INDEX(Data!$I:$I,717-(ROW()-5)))-1</f>
        <v>0.23129542539546799</v>
      </c>
    </row>
    <row r="528" spans="1:5" x14ac:dyDescent="0.2">
      <c r="A528" s="1" cm="1">
        <f t="array" ref="A528">INDEX(Data!$A:$A,717-(ROW()-5))</f>
        <v>45848</v>
      </c>
      <c r="B528" s="11" cm="1">
        <f t="array" ref="B528">(1+B527)*(1+INDEX(Data!$F:$F,717-(ROW()-5)))-1</f>
        <v>0.80723421239869797</v>
      </c>
      <c r="C528" s="11" cm="1">
        <f t="array" ref="C528">(1+C527)*(1+INDEX(Data!$G:$G,717-(ROW()-5)))-1</f>
        <v>0.8275030156815435</v>
      </c>
      <c r="D528" s="11" cm="1">
        <f t="array" ref="D528">(1+D527)*(1+INDEX(Data!$H:$H,717-(ROW()-5)))-1</f>
        <v>0.46056475170398969</v>
      </c>
      <c r="E528" s="11" cm="1">
        <f t="array" ref="E528">(1+E527)*(1+INDEX(Data!$I:$I,717-(ROW()-5)))-1</f>
        <v>0.23129542539546799</v>
      </c>
    </row>
    <row r="529" spans="1:5" x14ac:dyDescent="0.2">
      <c r="A529" s="1" cm="1">
        <f t="array" ref="A529">INDEX(Data!$A:$A,717-(ROW()-5))</f>
        <v>45851</v>
      </c>
      <c r="B529" s="11" cm="1">
        <f t="array" ref="B529">(1+B528)*(1+INDEX(Data!$F:$F,717-(ROW()-5)))-1</f>
        <v>0.76511080388493369</v>
      </c>
      <c r="C529" s="11" cm="1">
        <f t="array" ref="C529">(1+C528)*(1+INDEX(Data!$G:$G,717-(ROW()-5)))-1</f>
        <v>0.79433051869722493</v>
      </c>
      <c r="D529" s="11" cm="1">
        <f t="array" ref="D529">(1+D528)*(1+INDEX(Data!$H:$H,717-(ROW()-5)))-1</f>
        <v>0.40492418973431388</v>
      </c>
      <c r="E529" s="11" cm="1">
        <f t="array" ref="E529">(1+E528)*(1+INDEX(Data!$I:$I,717-(ROW()-5)))-1</f>
        <v>0.18426678067550228</v>
      </c>
    </row>
    <row r="530" spans="1:5" x14ac:dyDescent="0.2">
      <c r="A530" s="1" cm="1">
        <f t="array" ref="A530">INDEX(Data!$A:$A,717-(ROW()-5))</f>
        <v>45852</v>
      </c>
      <c r="B530" s="11" cm="1">
        <f t="array" ref="B530">(1+B529)*(1+INDEX(Data!$F:$F,717-(ROW()-5)))-1</f>
        <v>0.76648175250039108</v>
      </c>
      <c r="C530" s="11" cm="1">
        <f t="array" ref="C530">(1+C529)*(1+INDEX(Data!$G:$G,717-(ROW()-5)))-1</f>
        <v>0.81182147165259266</v>
      </c>
      <c r="D530" s="11" cm="1">
        <f t="array" ref="D530">(1+D529)*(1+INDEX(Data!$H:$H,717-(ROW()-5)))-1</f>
        <v>0.38795381833356268</v>
      </c>
      <c r="E530" s="11" cm="1">
        <f t="array" ref="E530">(1+E529)*(1+INDEX(Data!$I:$I,717-(ROW()-5)))-1</f>
        <v>0.18640444634459175</v>
      </c>
    </row>
    <row r="531" spans="1:5" x14ac:dyDescent="0.2">
      <c r="A531" s="1" cm="1">
        <f t="array" ref="A531">INDEX(Data!$A:$A,717-(ROW()-5))</f>
        <v>45853</v>
      </c>
      <c r="B531" s="11" cm="1">
        <f t="array" ref="B531">(1+B530)*(1+INDEX(Data!$F:$F,717-(ROW()-5)))-1</f>
        <v>0.77796417022901276</v>
      </c>
      <c r="C531" s="11" cm="1">
        <f t="array" ref="C531">(1+C530)*(1+INDEX(Data!$G:$G,717-(ROW()-5)))-1</f>
        <v>0.81182147165259266</v>
      </c>
      <c r="D531" s="11" cm="1">
        <f t="array" ref="D531">(1+D530)*(1+INDEX(Data!$H:$H,717-(ROW()-5)))-1</f>
        <v>0.37390457643621944</v>
      </c>
      <c r="E531" s="11" cm="1">
        <f t="array" ref="E531">(1+E530)*(1+INDEX(Data!$I:$I,717-(ROW()-5)))-1</f>
        <v>0.18640444634459175</v>
      </c>
    </row>
    <row r="532" spans="1:5" x14ac:dyDescent="0.2">
      <c r="A532" s="1" cm="1">
        <f t="array" ref="A532">INDEX(Data!$A:$A,717-(ROW()-5))</f>
        <v>45854</v>
      </c>
      <c r="B532" s="11" cm="1">
        <f t="array" ref="B532">(1+B531)*(1+INDEX(Data!$F:$F,717-(ROW()-5)))-1</f>
        <v>0.77238782227415581</v>
      </c>
      <c r="C532" s="11" cm="1">
        <f t="array" ref="C532">(1+C531)*(1+INDEX(Data!$G:$G,717-(ROW()-5)))-1</f>
        <v>0.79734620024125369</v>
      </c>
      <c r="D532" s="11" cm="1">
        <f t="array" ref="D532">(1+D531)*(1+INDEX(Data!$H:$H,717-(ROW()-5)))-1</f>
        <v>0.37710390874947564</v>
      </c>
      <c r="E532" s="11" cm="1">
        <f t="array" ref="E532">(1+E531)*(1+INDEX(Data!$I:$I,717-(ROW()-5)))-1</f>
        <v>0.16588285592133389</v>
      </c>
    </row>
    <row r="533" spans="1:5" x14ac:dyDescent="0.2">
      <c r="A533" s="1" cm="1">
        <f t="array" ref="A533">INDEX(Data!$A:$A,717-(ROW()-5))</f>
        <v>45855</v>
      </c>
      <c r="B533" s="11" cm="1">
        <f t="array" ref="B533">(1+B532)*(1+INDEX(Data!$F:$F,717-(ROW()-5)))-1</f>
        <v>0.78618986192175866</v>
      </c>
      <c r="C533" s="11" cm="1">
        <f t="array" ref="C533">(1+C532)*(1+INDEX(Data!$G:$G,717-(ROW()-5)))-1</f>
        <v>0.81332931242460704</v>
      </c>
      <c r="D533" s="11" cm="1">
        <f t="array" ref="D533">(1+D532)*(1+INDEX(Data!$H:$H,717-(ROW()-5)))-1</f>
        <v>0.45082765335929609</v>
      </c>
      <c r="E533" s="11" cm="1">
        <f t="array" ref="E533">(1+E532)*(1+INDEX(Data!$I:$I,717-(ROW()-5)))-1</f>
        <v>0.14878153056861909</v>
      </c>
    </row>
    <row r="534" spans="1:5" x14ac:dyDescent="0.2">
      <c r="A534" s="1" cm="1">
        <f t="array" ref="A534">INDEX(Data!$A:$A,717-(ROW()-5))</f>
        <v>45858</v>
      </c>
      <c r="B534" s="11" cm="1">
        <f t="array" ref="B534">(1+B533)*(1+INDEX(Data!$F:$F,717-(ROW()-5)))-1</f>
        <v>0.78666998316683423</v>
      </c>
      <c r="C534" s="11" cm="1">
        <f t="array" ref="C534">(1+C533)*(1+INDEX(Data!$G:$G,717-(ROW()-5)))-1</f>
        <v>0.81091676718938377</v>
      </c>
      <c r="D534" s="11" cm="1">
        <f t="array" ref="D534">(1+D533)*(1+INDEX(Data!$H:$H,717-(ROW()-5)))-1</f>
        <v>0.46334677980247307</v>
      </c>
      <c r="E534" s="11" cm="1">
        <f t="array" ref="E534">(1+E533)*(1+INDEX(Data!$I:$I,717-(ROW()-5)))-1</f>
        <v>0.14151346729371528</v>
      </c>
    </row>
    <row r="535" spans="1:5" x14ac:dyDescent="0.2">
      <c r="A535" s="1" cm="1">
        <f t="array" ref="A535">INDEX(Data!$A:$A,717-(ROW()-5))</f>
        <v>45859</v>
      </c>
      <c r="B535" s="11" cm="1">
        <f t="array" ref="B535">(1+B534)*(1+INDEX(Data!$F:$F,717-(ROW()-5)))-1</f>
        <v>0.80326598138517946</v>
      </c>
      <c r="C535" s="11" cm="1">
        <f t="array" ref="C535">(1+C534)*(1+INDEX(Data!$G:$G,717-(ROW()-5)))-1</f>
        <v>0.8163449939686358</v>
      </c>
      <c r="D535" s="11" cm="1">
        <f t="array" ref="D535">(1+D534)*(1+INDEX(Data!$H:$H,717-(ROW()-5)))-1</f>
        <v>0.53011545416608397</v>
      </c>
      <c r="E535" s="11" cm="1">
        <f t="array" ref="E535">(1+E534)*(1+INDEX(Data!$I:$I,717-(ROW()-5)))-1</f>
        <v>0.15433946130825138</v>
      </c>
    </row>
    <row r="536" spans="1:5" x14ac:dyDescent="0.2">
      <c r="A536" s="1" cm="1">
        <f t="array" ref="A536">INDEX(Data!$A:$A,717-(ROW()-5))</f>
        <v>45860</v>
      </c>
      <c r="B536" s="11" cm="1">
        <f t="array" ref="B536">(1+B535)*(1+INDEX(Data!$F:$F,717-(ROW()-5)))-1</f>
        <v>0.80253712262759436</v>
      </c>
      <c r="C536" s="11" cm="1">
        <f t="array" ref="C536">(1+C535)*(1+INDEX(Data!$G:$G,717-(ROW()-5)))-1</f>
        <v>0.83956574185765875</v>
      </c>
      <c r="D536" s="11" cm="1">
        <f t="array" ref="D536">(1+D535)*(1+INDEX(Data!$H:$H,717-(ROW()-5)))-1</f>
        <v>0.55793573515092176</v>
      </c>
      <c r="E536" s="11" cm="1">
        <f t="array" ref="E536">(1+E535)*(1+INDEX(Data!$I:$I,717-(ROW()-5)))-1</f>
        <v>0.19666524155622045</v>
      </c>
    </row>
    <row r="537" spans="1:5" x14ac:dyDescent="0.2">
      <c r="A537" s="1" cm="1">
        <f t="array" ref="A537">INDEX(Data!$A:$A,717-(ROW()-5))</f>
        <v>45861</v>
      </c>
      <c r="B537" s="11" cm="1">
        <f t="array" ref="B537">(1+B536)*(1+INDEX(Data!$F:$F,717-(ROW()-5)))-1</f>
        <v>0.82356990391790585</v>
      </c>
      <c r="C537" s="11" cm="1">
        <f t="array" ref="C537">(1+C536)*(1+INDEX(Data!$G:$G,717-(ROW()-5)))-1</f>
        <v>0.92249698431845495</v>
      </c>
      <c r="D537" s="11" cm="1">
        <f t="array" ref="D537">(1+D536)*(1+INDEX(Data!$H:$H,717-(ROW()-5)))-1</f>
        <v>0.56906384754485684</v>
      </c>
      <c r="E537" s="11" cm="1">
        <f t="array" ref="E537">(1+E536)*(1+INDEX(Data!$I:$I,717-(ROW()-5)))-1</f>
        <v>0.19709277469003839</v>
      </c>
    </row>
    <row r="538" spans="1:5" x14ac:dyDescent="0.2">
      <c r="A538" s="1" cm="1">
        <f t="array" ref="A538">INDEX(Data!$A:$A,717-(ROW()-5))</f>
        <v>45862</v>
      </c>
      <c r="B538" s="11" cm="1">
        <f t="array" ref="B538">(1+B537)*(1+INDEX(Data!$F:$F,717-(ROW()-5)))-1</f>
        <v>0.80191238654966446</v>
      </c>
      <c r="C538" s="11" cm="1">
        <f t="array" ref="C538">(1+C537)*(1+INDEX(Data!$G:$G,717-(ROW()-5)))-1</f>
        <v>0.89384800965017996</v>
      </c>
      <c r="D538" s="11" cm="1">
        <f t="array" ref="D538">(1+D537)*(1+INDEX(Data!$H:$H,717-(ROW()-5)))-1</f>
        <v>0.53150646821532566</v>
      </c>
      <c r="E538" s="11" cm="1">
        <f t="array" ref="E538">(1+E537)*(1+INDEX(Data!$I:$I,717-(ROW()-5)))-1</f>
        <v>0.17657118426678053</v>
      </c>
    </row>
    <row r="539" spans="1:5" x14ac:dyDescent="0.2">
      <c r="A539" s="1" cm="1">
        <f t="array" ref="A539">INDEX(Data!$A:$A,717-(ROW()-5))</f>
        <v>45865</v>
      </c>
      <c r="B539" s="11" cm="1">
        <f t="array" ref="B539">(1+B538)*(1+INDEX(Data!$F:$F,717-(ROW()-5)))-1</f>
        <v>0.78476106737315909</v>
      </c>
      <c r="C539" s="11" cm="1">
        <f t="array" ref="C539">(1+C538)*(1+INDEX(Data!$G:$G,717-(ROW()-5)))-1</f>
        <v>0.86489746682750202</v>
      </c>
      <c r="D539" s="11" cm="1">
        <f t="array" ref="D539">(1+D538)*(1+INDEX(Data!$H:$H,717-(ROW()-5)))-1</f>
        <v>0.51481429962442293</v>
      </c>
      <c r="E539" s="11" cm="1">
        <f t="array" ref="E539">(1+E538)*(1+INDEX(Data!$I:$I,717-(ROW()-5)))-1</f>
        <v>0.16716545532278748</v>
      </c>
    </row>
    <row r="540" spans="1:5" x14ac:dyDescent="0.2">
      <c r="A540" s="1" cm="1">
        <f t="array" ref="A540">INDEX(Data!$A:$A,717-(ROW()-5))</f>
        <v>45866</v>
      </c>
      <c r="B540" s="11" cm="1">
        <f t="array" ref="B540">(1+B539)*(1+INDEX(Data!$F:$F,717-(ROW()-5)))-1</f>
        <v>0.79600631677589995</v>
      </c>
      <c r="C540" s="11" cm="1">
        <f t="array" ref="C540">(1+C539)*(1+INDEX(Data!$G:$G,717-(ROW()-5)))-1</f>
        <v>0.85162846803377468</v>
      </c>
      <c r="D540" s="11" cm="1">
        <f t="array" ref="D540">(1+D539)*(1+INDEX(Data!$H:$H,717-(ROW()-5)))-1</f>
        <v>0.49812213103352021</v>
      </c>
      <c r="E540" s="11" cm="1">
        <f t="array" ref="E540">(1+E539)*(1+INDEX(Data!$I:$I,717-(ROW()-5)))-1</f>
        <v>0.16716545532278748</v>
      </c>
    </row>
    <row r="541" spans="1:5" x14ac:dyDescent="0.2">
      <c r="A541" s="1" cm="1">
        <f t="array" ref="A541">INDEX(Data!$A:$A,717-(ROW()-5))</f>
        <v>45867</v>
      </c>
      <c r="B541" s="11" cm="1">
        <f t="array" ref="B541">(1+B540)*(1+INDEX(Data!$F:$F,717-(ROW()-5)))-1</f>
        <v>0.79612200864218363</v>
      </c>
      <c r="C541" s="11" cm="1">
        <f t="array" ref="C541">(1+C540)*(1+INDEX(Data!$G:$G,717-(ROW()-5)))-1</f>
        <v>0.85765983112183264</v>
      </c>
      <c r="D541" s="11" cm="1">
        <f t="array" ref="D541">(1+D540)*(1+INDEX(Data!$H:$H,717-(ROW()-5)))-1</f>
        <v>0.55793573515092154</v>
      </c>
      <c r="E541" s="11" cm="1">
        <f t="array" ref="E541">(1+E540)*(1+INDEX(Data!$I:$I,717-(ROW()-5)))-1</f>
        <v>0.16716545532278748</v>
      </c>
    </row>
    <row r="542" spans="1:5" x14ac:dyDescent="0.2">
      <c r="A542" s="1" cm="1">
        <f t="array" ref="A542">INDEX(Data!$A:$A,717-(ROW()-5))</f>
        <v>45868</v>
      </c>
      <c r="B542" s="11" cm="1">
        <f t="array" ref="B542">(1+B541)*(1+INDEX(Data!$F:$F,717-(ROW()-5)))-1</f>
        <v>0.78555355665720006</v>
      </c>
      <c r="C542" s="11" cm="1">
        <f t="array" ref="C542">(1+C541)*(1+INDEX(Data!$G:$G,717-(ROW()-5)))-1</f>
        <v>0.84107358262967358</v>
      </c>
      <c r="D542" s="11" cm="1">
        <f t="array" ref="D542">(1+D541)*(1+INDEX(Data!$H:$H,717-(ROW()-5)))-1</f>
        <v>0.5370705244122933</v>
      </c>
      <c r="E542" s="11" cm="1">
        <f t="array" ref="E542">(1+E541)*(1+INDEX(Data!$I:$I,717-(ROW()-5)))-1</f>
        <v>0.14151346729371528</v>
      </c>
    </row>
    <row r="543" spans="1:5" x14ac:dyDescent="0.2">
      <c r="A543" s="1" cm="1">
        <f t="array" ref="A543">INDEX(Data!$A:$A,717-(ROW()-5))</f>
        <v>45869</v>
      </c>
      <c r="B543" s="11" cm="1">
        <f t="array" ref="B543">(1+B542)*(1+INDEX(Data!$F:$F,717-(ROW()-5)))-1</f>
        <v>0.78182249396956238</v>
      </c>
      <c r="C543" s="11" cm="1">
        <f t="array" ref="C543">(1+C542)*(1+INDEX(Data!$G:$G,717-(ROW()-5)))-1</f>
        <v>0.85193003618817764</v>
      </c>
      <c r="D543" s="11" cm="1">
        <f t="array" ref="D543">(1+D542)*(1+INDEX(Data!$H:$H,717-(ROW()-5)))-1</f>
        <v>0.54819863680622838</v>
      </c>
      <c r="E543" s="11" cm="1">
        <f t="array" ref="E543">(1+E542)*(1+INDEX(Data!$I:$I,717-(ROW()-5)))-1</f>
        <v>0.1517742625053442</v>
      </c>
    </row>
    <row r="544" spans="1:5" x14ac:dyDescent="0.2">
      <c r="A544" s="1" cm="1">
        <f t="array" ref="A544">INDEX(Data!$A:$A,717-(ROW()-5))</f>
        <v>45873</v>
      </c>
      <c r="B544" s="11" cm="1">
        <f t="array" ref="B544">(1+B543)*(1+INDEX(Data!$F:$F,717-(ROW()-5)))-1</f>
        <v>0.76479265125265461</v>
      </c>
      <c r="C544" s="11" cm="1">
        <f t="array" ref="C544">(1+C543)*(1+INDEX(Data!$G:$G,717-(ROW()-5)))-1</f>
        <v>0.79523522316043338</v>
      </c>
      <c r="D544" s="11" cm="1">
        <f t="array" ref="D544">(1+D543)*(1+INDEX(Data!$H:$H,717-(ROW()-5)))-1</f>
        <v>0.53011545416608374</v>
      </c>
      <c r="E544" s="11" cm="1">
        <f t="array" ref="E544">(1+E543)*(1+INDEX(Data!$I:$I,717-(ROW()-5)))-1</f>
        <v>0.15220179563916214</v>
      </c>
    </row>
    <row r="545" spans="1:5" x14ac:dyDescent="0.2">
      <c r="A545" s="1" cm="1">
        <f t="array" ref="A545">INDEX(Data!$A:$A,717-(ROW()-5))</f>
        <v>45874</v>
      </c>
      <c r="B545" s="11" cm="1">
        <f t="array" ref="B545">(1+B544)*(1+INDEX(Data!$F:$F,717-(ROW()-5)))-1</f>
        <v>0.73142133242322482</v>
      </c>
      <c r="C545" s="11" cm="1">
        <f t="array" ref="C545">(1+C544)*(1+INDEX(Data!$G:$G,717-(ROW()-5)))-1</f>
        <v>0.74668275030156739</v>
      </c>
      <c r="D545" s="11" cm="1">
        <f t="array" ref="D545">(1+D544)*(1+INDEX(Data!$H:$H,717-(ROW()-5)))-1</f>
        <v>0.49255807483655256</v>
      </c>
      <c r="E545" s="11" cm="1">
        <f t="array" ref="E545">(1+E544)*(1+INDEX(Data!$I:$I,717-(ROW()-5)))-1</f>
        <v>7.9093629756306294E-2</v>
      </c>
    </row>
    <row r="546" spans="1:5" x14ac:dyDescent="0.2">
      <c r="A546" s="1" cm="1">
        <f t="array" ref="A546">INDEX(Data!$A:$A,717-(ROW()-5))</f>
        <v>45875</v>
      </c>
      <c r="B546" s="11" cm="1">
        <f t="array" ref="B546">(1+B545)*(1+INDEX(Data!$F:$F,717-(ROW()-5)))-1</f>
        <v>0.72173213862199503</v>
      </c>
      <c r="C546" s="11" cm="1">
        <f t="array" ref="C546">(1+C545)*(1+INDEX(Data!$G:$G,717-(ROW()-5)))-1</f>
        <v>0.71200241254523466</v>
      </c>
      <c r="D546" s="11" cm="1">
        <f t="array" ref="D546">(1+D545)*(1+INDEX(Data!$H:$H,717-(ROW()-5)))-1</f>
        <v>0.49255807483655256</v>
      </c>
      <c r="E546" s="11" cm="1">
        <f t="array" ref="E546">(1+E545)*(1+INDEX(Data!$I:$I,717-(ROW()-5)))-1</f>
        <v>0.10602821718683209</v>
      </c>
    </row>
    <row r="547" spans="1:5" x14ac:dyDescent="0.2">
      <c r="A547" s="1" cm="1">
        <f t="array" ref="A547">INDEX(Data!$A:$A,717-(ROW()-5))</f>
        <v>45876</v>
      </c>
      <c r="B547" s="11" cm="1">
        <f t="array" ref="B547">(1+B546)*(1+INDEX(Data!$F:$F,717-(ROW()-5)))-1</f>
        <v>0.72309151805082439</v>
      </c>
      <c r="C547" s="11" cm="1">
        <f t="array" ref="C547">(1+C546)*(1+INDEX(Data!$G:$G,717-(ROW()-5)))-1</f>
        <v>0.76085645355850384</v>
      </c>
      <c r="D547" s="11" cm="1">
        <f t="array" ref="D547">(1+D546)*(1+INDEX(Data!$H:$H,717-(ROW()-5)))-1</f>
        <v>0.50785922937821337</v>
      </c>
      <c r="E547" s="11" cm="1">
        <f t="array" ref="E547">(1+E546)*(1+INDEX(Data!$I:$I,717-(ROW()-5)))-1</f>
        <v>9.4484822573749572E-2</v>
      </c>
    </row>
    <row r="548" spans="1:5" x14ac:dyDescent="0.2">
      <c r="A548" s="1" cm="1">
        <f t="array" ref="A548">INDEX(Data!$A:$A,717-(ROW()-5))</f>
        <v>45879</v>
      </c>
      <c r="B548" s="11" cm="1">
        <f t="array" ref="B548">(1+B547)*(1+INDEX(Data!$F:$F,717-(ROW()-5)))-1</f>
        <v>0.74735210241044081</v>
      </c>
      <c r="C548" s="11" cm="1">
        <f t="array" ref="C548">(1+C547)*(1+INDEX(Data!$G:$G,717-(ROW()-5)))-1</f>
        <v>0.78679131483715281</v>
      </c>
      <c r="D548" s="11" cm="1">
        <f t="array" ref="D548">(1+D547)*(1+INDEX(Data!$H:$H,717-(ROW()-5)))-1</f>
        <v>0.49116706078731065</v>
      </c>
      <c r="E548" s="11" cm="1">
        <f t="array" ref="E548">(1+E547)*(1+INDEX(Data!$I:$I,717-(ROW()-5)))-1</f>
        <v>0.10303548525010697</v>
      </c>
    </row>
    <row r="549" spans="1:5" x14ac:dyDescent="0.2">
      <c r="A549" s="1" cm="1">
        <f t="array" ref="A549">INDEX(Data!$A:$A,717-(ROW()-5))</f>
        <v>45880</v>
      </c>
      <c r="B549" s="11" cm="1">
        <f t="array" ref="B549">(1+B548)*(1+INDEX(Data!$F:$F,717-(ROW()-5)))-1</f>
        <v>0.73173948505550412</v>
      </c>
      <c r="C549" s="11" cm="1">
        <f t="array" ref="C549">(1+C548)*(1+INDEX(Data!$G:$G,717-(ROW()-5)))-1</f>
        <v>0.73793727382388385</v>
      </c>
      <c r="D549" s="11" cm="1">
        <f t="array" ref="D549">(1+D548)*(1+INDEX(Data!$H:$H,717-(ROW()-5)))-1</f>
        <v>0.46056475170398903</v>
      </c>
      <c r="E549" s="11" cm="1">
        <f t="array" ref="E549">(1+E548)*(1+INDEX(Data!$I:$I,717-(ROW()-5)))-1</f>
        <v>0.10303548525010697</v>
      </c>
    </row>
    <row r="550" spans="1:5" x14ac:dyDescent="0.2">
      <c r="A550" s="1" cm="1">
        <f t="array" ref="A550">INDEX(Data!$A:$A,717-(ROW()-5))</f>
        <v>45881</v>
      </c>
      <c r="B550" s="11" cm="1">
        <f t="array" ref="B550">(1+B549)*(1+INDEX(Data!$F:$F,717-(ROW()-5)))-1</f>
        <v>0.70128360125641453</v>
      </c>
      <c r="C550" s="11" cm="1">
        <f t="array" ref="C550">(1+C549)*(1+INDEX(Data!$G:$G,717-(ROW()-5)))-1</f>
        <v>0.71893848009650152</v>
      </c>
      <c r="D550" s="11" cm="1">
        <f t="array" ref="D550">(1+D549)*(1+INDEX(Data!$H:$H,717-(ROW()-5)))-1</f>
        <v>0.39379607734037814</v>
      </c>
      <c r="E550" s="11" cm="1">
        <f t="array" ref="E550">(1+E549)*(1+INDEX(Data!$I:$I,717-(ROW()-5)))-1</f>
        <v>8.5934159897392171E-2</v>
      </c>
    </row>
    <row r="551" spans="1:5" x14ac:dyDescent="0.2">
      <c r="A551" s="1" cm="1">
        <f t="array" ref="A551">INDEX(Data!$A:$A,717-(ROW()-5))</f>
        <v>45882</v>
      </c>
      <c r="B551" s="11" cm="1">
        <f t="array" ref="B551">(1+B550)*(1+INDEX(Data!$F:$F,717-(ROW()-5)))-1</f>
        <v>0.73915533368426645</v>
      </c>
      <c r="C551" s="11" cm="1">
        <f t="array" ref="C551">(1+C550)*(1+INDEX(Data!$G:$G,717-(ROW()-5)))-1</f>
        <v>0.74396863691194182</v>
      </c>
      <c r="D551" s="11" cm="1">
        <f t="array" ref="D551">(1+D550)*(1+INDEX(Data!$H:$H,717-(ROW()-5)))-1</f>
        <v>0.41187925998052277</v>
      </c>
      <c r="E551" s="11" cm="1">
        <f t="array" ref="E551">(1+E550)*(1+INDEX(Data!$I:$I,717-(ROW()-5)))-1</f>
        <v>9.0637024369388586E-2</v>
      </c>
    </row>
    <row r="552" spans="1:5" x14ac:dyDescent="0.2">
      <c r="A552" s="1" cm="1">
        <f t="array" ref="A552">INDEX(Data!$A:$A,717-(ROW()-5))</f>
        <v>45883</v>
      </c>
      <c r="B552" s="11" cm="1">
        <f t="array" ref="B552">(1+B551)*(1+INDEX(Data!$F:$F,717-(ROW()-5)))-1</f>
        <v>0.75405644606156064</v>
      </c>
      <c r="C552" s="11" cm="1">
        <f t="array" ref="C552">(1+C551)*(1+INDEX(Data!$G:$G,717-(ROW()-5)))-1</f>
        <v>0.81212303980699629</v>
      </c>
      <c r="D552" s="11" cm="1">
        <f t="array" ref="D552">(1+D551)*(1+INDEX(Data!$H:$H,717-(ROW()-5)))-1</f>
        <v>0.4410905550146027</v>
      </c>
      <c r="E552" s="11" cm="1">
        <f t="array" ref="E552">(1+E551)*(1+INDEX(Data!$I:$I,717-(ROW()-5)))-1</f>
        <v>9.1064557503206522E-2</v>
      </c>
    </row>
    <row r="553" spans="1:5" x14ac:dyDescent="0.2">
      <c r="A553" s="1" cm="1">
        <f t="array" ref="A553">INDEX(Data!$A:$A,717-(ROW()-5))</f>
        <v>45886</v>
      </c>
      <c r="B553" s="11" cm="1">
        <f t="array" ref="B553">(1+B552)*(1+INDEX(Data!$F:$F,717-(ROW()-5)))-1</f>
        <v>0.76782377814927805</v>
      </c>
      <c r="C553" s="11" cm="1">
        <f t="array" ref="C553">(1+C552)*(1+INDEX(Data!$G:$G,717-(ROW()-5)))-1</f>
        <v>0.80036188178528356</v>
      </c>
      <c r="D553" s="11" cm="1">
        <f t="array" ref="D553">(1+D552)*(1+INDEX(Data!$H:$H,717-(ROW()-5)))-1</f>
        <v>0.45500069550702182</v>
      </c>
      <c r="E553" s="11" cm="1">
        <f t="array" ref="E553">(1+E552)*(1+INDEX(Data!$I:$I,717-(ROW()-5)))-1</f>
        <v>0.11244121419410025</v>
      </c>
    </row>
    <row r="554" spans="1:5" x14ac:dyDescent="0.2">
      <c r="A554" s="1" cm="1">
        <f t="array" ref="A554">INDEX(Data!$A:$A,717-(ROW()-5))</f>
        <v>45887</v>
      </c>
      <c r="B554" s="11" cm="1">
        <f t="array" ref="B554">(1+B553)*(1+INDEX(Data!$F:$F,717-(ROW()-5)))-1</f>
        <v>0.76434145297414946</v>
      </c>
      <c r="C554" s="11" cm="1">
        <f t="array" ref="C554">(1+C553)*(1+INDEX(Data!$G:$G,717-(ROW()-5)))-1</f>
        <v>0.78226779252110967</v>
      </c>
      <c r="D554" s="11" cm="1">
        <f t="array" ref="D554">(1+D553)*(1+INDEX(Data!$H:$H,717-(ROW()-5)))-1</f>
        <v>0.50925024342745551</v>
      </c>
      <c r="E554" s="11" cm="1">
        <f t="array" ref="E554">(1+E553)*(1+INDEX(Data!$I:$I,717-(ROW()-5)))-1</f>
        <v>0.11244121419410025</v>
      </c>
    </row>
    <row r="555" spans="1:5" x14ac:dyDescent="0.2">
      <c r="A555" s="1" cm="1">
        <f t="array" ref="A555">INDEX(Data!$A:$A,717-(ROW()-5))</f>
        <v>45888</v>
      </c>
      <c r="B555" s="11" cm="1">
        <f t="array" ref="B555">(1+B554)*(1+INDEX(Data!$F:$F,717-(ROW()-5)))-1</f>
        <v>0.7758354398893994</v>
      </c>
      <c r="C555" s="11" cm="1">
        <f t="array" ref="C555">(1+C554)*(1+INDEX(Data!$G:$G,717-(ROW()-5)))-1</f>
        <v>0.80036188178528334</v>
      </c>
      <c r="D555" s="11" cm="1">
        <f t="array" ref="D555">(1+D554)*(1+INDEX(Data!$H:$H,717-(ROW()-5)))-1</f>
        <v>0.63444150785922604</v>
      </c>
      <c r="E555" s="11" cm="1">
        <f t="array" ref="E555">(1+E554)*(1+INDEX(Data!$I:$I,717-(ROW()-5)))-1</f>
        <v>0.11244121419410025</v>
      </c>
    </row>
    <row r="556" spans="1:5" x14ac:dyDescent="0.2">
      <c r="A556" s="1" cm="1">
        <f t="array" ref="A556">INDEX(Data!$A:$A,717-(ROW()-5))</f>
        <v>45889</v>
      </c>
      <c r="B556" s="11" cm="1">
        <f t="array" ref="B556">(1+B555)*(1+INDEX(Data!$F:$F,717-(ROW()-5)))-1</f>
        <v>0.7603674373673166</v>
      </c>
      <c r="C556" s="11" cm="1">
        <f t="array" ref="C556">(1+C555)*(1+INDEX(Data!$G:$G,717-(ROW()-5)))-1</f>
        <v>0.79282267792521099</v>
      </c>
      <c r="D556" s="11" cm="1">
        <f t="array" ref="D556">(1+D555)*(1+INDEX(Data!$H:$H,717-(ROW()-5)))-1</f>
        <v>0.64974266240088685</v>
      </c>
      <c r="E556" s="11" cm="1">
        <f t="array" ref="E556">(1+E555)*(1+INDEX(Data!$I:$I,717-(ROW()-5)))-1</f>
        <v>0.11244121419410025</v>
      </c>
    </row>
    <row r="557" spans="1:5" x14ac:dyDescent="0.2">
      <c r="A557" s="1" cm="1">
        <f t="array" ref="A557">INDEX(Data!$A:$A,717-(ROW()-5))</f>
        <v>45890</v>
      </c>
      <c r="B557" s="11" cm="1">
        <f t="array" ref="B557">(1+B556)*(1+INDEX(Data!$F:$F,717-(ROW()-5)))-1</f>
        <v>0.77247459117386841</v>
      </c>
      <c r="C557" s="11" cm="1">
        <f t="array" ref="C557">(1+C556)*(1+INDEX(Data!$G:$G,717-(ROW()-5)))-1</f>
        <v>0.75180940892641734</v>
      </c>
      <c r="D557" s="11" cm="1">
        <f t="array" ref="D557">(1+D556)*(1+INDEX(Data!$H:$H,717-(ROW()-5)))-1</f>
        <v>0.64139657810543538</v>
      </c>
      <c r="E557" s="11" cm="1">
        <f t="array" ref="E557">(1+E556)*(1+INDEX(Data!$I:$I,717-(ROW()-5)))-1</f>
        <v>0.11244121419410025</v>
      </c>
    </row>
    <row r="558" spans="1:5" x14ac:dyDescent="0.2">
      <c r="A558" s="1" cm="1">
        <f t="array" ref="A558">INDEX(Data!$A:$A,717-(ROW()-5))</f>
        <v>45893</v>
      </c>
      <c r="B558" s="11" cm="1">
        <f t="array" ref="B558">(1+B557)*(1+INDEX(Data!$F:$F,717-(ROW()-5)))-1</f>
        <v>0.80319078167209512</v>
      </c>
      <c r="C558" s="11" cm="1">
        <f t="array" ref="C558">(1+C557)*(1+INDEX(Data!$G:$G,717-(ROW()-5)))-1</f>
        <v>0.77774427020506653</v>
      </c>
      <c r="D558" s="11" cm="1">
        <f t="array" ref="D558">(1+D557)*(1+INDEX(Data!$H:$H,717-(ROW()-5)))-1</f>
        <v>0.62748643761301648</v>
      </c>
      <c r="E558" s="11" cm="1">
        <f t="array" ref="E558">(1+E557)*(1+INDEX(Data!$I:$I,717-(ROW()-5)))-1</f>
        <v>0.1073108165882859</v>
      </c>
    </row>
    <row r="559" spans="1:5" x14ac:dyDescent="0.2">
      <c r="A559" s="1" cm="1">
        <f t="array" ref="A559">INDEX(Data!$A:$A,717-(ROW()-5))</f>
        <v>45894</v>
      </c>
      <c r="B559" s="11" cm="1">
        <f t="array" ref="B559">(1+B558)*(1+INDEX(Data!$F:$F,717-(ROW()-5)))-1</f>
        <v>0.80209170894240334</v>
      </c>
      <c r="C559" s="11" cm="1">
        <f t="array" ref="C559">(1+C558)*(1+INDEX(Data!$G:$G,717-(ROW()-5)))-1</f>
        <v>0.77322074788902317</v>
      </c>
      <c r="D559" s="11" cm="1">
        <f t="array" ref="D559">(1+D558)*(1+INDEX(Data!$H:$H,717-(ROW()-5)))-1</f>
        <v>0.56628181944637324</v>
      </c>
      <c r="E559" s="11" cm="1">
        <f t="array" ref="E559">(1+E558)*(1+INDEX(Data!$I:$I,717-(ROW()-5)))-1</f>
        <v>0.12569474134245429</v>
      </c>
    </row>
    <row r="560" spans="1:5" x14ac:dyDescent="0.2">
      <c r="A560" s="1" cm="1">
        <f t="array" ref="A560">INDEX(Data!$A:$A,717-(ROW()-5))</f>
        <v>45895</v>
      </c>
      <c r="B560" s="11" cm="1">
        <f t="array" ref="B560">(1+B559)*(1+INDEX(Data!$F:$F,717-(ROW()-5)))-1</f>
        <v>0.8097505104903604</v>
      </c>
      <c r="C560" s="11" cm="1">
        <f t="array" ref="C560">(1+C559)*(1+INDEX(Data!$G:$G,717-(ROW()-5)))-1</f>
        <v>0.75663449939686389</v>
      </c>
      <c r="D560" s="11" cm="1">
        <f t="array" ref="D560">(1+D559)*(1+INDEX(Data!$H:$H,717-(ROW()-5)))-1</f>
        <v>0.65669773264709641</v>
      </c>
      <c r="E560" s="11" cm="1">
        <f t="array" ref="E560">(1+E559)*(1+INDEX(Data!$I:$I,717-(ROW()-5)))-1</f>
        <v>0.12355707567336482</v>
      </c>
    </row>
    <row r="561" spans="1:5" x14ac:dyDescent="0.2">
      <c r="A561" s="1" cm="1">
        <f t="array" ref="A561">INDEX(Data!$A:$A,717-(ROW()-5))</f>
        <v>45896</v>
      </c>
      <c r="B561" s="11" cm="1">
        <f t="array" ref="B561">(1+B560)*(1+INDEX(Data!$F:$F,717-(ROW()-5)))-1</f>
        <v>0.81265437633407234</v>
      </c>
      <c r="C561" s="11" cm="1">
        <f t="array" ref="C561">(1+C560)*(1+INDEX(Data!$G:$G,717-(ROW()-5)))-1</f>
        <v>0.65259348612786505</v>
      </c>
      <c r="D561" s="11" cm="1">
        <f t="array" ref="D561">(1+D560)*(1+INDEX(Data!$H:$H,717-(ROW()-5)))-1</f>
        <v>0.5593267492001639</v>
      </c>
      <c r="E561" s="11" cm="1">
        <f t="array" ref="E561">(1+E560)*(1+INDEX(Data!$I:$I,717-(ROW()-5)))-1</f>
        <v>0.10431808465156078</v>
      </c>
    </row>
    <row r="562" spans="1:5" x14ac:dyDescent="0.2">
      <c r="A562" s="1" cm="1">
        <f t="array" ref="A562">INDEX(Data!$A:$A,717-(ROW()-5))</f>
        <v>45897</v>
      </c>
      <c r="B562" s="11" cm="1">
        <f t="array" ref="B562">(1+B561)*(1+INDEX(Data!$F:$F,717-(ROW()-5)))-1</f>
        <v>0.81035789278834791</v>
      </c>
      <c r="C562" s="11" cm="1">
        <f t="array" ref="C562">(1+C561)*(1+INDEX(Data!$G:$G,717-(ROW()-5)))-1</f>
        <v>0.64053075995174935</v>
      </c>
      <c r="D562" s="11" cm="1">
        <f t="array" ref="D562">(1+D561)*(1+INDEX(Data!$H:$H,717-(ROW()-5)))-1</f>
        <v>0.58853804423424383</v>
      </c>
      <c r="E562" s="11" cm="1">
        <f t="array" ref="E562">(1+E561)*(1+INDEX(Data!$I:$I,717-(ROW()-5)))-1</f>
        <v>8.4224027362120868E-2</v>
      </c>
    </row>
    <row r="563" spans="1:5" x14ac:dyDescent="0.2">
      <c r="A563" s="1" cm="1">
        <f t="array" ref="A563">INDEX(Data!$A:$A,717-(ROW()-5))</f>
        <v>45900</v>
      </c>
      <c r="B563" s="11" cm="1">
        <f t="array" ref="B563">(1+B562)*(1+INDEX(Data!$F:$F,717-(ROW()-5)))-1</f>
        <v>0.80195287870286336</v>
      </c>
      <c r="C563" s="11" cm="1">
        <f t="array" ref="C563">(1+C562)*(1+INDEX(Data!$G:$G,717-(ROW()-5)))-1</f>
        <v>0.64927623642943333</v>
      </c>
      <c r="D563" s="11" cm="1">
        <f t="array" ref="D563">(1+D562)*(1+INDEX(Data!$H:$H,717-(ROW()-5)))-1</f>
        <v>0.57880094588955067</v>
      </c>
      <c r="E563" s="11" cm="1">
        <f t="array" ref="E563">(1+E562)*(1+INDEX(Data!$I:$I,717-(ROW()-5)))-1</f>
        <v>0.10987601539119329</v>
      </c>
    </row>
    <row r="564" spans="1:5" x14ac:dyDescent="0.2">
      <c r="A564" s="1" cm="1">
        <f t="array" ref="A564">INDEX(Data!$A:$A,717-(ROW()-5))</f>
        <v>45901</v>
      </c>
      <c r="B564" s="11" cm="1">
        <f t="array" ref="B564">(1+B563)*(1+INDEX(Data!$F:$F,717-(ROW()-5)))-1</f>
        <v>0.79225790030831922</v>
      </c>
      <c r="C564" s="11" cm="1">
        <f t="array" ref="C564">(1+C563)*(1+INDEX(Data!$G:$G,717-(ROW()-5)))-1</f>
        <v>0.64656212303980731</v>
      </c>
      <c r="D564" s="11" cm="1">
        <f t="array" ref="D564">(1+D563)*(1+INDEX(Data!$H:$H,717-(ROW()-5)))-1</f>
        <v>0.59966615662817935</v>
      </c>
      <c r="E564" s="11" cm="1">
        <f t="array" ref="E564">(1+E563)*(1+INDEX(Data!$I:$I,717-(ROW()-5)))-1</f>
        <v>0.11885421120136863</v>
      </c>
    </row>
    <row r="565" spans="1:5" x14ac:dyDescent="0.2">
      <c r="A565" s="1" cm="1">
        <f t="array" ref="A565">INDEX(Data!$A:$A,717-(ROW()-5))</f>
        <v>45902</v>
      </c>
      <c r="B565" s="11" cm="1">
        <f t="array" ref="B565">(1+B564)*(1+INDEX(Data!$F:$F,717-(ROW()-5)))-1</f>
        <v>0.76474058991282656</v>
      </c>
      <c r="C565" s="11" cm="1">
        <f t="array" ref="C565">(1+C564)*(1+INDEX(Data!$G:$G,717-(ROW()-5)))-1</f>
        <v>0.59831121833534406</v>
      </c>
      <c r="D565" s="11" cm="1">
        <f t="array" ref="D565">(1+D564)*(1+INDEX(Data!$H:$H,717-(ROW()-5)))-1</f>
        <v>0.54263458060926184</v>
      </c>
      <c r="E565" s="11" cm="1">
        <f t="array" ref="E565">(1+E564)*(1+INDEX(Data!$I:$I,717-(ROW()-5)))-1</f>
        <v>0.11885421120136863</v>
      </c>
    </row>
    <row r="566" spans="1:5" x14ac:dyDescent="0.2">
      <c r="A566" s="1" cm="1">
        <f t="array" ref="A566">INDEX(Data!$A:$A,717-(ROW()-5))</f>
        <v>45903</v>
      </c>
      <c r="B566" s="11" cm="1">
        <f t="array" ref="B566">(1+B565)*(1+INDEX(Data!$F:$F,717-(ROW()-5)))-1</f>
        <v>0.77955493339040838</v>
      </c>
      <c r="C566" s="11" cm="1">
        <f t="array" ref="C566">(1+C565)*(1+INDEX(Data!$G:$G,717-(ROW()-5)))-1</f>
        <v>0.58202653799758775</v>
      </c>
      <c r="D566" s="11" cm="1">
        <f t="array" ref="D566">(1+D565)*(1+INDEX(Data!$H:$H,717-(ROW()-5)))-1</f>
        <v>0.62053136736680803</v>
      </c>
      <c r="E566" s="11" cm="1">
        <f t="array" ref="E566">(1+E565)*(1+INDEX(Data!$I:$I,717-(ROW()-5)))-1</f>
        <v>0.11885421120136863</v>
      </c>
    </row>
    <row r="567" spans="1:5" x14ac:dyDescent="0.2">
      <c r="A567" s="1" cm="1">
        <f t="array" ref="A567">INDEX(Data!$A:$A,717-(ROW()-5))</f>
        <v>45904</v>
      </c>
      <c r="B567" s="11" cm="1">
        <f t="array" ref="B567">(1+B566)*(1+INDEX(Data!$F:$F,717-(ROW()-5)))-1</f>
        <v>0.79886390587309797</v>
      </c>
      <c r="C567" s="11" cm="1">
        <f t="array" ref="C567">(1+C566)*(1+INDEX(Data!$G:$G,717-(ROW()-5)))-1</f>
        <v>0.6139927623642949</v>
      </c>
      <c r="D567" s="11" cm="1">
        <f t="array" ref="D567">(1+D566)*(1+INDEX(Data!$H:$H,717-(ROW()-5)))-1</f>
        <v>0.7220753929614665</v>
      </c>
      <c r="E567" s="11" cm="1">
        <f t="array" ref="E567">(1+E566)*(1+INDEX(Data!$I:$I,717-(ROW()-5)))-1</f>
        <v>0.11885421120136863</v>
      </c>
    </row>
    <row r="568" spans="1:5" x14ac:dyDescent="0.2">
      <c r="A568" s="1" cm="1">
        <f t="array" ref="A568">INDEX(Data!$A:$A,717-(ROW()-5))</f>
        <v>45907</v>
      </c>
      <c r="B568" s="11" cm="1">
        <f t="array" ref="B568">(1+B567)*(1+INDEX(Data!$F:$F,717-(ROW()-5)))-1</f>
        <v>0.82568706507089051</v>
      </c>
      <c r="C568" s="11" cm="1">
        <f t="array" ref="C568">(1+C567)*(1+INDEX(Data!$G:$G,717-(ROW()-5)))-1</f>
        <v>0.60223160434258194</v>
      </c>
      <c r="D568" s="11" cm="1">
        <f t="array" ref="D568">(1+D567)*(1+INDEX(Data!$H:$H,717-(ROW()-5)))-1</f>
        <v>0.75267770204478834</v>
      </c>
      <c r="E568" s="11" cm="1">
        <f t="array" ref="E568">(1+E567)*(1+INDEX(Data!$I:$I,717-(ROW()-5)))-1</f>
        <v>0.11885421120136863</v>
      </c>
    </row>
    <row r="569" spans="1:5" x14ac:dyDescent="0.2">
      <c r="A569" s="1" cm="1">
        <f t="array" ref="A569">INDEX(Data!$A:$A,717-(ROW()-5))</f>
        <v>45908</v>
      </c>
      <c r="B569" s="11" cm="1">
        <f t="array" ref="B569">(1+B568)*(1+INDEX(Data!$F:$F,717-(ROW()-5)))-1</f>
        <v>0.82252289252804123</v>
      </c>
      <c r="C569" s="11" cm="1">
        <f t="array" ref="C569">(1+C568)*(1+INDEX(Data!$G:$G,717-(ROW()-5)))-1</f>
        <v>0.57810615199035031</v>
      </c>
      <c r="D569" s="11" cm="1">
        <f t="array" ref="D569">(1+D568)*(1+INDEX(Data!$H:$H,717-(ROW()-5)))-1</f>
        <v>0.73598553345388562</v>
      </c>
      <c r="E569" s="11" cm="1">
        <f t="array" ref="E569">(1+E568)*(1+INDEX(Data!$I:$I,717-(ROW()-5)))-1</f>
        <v>0.11885421120136863</v>
      </c>
    </row>
    <row r="570" spans="1:5" x14ac:dyDescent="0.2">
      <c r="A570" s="1" cm="1">
        <f t="array" ref="A570">INDEX(Data!$A:$A,717-(ROW()-5))</f>
        <v>45909</v>
      </c>
      <c r="B570" s="11" cm="1">
        <f t="array" ref="B570">(1+B569)*(1+INDEX(Data!$F:$F,717-(ROW()-5)))-1</f>
        <v>0.85347046675883487</v>
      </c>
      <c r="C570" s="11" cm="1">
        <f t="array" ref="C570">(1+C569)*(1+INDEX(Data!$G:$G,717-(ROW()-5)))-1</f>
        <v>0.63600723763570621</v>
      </c>
      <c r="D570" s="11" cm="1">
        <f t="array" ref="D570">(1+D569)*(1+INDEX(Data!$H:$H,717-(ROW()-5)))-1</f>
        <v>0.76658784253720724</v>
      </c>
      <c r="E570" s="11" cm="1">
        <f t="array" ref="E570">(1+E569)*(1+INDEX(Data!$I:$I,717-(ROW()-5)))-1</f>
        <v>0.11885421120136863</v>
      </c>
    </row>
    <row r="571" spans="1:5" x14ac:dyDescent="0.2">
      <c r="A571" s="1" cm="1">
        <f t="array" ref="A571">INDEX(Data!$A:$A,717-(ROW()-5))</f>
        <v>45910</v>
      </c>
      <c r="B571" s="11" cm="1">
        <f t="array" ref="B571">(1+B570)*(1+INDEX(Data!$F:$F,717-(ROW()-5)))-1</f>
        <v>0.84919565229966554</v>
      </c>
      <c r="C571" s="11" cm="1">
        <f t="array" ref="C571">(1+C570)*(1+INDEX(Data!$G:$G,717-(ROW()-5)))-1</f>
        <v>0.61791314837153255</v>
      </c>
      <c r="D571" s="11" cm="1">
        <f t="array" ref="D571">(1+D570)*(1+INDEX(Data!$H:$H,717-(ROW()-5)))-1</f>
        <v>0.76519682848796533</v>
      </c>
      <c r="E571" s="11" cm="1">
        <f t="array" ref="E571">(1+E570)*(1+INDEX(Data!$I:$I,717-(ROW()-5)))-1</f>
        <v>0.11885421120136863</v>
      </c>
    </row>
    <row r="572" spans="1:5" x14ac:dyDescent="0.2">
      <c r="A572" s="1" cm="1">
        <f t="array" ref="A572">INDEX(Data!$A:$A,717-(ROW()-5))</f>
        <v>45911</v>
      </c>
      <c r="B572" s="11" cm="1">
        <f t="array" ref="B572">(1+B571)*(1+INDEX(Data!$F:$F,717-(ROW()-5)))-1</f>
        <v>0.82941234316521406</v>
      </c>
      <c r="C572" s="11" cm="1">
        <f t="array" ref="C572">(1+C571)*(1+INDEX(Data!$G:$G,717-(ROW()-5)))-1</f>
        <v>0.6275633293124252</v>
      </c>
      <c r="D572" s="11" cm="1">
        <f t="array" ref="D572">(1+D571)*(1+INDEX(Data!$H:$H,717-(ROW()-5)))-1</f>
        <v>0.75267770204478834</v>
      </c>
      <c r="E572" s="11" cm="1">
        <f t="array" ref="E572">(1+E571)*(1+INDEX(Data!$I:$I,717-(ROW()-5)))-1</f>
        <v>0.11885421120136863</v>
      </c>
    </row>
    <row r="573" spans="1:5" x14ac:dyDescent="0.2">
      <c r="A573" s="1" cm="1">
        <f t="array" ref="A573">INDEX(Data!$A:$A,717-(ROW()-5))</f>
        <v>45914</v>
      </c>
      <c r="B573" s="11" cm="1">
        <f t="array" ref="B573">(1+B572)*(1+INDEX(Data!$F:$F,717-(ROW()-5)))-1</f>
        <v>0.81186188705003115</v>
      </c>
      <c r="C573" s="11" cm="1">
        <f t="array" ref="C573">(1+C572)*(1+INDEX(Data!$G:$G,717-(ROW()-5)))-1</f>
        <v>0.62726176115802224</v>
      </c>
      <c r="D573" s="11" cm="1">
        <f t="array" ref="D573">(1+D572)*(1+INDEX(Data!$H:$H,717-(ROW()-5)))-1</f>
        <v>0.7332035053554018</v>
      </c>
      <c r="E573" s="11" cm="1">
        <f t="array" ref="E573">(1+E572)*(1+INDEX(Data!$I:$I,717-(ROW()-5)))-1</f>
        <v>0.12355707567336527</v>
      </c>
    </row>
    <row r="574" spans="1:5" x14ac:dyDescent="0.2">
      <c r="A574" s="1" cm="1">
        <f t="array" ref="A574">INDEX(Data!$A:$A,717-(ROW()-5))</f>
        <v>45915</v>
      </c>
      <c r="B574" s="11" cm="1">
        <f t="array" ref="B574">(1+B573)*(1+INDEX(Data!$F:$F,717-(ROW()-5)))-1</f>
        <v>0.80185454061652228</v>
      </c>
      <c r="C574" s="11" cm="1">
        <f t="array" ref="C574">(1+C573)*(1+INDEX(Data!$G:$G,717-(ROW()-5)))-1</f>
        <v>0.59318455971049522</v>
      </c>
      <c r="D574" s="11" cm="1">
        <f t="array" ref="D574">(1+D573)*(1+INDEX(Data!$H:$H,717-(ROW()-5)))-1</f>
        <v>0.71651133676449907</v>
      </c>
      <c r="E574" s="11" cm="1">
        <f t="array" ref="E574">(1+E573)*(1+INDEX(Data!$I:$I,717-(ROW()-5)))-1</f>
        <v>0.12355707567336527</v>
      </c>
    </row>
    <row r="575" spans="1:5" x14ac:dyDescent="0.2">
      <c r="A575" s="1" cm="1">
        <f t="array" ref="A575">INDEX(Data!$A:$A,717-(ROW()-5))</f>
        <v>45916</v>
      </c>
      <c r="B575" s="11" cm="1">
        <f t="array" ref="B575">(1+B574)*(1+INDEX(Data!$F:$F,717-(ROW()-5)))-1</f>
        <v>0.7948725364863225</v>
      </c>
      <c r="C575" s="11" cm="1">
        <f t="array" ref="C575">(1+C574)*(1+INDEX(Data!$G:$G,717-(ROW()-5)))-1</f>
        <v>0.57448733413751585</v>
      </c>
      <c r="D575" s="11" cm="1">
        <f t="array" ref="D575">(1+D574)*(1+INDEX(Data!$H:$H,717-(ROW()-5)))-1</f>
        <v>0.72346640701070841</v>
      </c>
      <c r="E575" s="11" cm="1">
        <f t="array" ref="E575">(1+E574)*(1+INDEX(Data!$I:$I,717-(ROW()-5)))-1</f>
        <v>0.12355707567336527</v>
      </c>
    </row>
    <row r="576" spans="1:5" x14ac:dyDescent="0.2">
      <c r="A576" s="1" cm="1">
        <f t="array" ref="A576">INDEX(Data!$A:$A,717-(ROW()-5))</f>
        <v>45917</v>
      </c>
      <c r="B576" s="11" cm="1">
        <f t="array" ref="B576">(1+B575)*(1+INDEX(Data!$F:$F,717-(ROW()-5)))-1</f>
        <v>0.75919894951785438</v>
      </c>
      <c r="C576" s="11" cm="1">
        <f t="array" ref="C576">(1+C575)*(1+INDEX(Data!$G:$G,717-(ROW()-5)))-1</f>
        <v>0.55096501809408993</v>
      </c>
      <c r="D576" s="11" cm="1">
        <f t="array" ref="D576">(1+D575)*(1+INDEX(Data!$H:$H,717-(ROW()-5)))-1</f>
        <v>0.67617192933648407</v>
      </c>
      <c r="E576" s="11" cm="1">
        <f t="array" ref="E576">(1+E575)*(1+INDEX(Data!$I:$I,717-(ROW()-5)))-1</f>
        <v>0.12355707567336527</v>
      </c>
    </row>
    <row r="577" spans="1:5" x14ac:dyDescent="0.2">
      <c r="A577" s="1" cm="1">
        <f t="array" ref="A577">INDEX(Data!$A:$A,717-(ROW()-5))</f>
        <v>45918</v>
      </c>
      <c r="B577" s="11" cm="1">
        <f t="array" ref="B577">(1+B576)*(1+INDEX(Data!$F:$F,717-(ROW()-5)))-1</f>
        <v>0.78246458382743422</v>
      </c>
      <c r="C577" s="11" cm="1">
        <f t="array" ref="C577">(1+C576)*(1+INDEX(Data!$G:$G,717-(ROW()-5)))-1</f>
        <v>0.58655006031363155</v>
      </c>
      <c r="D577" s="11" cm="1">
        <f t="array" ref="D577">(1+D576)*(1+INDEX(Data!$H:$H,717-(ROW()-5)))-1</f>
        <v>0.65947976074558134</v>
      </c>
      <c r="E577" s="11" cm="1">
        <f t="array" ref="E577">(1+E576)*(1+INDEX(Data!$I:$I,717-(ROW()-5)))-1</f>
        <v>0.12355707567336527</v>
      </c>
    </row>
    <row r="578" spans="1:5" x14ac:dyDescent="0.2">
      <c r="A578" s="1" cm="1">
        <f t="array" ref="A578">INDEX(Data!$A:$A,717-(ROW()-5))</f>
        <v>45921</v>
      </c>
      <c r="B578" s="11" cm="1">
        <f t="array" ref="B578">(1+B577)*(1+INDEX(Data!$F:$F,717-(ROW()-5)))-1</f>
        <v>0.7533507256772316</v>
      </c>
      <c r="C578" s="11" cm="1">
        <f t="array" ref="C578">(1+C577)*(1+INDEX(Data!$G:$G,717-(ROW()-5)))-1</f>
        <v>0.53920386007237697</v>
      </c>
      <c r="D578" s="11" cm="1">
        <f t="array" ref="D578">(1+D577)*(1+INDEX(Data!$H:$H,717-(ROW()-5)))-1</f>
        <v>0.60244818472666362</v>
      </c>
      <c r="E578" s="11" cm="1">
        <f t="array" ref="E578">(1+E577)*(1+INDEX(Data!$I:$I,717-(ROW()-5)))-1</f>
        <v>0.13039760581445115</v>
      </c>
    </row>
    <row r="579" spans="1:5" x14ac:dyDescent="0.2">
      <c r="A579" s="1" cm="1">
        <f t="array" ref="A579">INDEX(Data!$A:$A,717-(ROW()-5))</f>
        <v>45925</v>
      </c>
      <c r="B579" s="11" cm="1">
        <f t="array" ref="B579">(1+B578)*(1+INDEX(Data!$F:$F,717-(ROW()-5)))-1</f>
        <v>0.77544787213734945</v>
      </c>
      <c r="C579" s="11" cm="1">
        <f t="array" ref="C579">(1+C578)*(1+INDEX(Data!$G:$G,717-(ROW()-5)))-1</f>
        <v>0.5575995174909536</v>
      </c>
      <c r="D579" s="11" cm="1">
        <f t="array" ref="D579">(1+D578)*(1+INDEX(Data!$H:$H,717-(ROW()-5)))-1</f>
        <v>0.63165947976074355</v>
      </c>
      <c r="E579" s="11" cm="1">
        <f t="array" ref="E579">(1+E578)*(1+INDEX(Data!$I:$I,717-(ROW()-5)))-1</f>
        <v>0.11329628046173634</v>
      </c>
    </row>
    <row r="580" spans="1:5" x14ac:dyDescent="0.2">
      <c r="A580" s="1" cm="1">
        <f t="array" ref="A580">INDEX(Data!$A:$A,717-(ROW()-5))</f>
        <v>45928</v>
      </c>
      <c r="B580" s="11" cm="1">
        <f t="array" ref="B580">(1+B579)*(1+INDEX(Data!$F:$F,717-(ROW()-5)))-1</f>
        <v>0.82870083818757112</v>
      </c>
      <c r="C580" s="11" cm="1">
        <f t="array" ref="C580">(1+C579)*(1+INDEX(Data!$G:$G,717-(ROW()-5)))-1</f>
        <v>0.59951749095295614</v>
      </c>
      <c r="D580" s="11" cm="1">
        <f t="array" ref="D580">(1+D579)*(1+INDEX(Data!$H:$H,717-(ROW()-5)))-1</f>
        <v>0.61635832521908274</v>
      </c>
      <c r="E580" s="11" cm="1">
        <f t="array" ref="E580">(1+E579)*(1+INDEX(Data!$I:$I,717-(ROW()-5)))-1</f>
        <v>0.13296280461735832</v>
      </c>
    </row>
    <row r="581" spans="1:5" x14ac:dyDescent="0.2">
      <c r="A581" s="1" cm="1">
        <f t="array" ref="A581">INDEX(Data!$A:$A,717-(ROW()-5))</f>
        <v>45929</v>
      </c>
      <c r="B581" s="11" cm="1">
        <f t="array" ref="B581">(1+B580)*(1+INDEX(Data!$F:$F,717-(ROW()-5)))-1</f>
        <v>0.82433347023537507</v>
      </c>
      <c r="C581" s="11" cm="1">
        <f t="array" ref="C581">(1+C580)*(1+INDEX(Data!$G:$G,717-(ROW()-5)))-1</f>
        <v>0.59529553679131553</v>
      </c>
      <c r="D581" s="11" cm="1">
        <f t="array" ref="D581">(1+D580)*(1+INDEX(Data!$H:$H,717-(ROW()-5)))-1</f>
        <v>0.60801224092363126</v>
      </c>
      <c r="E581" s="11" cm="1">
        <f t="array" ref="E581">(1+E580)*(1+INDEX(Data!$I:$I,717-(ROW()-5)))-1</f>
        <v>0.11158614792646482</v>
      </c>
    </row>
    <row r="582" spans="1:5" x14ac:dyDescent="0.2">
      <c r="A582" s="1" cm="1">
        <f t="array" ref="A582">INDEX(Data!$A:$A,717-(ROW()-5))</f>
        <v>45930</v>
      </c>
      <c r="B582" s="11" cm="1">
        <f t="array" ref="B582">(1+B581)*(1+INDEX(Data!$F:$F,717-(ROW()-5)))-1</f>
        <v>0.88001018088423288</v>
      </c>
      <c r="C582" s="11" cm="1">
        <f t="array" ref="C582">(1+C581)*(1+INDEX(Data!$G:$G,717-(ROW()-5)))-1</f>
        <v>0.669179734620025</v>
      </c>
      <c r="D582" s="11" cm="1">
        <f t="array" ref="D582">(1+D581)*(1+INDEX(Data!$H:$H,717-(ROW()-5)))-1</f>
        <v>0.73181249130615988</v>
      </c>
      <c r="E582" s="11" cm="1">
        <f t="array" ref="E582">(1+E581)*(1+INDEX(Data!$I:$I,717-(ROW()-5)))-1</f>
        <v>0.13039760581445092</v>
      </c>
    </row>
    <row r="583" spans="1:5" x14ac:dyDescent="0.2">
      <c r="A583" s="1" cm="1">
        <f t="array" ref="A583">INDEX(Data!$A:$A,717-(ROW()-5))</f>
        <v>45935</v>
      </c>
      <c r="B583" s="11" cm="1">
        <f t="array" ref="B583">(1+B582)*(1+INDEX(Data!$F:$F,717-(ROW()-5)))-1</f>
        <v>0.89168927478553606</v>
      </c>
      <c r="C583" s="11" cm="1">
        <f t="array" ref="C583">(1+C582)*(1+INDEX(Data!$G:$G,717-(ROW()-5)))-1</f>
        <v>0.71924004825090582</v>
      </c>
      <c r="D583" s="11" cm="1">
        <f t="array" ref="D583">(1+D582)*(1+INDEX(Data!$H:$H,717-(ROW()-5)))-1</f>
        <v>0.75824175824175599</v>
      </c>
      <c r="E583" s="11" cm="1">
        <f t="array" ref="E583">(1+E582)*(1+INDEX(Data!$I:$I,717-(ROW()-5)))-1</f>
        <v>0.15647712697734106</v>
      </c>
    </row>
    <row r="584" spans="1:5" x14ac:dyDescent="0.2">
      <c r="A584" s="1" cm="1">
        <f t="array" ref="A584">INDEX(Data!$A:$A,717-(ROW()-5))</f>
        <v>45938</v>
      </c>
      <c r="B584" s="11" cm="1">
        <f t="array" ref="B584">(1+B583)*(1+INDEX(Data!$F:$F,717-(ROW()-5)))-1</f>
        <v>0.88848461008948743</v>
      </c>
      <c r="C584" s="11" cm="1">
        <f t="array" ref="C584">(1+C583)*(1+INDEX(Data!$G:$G,717-(ROW()-5)))-1</f>
        <v>0.69360675512665959</v>
      </c>
      <c r="D584" s="11" cm="1">
        <f t="array" ref="D584">(1+D583)*(1+INDEX(Data!$H:$H,717-(ROW()-5)))-1</f>
        <v>0.89038809291973608</v>
      </c>
      <c r="E584" s="11" cm="1">
        <f t="array" ref="E584">(1+E583)*(1+INDEX(Data!$I:$I,717-(ROW()-5)))-1</f>
        <v>0.20265070542967134</v>
      </c>
    </row>
    <row r="585" spans="1:5" x14ac:dyDescent="0.2">
      <c r="A585" s="1" cm="1">
        <f t="array" ref="A585">INDEX(Data!$A:$A,717-(ROW()-5))</f>
        <v>45939</v>
      </c>
      <c r="B585" s="11" cm="1">
        <f t="array" ref="B585">(1+B584)*(1+INDEX(Data!$F:$F,717-(ROW()-5)))-1</f>
        <v>0.94254163461037854</v>
      </c>
      <c r="C585" s="11" cm="1">
        <f t="array" ref="C585">(1+C584)*(1+INDEX(Data!$G:$G,717-(ROW()-5)))-1</f>
        <v>0.77472858866103844</v>
      </c>
      <c r="D585" s="11" cm="1">
        <f t="array" ref="D585">(1+D584)*(1+INDEX(Data!$H:$H,717-(ROW()-5)))-1</f>
        <v>0.75267770204478834</v>
      </c>
      <c r="E585" s="11" cm="1">
        <f t="array" ref="E585">(1+E584)*(1+INDEX(Data!$I:$I,717-(ROW()-5)))-1</f>
        <v>0.28174433518597763</v>
      </c>
    </row>
    <row r="586" spans="1:5" x14ac:dyDescent="0.2">
      <c r="A586" s="1" cm="1">
        <f t="array" ref="A586">INDEX(Data!$A:$A,717-(ROW()-5))</f>
        <v>45942</v>
      </c>
      <c r="B586" s="11" cm="1">
        <f t="array" ref="B586">(1+B585)*(1+INDEX(Data!$F:$F,717-(ROW()-5)))-1</f>
        <v>0.92405985897161469</v>
      </c>
      <c r="C586" s="11" cm="1">
        <f t="array" ref="C586">(1+C585)*(1+INDEX(Data!$G:$G,717-(ROW()-5)))-1</f>
        <v>0.83775633293124341</v>
      </c>
      <c r="D586" s="11" cm="1">
        <f t="array" ref="D586">(1+D585)*(1+INDEX(Data!$H:$H,717-(ROW()-5)))-1</f>
        <v>0.72346640701070841</v>
      </c>
      <c r="E586" s="11" cm="1">
        <f t="array" ref="E586">(1+E585)*(1+INDEX(Data!$I:$I,717-(ROW()-5)))-1</f>
        <v>0.28259940145361351</v>
      </c>
    </row>
    <row r="587" spans="1:5" x14ac:dyDescent="0.2">
      <c r="A587" s="1" cm="1">
        <f t="array" ref="A587">INDEX(Data!$A:$A,717-(ROW()-5))</f>
        <v>45945</v>
      </c>
      <c r="B587" s="11" cm="1">
        <f t="array" ref="B587">(1+B586)*(1+INDEX(Data!$F:$F,717-(ROW()-5)))-1</f>
        <v>0.92353924557333977</v>
      </c>
      <c r="C587" s="11" cm="1">
        <f t="array" ref="C587">(1+C586)*(1+INDEX(Data!$G:$G,717-(ROW()-5)))-1</f>
        <v>0.74879372738238925</v>
      </c>
      <c r="D587" s="11" cm="1">
        <f t="array" ref="D587">(1+D586)*(1+INDEX(Data!$H:$H,717-(ROW()-5)))-1</f>
        <v>0.75128668799554621</v>
      </c>
      <c r="E587" s="11" cm="1">
        <f t="array" ref="E587">(1+E586)*(1+INDEX(Data!$I:$I,717-(ROW()-5)))-1</f>
        <v>0.28259940145361351</v>
      </c>
    </row>
    <row r="588" spans="1:5" x14ac:dyDescent="0.2">
      <c r="A588" s="1" cm="1">
        <f t="array" ref="A588">INDEX(Data!$A:$A,717-(ROW()-5))</f>
        <v>45946</v>
      </c>
      <c r="B588" s="11" cm="1">
        <f t="array" ref="B588">(1+B587)*(1+INDEX(Data!$F:$F,717-(ROW()-5)))-1</f>
        <v>0.90806545845794284</v>
      </c>
      <c r="C588" s="11" cm="1">
        <f t="array" ref="C588">(1+C587)*(1+INDEX(Data!$G:$G,717-(ROW()-5)))-1</f>
        <v>0.74125452352231691</v>
      </c>
      <c r="D588" s="11" cm="1">
        <f t="array" ref="D588">(1+D587)*(1+INDEX(Data!$H:$H,717-(ROW()-5)))-1</f>
        <v>0.74711364584782047</v>
      </c>
      <c r="E588" s="11" cm="1">
        <f t="array" ref="E588">(1+E587)*(1+INDEX(Data!$I:$I,717-(ROW()-5)))-1</f>
        <v>0.26720820863617023</v>
      </c>
    </row>
    <row r="589" spans="1:5" x14ac:dyDescent="0.2">
      <c r="A589" s="1" cm="1">
        <f t="array" ref="A589">INDEX(Data!$A:$A,717-(ROW()-5))</f>
        <v>45949</v>
      </c>
      <c r="B589" s="11" cm="1">
        <f t="array" ref="B589">(1+B588)*(1+INDEX(Data!$F:$F,717-(ROW()-5)))-1</f>
        <v>0.88321484558028107</v>
      </c>
      <c r="C589" s="11" cm="1">
        <f t="array" ref="C589">(1+C588)*(1+INDEX(Data!$G:$G,717-(ROW()-5)))-1</f>
        <v>0.72979493365500692</v>
      </c>
      <c r="D589" s="11" cm="1">
        <f t="array" ref="D589">(1+D588)*(1+INDEX(Data!$H:$H,717-(ROW()-5)))-1</f>
        <v>0.74572263179857856</v>
      </c>
      <c r="E589" s="11" cm="1">
        <f t="array" ref="E589">(1+E588)*(1+INDEX(Data!$I:$I,717-(ROW()-5)))-1</f>
        <v>0.26720820863617023</v>
      </c>
    </row>
    <row r="590" spans="1:5" x14ac:dyDescent="0.2">
      <c r="A590" s="1" cm="1">
        <f t="array" ref="A590">INDEX(Data!$A:$A,717-(ROW()-5))</f>
        <v>45950</v>
      </c>
      <c r="B590" s="11" cm="1">
        <f t="array" ref="B590">(1+B589)*(1+INDEX(Data!$F:$F,717-(ROW()-5)))-1</f>
        <v>0.89830684953694284</v>
      </c>
      <c r="C590" s="11" cm="1">
        <f t="array" ref="C590">(1+C589)*(1+INDEX(Data!$G:$G,717-(ROW()-5)))-1</f>
        <v>0.74728588661037487</v>
      </c>
      <c r="D590" s="11" cm="1">
        <f t="array" ref="D590">(1+D589)*(1+INDEX(Data!$H:$H,717-(ROW()-5)))-1</f>
        <v>0.76658784253720702</v>
      </c>
      <c r="E590" s="11" cm="1">
        <f t="array" ref="E590">(1+E589)*(1+INDEX(Data!$I:$I,717-(ROW()-5)))-1</f>
        <v>0.28986746472851754</v>
      </c>
    </row>
    <row r="591" spans="1:5" x14ac:dyDescent="0.2">
      <c r="A591" s="1" cm="1">
        <f t="array" ref="A591">INDEX(Data!$A:$A,717-(ROW()-5))</f>
        <v>45951</v>
      </c>
      <c r="B591" s="11" cm="1">
        <f t="array" ref="B591">(1+B590)*(1+INDEX(Data!$F:$F,717-(ROW()-5)))-1</f>
        <v>0.8797672279650377</v>
      </c>
      <c r="C591" s="11" cm="1">
        <f t="array" ref="C591">(1+C590)*(1+INDEX(Data!$G:$G,717-(ROW()-5)))-1</f>
        <v>0.71893848009650263</v>
      </c>
      <c r="D591" s="11" cm="1">
        <f t="array" ref="D591">(1+D590)*(1+INDEX(Data!$H:$H,717-(ROW()-5)))-1</f>
        <v>0.78745305327583548</v>
      </c>
      <c r="E591" s="11" cm="1">
        <f t="array" ref="E591">(1+E590)*(1+INDEX(Data!$I:$I,717-(ROW()-5)))-1</f>
        <v>0.32535271483540096</v>
      </c>
    </row>
    <row r="592" spans="1:5" x14ac:dyDescent="0.2">
      <c r="A592" s="1" cm="1">
        <f t="array" ref="A592">INDEX(Data!$A:$A,717-(ROW()-5))</f>
        <v>45952</v>
      </c>
      <c r="B592" s="11" cm="1">
        <f t="array" ref="B592">(1+B591)*(1+INDEX(Data!$F:$F,717-(ROW()-5)))-1</f>
        <v>0.88265374002880703</v>
      </c>
      <c r="C592" s="11" cm="1">
        <f t="array" ref="C592">(1+C591)*(1+INDEX(Data!$G:$G,717-(ROW()-5)))-1</f>
        <v>0.71592279855247365</v>
      </c>
      <c r="D592" s="11" cm="1">
        <f t="array" ref="D592">(1+D591)*(1+INDEX(Data!$H:$H,717-(ROW()-5)))-1</f>
        <v>0.80970927806370563</v>
      </c>
      <c r="E592" s="11" cm="1">
        <f t="array" ref="E592">(1+E591)*(1+INDEX(Data!$I:$I,717-(ROW()-5)))-1</f>
        <v>0.33561351004702988</v>
      </c>
    </row>
    <row r="593" spans="1:5" x14ac:dyDescent="0.2">
      <c r="A593" s="1" cm="1">
        <f t="array" ref="A593">INDEX(Data!$A:$A,717-(ROW()-5))</f>
        <v>45953</v>
      </c>
      <c r="B593" s="11" cm="1">
        <f t="array" ref="B593">(1+B592)*(1+INDEX(Data!$F:$F,717-(ROW()-5)))-1</f>
        <v>0.89562279823916957</v>
      </c>
      <c r="C593" s="11" cm="1">
        <f t="array" ref="C593">(1+C592)*(1+INDEX(Data!$G:$G,717-(ROW()-5)))-1</f>
        <v>0.7527141133896269</v>
      </c>
      <c r="D593" s="11" cm="1">
        <f t="array" ref="D593">(1+D592)*(1+INDEX(Data!$H:$H,717-(ROW()-5)))-1</f>
        <v>0.82222840450688284</v>
      </c>
      <c r="E593" s="11" cm="1">
        <f t="array" ref="E593">(1+E592)*(1+INDEX(Data!$I:$I,717-(ROW()-5)))-1</f>
        <v>0.32535271483540096</v>
      </c>
    </row>
    <row r="594" spans="1:5" x14ac:dyDescent="0.2">
      <c r="A594" s="1" cm="1">
        <f t="array" ref="A594">INDEX(Data!$A:$A,717-(ROW()-5))</f>
        <v>45956</v>
      </c>
      <c r="B594" s="11" cm="1">
        <f t="array" ref="B594">(1+B593)*(1+INDEX(Data!$F:$F,717-(ROW()-5)))-1</f>
        <v>0.9151862928276826</v>
      </c>
      <c r="C594" s="11" cm="1">
        <f t="array" ref="C594">(1+C593)*(1+INDEX(Data!$G:$G,717-(ROW()-5)))-1</f>
        <v>0.76447527141133964</v>
      </c>
      <c r="D594" s="11" cm="1">
        <f t="array" ref="D594">(1+D593)*(1+INDEX(Data!$H:$H,717-(ROW()-5)))-1</f>
        <v>0.77632494088190018</v>
      </c>
      <c r="E594" s="11" cm="1">
        <f t="array" ref="E594">(1+E593)*(1+INDEX(Data!$I:$I,717-(ROW()-5)))-1</f>
        <v>0.41085934159897519</v>
      </c>
    </row>
    <row r="595" spans="1:5" x14ac:dyDescent="0.2">
      <c r="A595" s="1" cm="1">
        <f t="array" ref="A595">INDEX(Data!$A:$A,717-(ROW()-5))</f>
        <v>45957</v>
      </c>
      <c r="B595" s="11" cm="1">
        <f t="array" ref="B595">(1+B594)*(1+INDEX(Data!$F:$F,717-(ROW()-5)))-1</f>
        <v>0.91485657100877482</v>
      </c>
      <c r="C595" s="11" cm="1">
        <f t="array" ref="C595">(1+C594)*(1+INDEX(Data!$G:$G,717-(ROW()-5)))-1</f>
        <v>0.75814234016887894</v>
      </c>
      <c r="D595" s="11" cm="1">
        <f t="array" ref="D595">(1+D594)*(1+INDEX(Data!$H:$H,717-(ROW()-5)))-1</f>
        <v>0.77632494088190018</v>
      </c>
      <c r="E595" s="11" cm="1">
        <f t="array" ref="E595">(1+E594)*(1+INDEX(Data!$I:$I,717-(ROW()-5)))-1</f>
        <v>0.42753313381787206</v>
      </c>
    </row>
    <row r="596" spans="1:5" x14ac:dyDescent="0.2">
      <c r="A596" s="1" cm="1">
        <f t="array" ref="A596">INDEX(Data!$A:$A,717-(ROW()-5))</f>
        <v>45958</v>
      </c>
      <c r="B596" s="11" cm="1">
        <f t="array" ref="B596">(1+B595)*(1+INDEX(Data!$F:$F,717-(ROW()-5)))-1</f>
        <v>0.89691276254822849</v>
      </c>
      <c r="C596" s="11" cm="1">
        <f t="array" ref="C596">(1+C595)*(1+INDEX(Data!$G:$G,717-(ROW()-5)))-1</f>
        <v>0.75241254523522394</v>
      </c>
      <c r="D596" s="11" cm="1">
        <f t="array" ref="D596">(1+D595)*(1+INDEX(Data!$H:$H,717-(ROW()-5)))-1</f>
        <v>0.76102378634023915</v>
      </c>
      <c r="E596" s="11" cm="1">
        <f t="array" ref="E596">(1+E595)*(1+INDEX(Data!$I:$I,717-(ROW()-5)))-1</f>
        <v>0.45959811885421242</v>
      </c>
    </row>
    <row r="597" spans="1:5" x14ac:dyDescent="0.2">
      <c r="A597" s="1" cm="1">
        <f t="array" ref="A597">INDEX(Data!$A:$A,717-(ROW()-5))</f>
        <v>45959</v>
      </c>
      <c r="B597" s="11" cm="1">
        <f t="array" ref="B597">(1+B596)*(1+INDEX(Data!$F:$F,717-(ROW()-5)))-1</f>
        <v>0.92620015849785631</v>
      </c>
      <c r="C597" s="11" cm="1">
        <f t="array" ref="C597">(1+C596)*(1+INDEX(Data!$G:$G,717-(ROW()-5)))-1</f>
        <v>0.76930036188178597</v>
      </c>
      <c r="D597" s="11" cm="1">
        <f t="array" ref="D597">(1+D596)*(1+INDEX(Data!$H:$H,717-(ROW()-5)))-1</f>
        <v>0.79579913757128651</v>
      </c>
      <c r="E597" s="11" cm="1">
        <f t="array" ref="E597">(1+E596)*(1+INDEX(Data!$I:$I,717-(ROW()-5)))-1</f>
        <v>0.51474989311671759</v>
      </c>
    </row>
    <row r="598" spans="1:5" x14ac:dyDescent="0.2">
      <c r="A598" s="1" cm="1">
        <f t="array" ref="A598">INDEX(Data!$A:$A,717-(ROW()-5))</f>
        <v>45960</v>
      </c>
      <c r="B598" s="11" cm="1">
        <f t="array" ref="B598">(1+B597)*(1+INDEX(Data!$F:$F,717-(ROW()-5)))-1</f>
        <v>0.93134266195415094</v>
      </c>
      <c r="C598" s="11" cm="1">
        <f t="array" ref="C598">(1+C597)*(1+INDEX(Data!$G:$G,717-(ROW()-5)))-1</f>
        <v>0.78317249698431923</v>
      </c>
      <c r="D598" s="11" cm="1">
        <f t="array" ref="D598">(1+D597)*(1+INDEX(Data!$H:$H,717-(ROW()-5)))-1</f>
        <v>0.7944081235220446</v>
      </c>
      <c r="E598" s="11" cm="1">
        <f t="array" ref="E598">(1+E597)*(1+INDEX(Data!$I:$I,717-(ROW()-5)))-1</f>
        <v>0.44890979050876556</v>
      </c>
    </row>
    <row r="599" spans="1:5" x14ac:dyDescent="0.2">
      <c r="A599" s="1" cm="1">
        <f t="array" ref="A599">INDEX(Data!$A:$A,717-(ROW()-5))</f>
        <v>45963</v>
      </c>
      <c r="B599" s="11" cm="1">
        <f t="array" ref="B599">(1+B598)*(1+INDEX(Data!$F:$F,717-(ROW()-5)))-1</f>
        <v>0.94557854610031589</v>
      </c>
      <c r="C599" s="11" cm="1">
        <f t="array" ref="C599">(1+C598)*(1+INDEX(Data!$G:$G,717-(ROW()-5)))-1</f>
        <v>0.80398069963811913</v>
      </c>
      <c r="D599" s="11" cm="1">
        <f t="array" ref="D599">(1+D598)*(1+INDEX(Data!$H:$H,717-(ROW()-5)))-1</f>
        <v>0.79858116566977033</v>
      </c>
      <c r="E599" s="11" cm="1">
        <f t="array" ref="E599">(1+E598)*(1+INDEX(Data!$I:$I,717-(ROW()-5)))-1</f>
        <v>0.45532278751603372</v>
      </c>
    </row>
    <row r="600" spans="1:5" x14ac:dyDescent="0.2">
      <c r="A600" s="1" cm="1">
        <f t="array" ref="A600">INDEX(Data!$A:$A,717-(ROW()-5))</f>
        <v>45964</v>
      </c>
      <c r="B600" s="11" cm="1">
        <f t="array" ref="B600">(1+B599)*(1+INDEX(Data!$F:$F,717-(ROW()-5)))-1</f>
        <v>0.9603408282380701</v>
      </c>
      <c r="C600" s="11" cm="1">
        <f t="array" ref="C600">(1+C599)*(1+INDEX(Data!$G:$G,717-(ROW()-5)))-1</f>
        <v>0.77020506634499486</v>
      </c>
      <c r="D600" s="11" cm="1">
        <f t="array" ref="D600">(1+D599)*(1+INDEX(Data!$H:$H,717-(ROW()-5)))-1</f>
        <v>0.79440812352204482</v>
      </c>
      <c r="E600" s="11" cm="1">
        <f t="array" ref="E600">(1+E599)*(1+INDEX(Data!$I:$I,717-(ROW()-5)))-1</f>
        <v>0.4536126549807622</v>
      </c>
    </row>
    <row r="601" spans="1:5" x14ac:dyDescent="0.2">
      <c r="A601" s="1" cm="1">
        <f t="array" ref="A601">INDEX(Data!$A:$A,717-(ROW()-5))</f>
        <v>45965</v>
      </c>
      <c r="B601" s="11" cm="1">
        <f t="array" ref="B601">(1+B600)*(1+INDEX(Data!$F:$F,717-(ROW()-5)))-1</f>
        <v>0.95647671990420635</v>
      </c>
      <c r="C601" s="11" cm="1">
        <f t="array" ref="C601">(1+C600)*(1+INDEX(Data!$G:$G,717-(ROW()-5)))-1</f>
        <v>0.73854041013269089</v>
      </c>
      <c r="D601" s="11" cm="1">
        <f t="array" ref="D601">(1+D600)*(1+INDEX(Data!$H:$H,717-(ROW()-5)))-1</f>
        <v>0.80553623591598011</v>
      </c>
      <c r="E601" s="11" cm="1">
        <f t="array" ref="E601">(1+E600)*(1+INDEX(Data!$I:$I,717-(ROW()-5)))-1</f>
        <v>0.42368533561351107</v>
      </c>
    </row>
    <row r="602" spans="1:5" x14ac:dyDescent="0.2">
      <c r="A602" s="1" cm="1">
        <f t="array" ref="A602">INDEX(Data!$A:$A,717-(ROW()-5))</f>
        <v>45966</v>
      </c>
      <c r="B602" s="11" cm="1">
        <f t="array" ref="B602">(1+B601)*(1+INDEX(Data!$F:$F,717-(ROW()-5)))-1</f>
        <v>0.97259259687747601</v>
      </c>
      <c r="C602" s="11" cm="1">
        <f t="array" ref="C602">(1+C601)*(1+INDEX(Data!$G:$G,717-(ROW()-5)))-1</f>
        <v>0.75784077201447642</v>
      </c>
      <c r="D602" s="11" cm="1">
        <f t="array" ref="D602">(1+D601)*(1+INDEX(Data!$H:$H,717-(ROW()-5)))-1</f>
        <v>0.80136319376825438</v>
      </c>
      <c r="E602" s="11" cm="1">
        <f t="array" ref="E602">(1+E601)*(1+INDEX(Data!$I:$I,717-(ROW()-5)))-1</f>
        <v>0.45446772124839785</v>
      </c>
    </row>
    <row r="603" spans="1:5" x14ac:dyDescent="0.2">
      <c r="A603" s="1" cm="1">
        <f t="array" ref="A603">INDEX(Data!$A:$A,717-(ROW()-5))</f>
        <v>45967</v>
      </c>
      <c r="B603" s="11" cm="1">
        <f t="array" ref="B603">(1+B602)*(1+INDEX(Data!$F:$F,717-(ROW()-5)))-1</f>
        <v>0.96059535034389376</v>
      </c>
      <c r="C603" s="11" cm="1">
        <f t="array" ref="C603">(1+C602)*(1+INDEX(Data!$G:$G,717-(ROW()-5)))-1</f>
        <v>0.75814234016887916</v>
      </c>
      <c r="D603" s="11" cm="1">
        <f t="array" ref="D603">(1+D602)*(1+INDEX(Data!$H:$H,717-(ROW()-5)))-1</f>
        <v>0.73459451940464349</v>
      </c>
      <c r="E603" s="11" cm="1">
        <f t="array" ref="E603">(1+E602)*(1+INDEX(Data!$I:$I,717-(ROW()-5)))-1</f>
        <v>0.43651132962804717</v>
      </c>
    </row>
    <row r="604" spans="1:5" x14ac:dyDescent="0.2">
      <c r="A604" s="1" cm="1">
        <f t="array" ref="A604">INDEX(Data!$A:$A,717-(ROW()-5))</f>
        <v>45970</v>
      </c>
      <c r="B604" s="11" cm="1">
        <f t="array" ref="B604">(1+B603)*(1+INDEX(Data!$F:$F,717-(ROW()-5)))-1</f>
        <v>0.96205885245237788</v>
      </c>
      <c r="C604" s="11" cm="1">
        <f t="array" ref="C604">(1+C603)*(1+INDEX(Data!$G:$G,717-(ROW()-5)))-1</f>
        <v>0.72949336550060417</v>
      </c>
      <c r="D604" s="11" cm="1">
        <f t="array" ref="D604">(1+D603)*(1+INDEX(Data!$H:$H,717-(ROW()-5)))-1</f>
        <v>0.71651133676449885</v>
      </c>
      <c r="E604" s="11" cm="1">
        <f t="array" ref="E604">(1+E603)*(1+INDEX(Data!$I:$I,717-(ROW()-5)))-1</f>
        <v>0.4638734501923909</v>
      </c>
    </row>
    <row r="605" spans="1:5" x14ac:dyDescent="0.2">
      <c r="A605" s="1" cm="1">
        <f t="array" ref="A605">INDEX(Data!$A:$A,717-(ROW()-5))</f>
        <v>45971</v>
      </c>
      <c r="B605" s="11" cm="1">
        <f t="array" ref="B605">(1+B604)*(1+INDEX(Data!$F:$F,717-(ROW()-5)))-1</f>
        <v>0.98342714015491106</v>
      </c>
      <c r="C605" s="11" cm="1">
        <f t="array" ref="C605">(1+C604)*(1+INDEX(Data!$G:$G,717-(ROW()-5)))-1</f>
        <v>0.7406513872135112</v>
      </c>
      <c r="D605" s="11" cm="1">
        <f t="array" ref="D605">(1+D604)*(1+INDEX(Data!$H:$H,717-(ROW()-5)))-1</f>
        <v>0.76241480038948128</v>
      </c>
      <c r="E605" s="11" cm="1">
        <f t="array" ref="E605">(1+E604)*(1+INDEX(Data!$I:$I,717-(ROW()-5)))-1</f>
        <v>0.48995297135528104</v>
      </c>
    </row>
    <row r="606" spans="1:5" x14ac:dyDescent="0.2">
      <c r="A606" s="1" cm="1">
        <f t="array" ref="A606">INDEX(Data!$A:$A,717-(ROW()-5))</f>
        <v>45972</v>
      </c>
      <c r="B606" s="11" cm="1">
        <f t="array" ref="B606">(1+B605)*(1+INDEX(Data!$F:$F,717-(ROW()-5)))-1</f>
        <v>0.98965136256095465</v>
      </c>
      <c r="C606" s="11" cm="1">
        <f t="array" ref="C606">(1+C605)*(1+INDEX(Data!$G:$G,717-(ROW()-5)))-1</f>
        <v>0.77623642943305282</v>
      </c>
      <c r="D606" s="11" cm="1">
        <f t="array" ref="D606">(1+D605)*(1+INDEX(Data!$H:$H,717-(ROW()-5)))-1</f>
        <v>0.72207539296146628</v>
      </c>
      <c r="E606" s="11" cm="1">
        <f t="array" ref="E606">(1+E605)*(1+INDEX(Data!$I:$I,717-(ROW()-5)))-1</f>
        <v>0.51346729371526401</v>
      </c>
    </row>
    <row r="607" spans="1:5" x14ac:dyDescent="0.2">
      <c r="A607" s="1" cm="1">
        <f t="array" ref="A607">INDEX(Data!$A:$A,717-(ROW()-5))</f>
        <v>45973</v>
      </c>
      <c r="B607" s="11" cm="1">
        <f t="array" ref="B607">(1+B606)*(1+INDEX(Data!$F:$F,717-(ROW()-5)))-1</f>
        <v>1.016474521758747</v>
      </c>
      <c r="C607" s="11" cm="1">
        <f t="array" ref="C607">(1+C606)*(1+INDEX(Data!$G:$G,717-(ROW()-5)))-1</f>
        <v>0.77714113389626149</v>
      </c>
      <c r="D607" s="11" cm="1">
        <f t="array" ref="D607">(1+D606)*(1+INDEX(Data!$H:$H,717-(ROW()-5)))-1</f>
        <v>0.73181249130615944</v>
      </c>
      <c r="E607" s="11" cm="1">
        <f t="array" ref="E607">(1+E606)*(1+INDEX(Data!$I:$I,717-(ROW()-5)))-1</f>
        <v>0.56220607097050146</v>
      </c>
    </row>
    <row r="608" spans="1:5" x14ac:dyDescent="0.2">
      <c r="A608" s="1" cm="1">
        <f t="array" ref="A608">INDEX(Data!$A:$A,717-(ROW()-5))</f>
        <v>45974</v>
      </c>
      <c r="B608" s="11" cm="1">
        <f t="array" ref="B608">(1+B607)*(1+INDEX(Data!$F:$F,717-(ROW()-5)))-1</f>
        <v>1.0195634945885121</v>
      </c>
      <c r="C608" s="11" cm="1">
        <f t="array" ref="C608">(1+C607)*(1+INDEX(Data!$G:$G,717-(ROW()-5)))-1</f>
        <v>0.82961399276236536</v>
      </c>
      <c r="D608" s="11" cm="1">
        <f t="array" ref="D608">(1+D607)*(1+INDEX(Data!$H:$H,717-(ROW()-5)))-1</f>
        <v>0.73181249130615944</v>
      </c>
      <c r="E608" s="11" cm="1">
        <f t="array" ref="E608">(1+E607)*(1+INDEX(Data!$I:$I,717-(ROW()-5)))-1</f>
        <v>0.58401026079521268</v>
      </c>
    </row>
    <row r="609" spans="1:5" x14ac:dyDescent="0.2">
      <c r="A609" s="1" cm="1">
        <f t="array" ref="A609">INDEX(Data!$A:$A,717-(ROW()-5))</f>
        <v>45977</v>
      </c>
      <c r="B609" s="11" cm="1">
        <f t="array" ref="B609">(1+B608)*(1+INDEX(Data!$F:$F,717-(ROW()-5)))-1</f>
        <v>1.0279222319274832</v>
      </c>
      <c r="C609" s="11" cm="1">
        <f t="array" ref="C609">(1+C608)*(1+INDEX(Data!$G:$G,717-(ROW()-5)))-1</f>
        <v>0.85072376357056778</v>
      </c>
      <c r="D609" s="11" cm="1">
        <f t="array" ref="D609">(1+D608)*(1+INDEX(Data!$H:$H,717-(ROW()-5)))-1</f>
        <v>0.75406871609402981</v>
      </c>
      <c r="E609" s="11" cm="1">
        <f t="array" ref="E609">(1+E608)*(1+INDEX(Data!$I:$I,717-(ROW()-5)))-1</f>
        <v>0.57332193244976604</v>
      </c>
    </row>
    <row r="610" spans="1:5" x14ac:dyDescent="0.2">
      <c r="A610" s="1" cm="1">
        <f t="array" ref="A610">INDEX(Data!$A:$A,717-(ROW()-5))</f>
        <v>45978</v>
      </c>
      <c r="B610" s="11" cm="1">
        <f t="array" ref="B610">(1+B609)*(1+INDEX(Data!$F:$F,717-(ROW()-5)))-1</f>
        <v>1.0233697569892337</v>
      </c>
      <c r="C610" s="11" cm="1">
        <f t="array" ref="C610">(1+C609)*(1+INDEX(Data!$G:$G,717-(ROW()-5)))-1</f>
        <v>0.83172496984318545</v>
      </c>
      <c r="D610" s="11" cm="1">
        <f t="array" ref="D610">(1+D609)*(1+INDEX(Data!$H:$H,717-(ROW()-5)))-1</f>
        <v>0.74154958965085283</v>
      </c>
      <c r="E610" s="11" cm="1">
        <f t="array" ref="E610">(1+E609)*(1+INDEX(Data!$I:$I,717-(ROW()-5)))-1</f>
        <v>0.6224882428388212</v>
      </c>
    </row>
    <row r="611" spans="1:5" x14ac:dyDescent="0.2">
      <c r="A611" s="1" cm="1">
        <f t="array" ref="A611">INDEX(Data!$A:$A,717-(ROW()-5))</f>
        <v>45979</v>
      </c>
      <c r="B611" s="11" cm="1">
        <f t="array" ref="B611">(1+B610)*(1+INDEX(Data!$F:$F,717-(ROW()-5)))-1</f>
        <v>0.98495427278985015</v>
      </c>
      <c r="C611" s="11" cm="1">
        <f t="array" ref="C611">(1+C610)*(1+INDEX(Data!$G:$G,717-(ROW()-5)))-1</f>
        <v>0.79402895054282352</v>
      </c>
      <c r="D611" s="11" cm="1">
        <f t="array" ref="D611">(1+D610)*(1+INDEX(Data!$H:$H,717-(ROW()-5)))-1</f>
        <v>0.68034497148420936</v>
      </c>
      <c r="E611" s="11" cm="1">
        <f t="array" ref="E611">(1+E610)*(1+INDEX(Data!$I:$I,717-(ROW()-5)))-1</f>
        <v>0.64172723386062525</v>
      </c>
    </row>
    <row r="612" spans="1:5" x14ac:dyDescent="0.2">
      <c r="A612" s="1" cm="1">
        <f t="array" ref="A612">INDEX(Data!$A:$A,717-(ROW()-5))</f>
        <v>45980</v>
      </c>
      <c r="B612" s="11" cm="1">
        <f t="array" ref="B612">(1+B611)*(1+INDEX(Data!$F:$F,717-(ROW()-5)))-1</f>
        <v>0.98892828839668323</v>
      </c>
      <c r="C612" s="11" cm="1">
        <f t="array" ref="C612">(1+C611)*(1+INDEX(Data!$G:$G,717-(ROW()-5)))-1</f>
        <v>0.77472858866103822</v>
      </c>
      <c r="D612" s="11" cm="1">
        <f t="array" ref="D612">(1+D611)*(1+INDEX(Data!$H:$H,717-(ROW()-5)))-1</f>
        <v>0.70260119627207973</v>
      </c>
      <c r="E612" s="11" cm="1">
        <f t="array" ref="E612">(1+E611)*(1+INDEX(Data!$I:$I,717-(ROW()-5)))-1</f>
        <v>0.61308251389482793</v>
      </c>
    </row>
    <row r="613" spans="1:5" x14ac:dyDescent="0.2">
      <c r="A613" s="1" cm="1">
        <f t="array" ref="A613">INDEX(Data!$A:$A,717-(ROW()-5))</f>
        <v>45981</v>
      </c>
      <c r="B613" s="11" cm="1">
        <f t="array" ref="B613">(1+B612)*(1+INDEX(Data!$F:$F,717-(ROW()-5)))-1</f>
        <v>0.96693526461622015</v>
      </c>
      <c r="C613" s="11" cm="1">
        <f t="array" ref="C613">(1+C612)*(1+INDEX(Data!$G:$G,717-(ROW()-5)))-1</f>
        <v>0.75542822677925292</v>
      </c>
      <c r="D613" s="11" cm="1">
        <f t="array" ref="D613">(1+D612)*(1+INDEX(Data!$H:$H,717-(ROW()-5)))-1</f>
        <v>0.73042147725691753</v>
      </c>
      <c r="E613" s="11" cm="1">
        <f t="array" ref="E613">(1+E612)*(1+INDEX(Data!$I:$I,717-(ROW()-5)))-1</f>
        <v>0.61308251389482793</v>
      </c>
    </row>
    <row r="614" spans="1:5" x14ac:dyDescent="0.2">
      <c r="A614" s="1" cm="1">
        <f t="array" ref="A614">INDEX(Data!$A:$A,717-(ROW()-5))</f>
        <v>45984</v>
      </c>
      <c r="B614" s="11" cm="1">
        <f t="array" ref="B614">(1+B613)*(1+INDEX(Data!$F:$F,717-(ROW()-5)))-1</f>
        <v>0.94331677011447579</v>
      </c>
      <c r="C614" s="11" cm="1">
        <f t="array" ref="C614">(1+C613)*(1+INDEX(Data!$G:$G,717-(ROW()-5)))-1</f>
        <v>0.7313027744270213</v>
      </c>
      <c r="D614" s="11" cm="1">
        <f t="array" ref="D614">(1+D613)*(1+INDEX(Data!$H:$H,717-(ROW()-5)))-1</f>
        <v>0.7944081235220446</v>
      </c>
      <c r="E614" s="11" cm="1">
        <f t="array" ref="E614">(1+E613)*(1+INDEX(Data!$I:$I,717-(ROW()-5)))-1</f>
        <v>0.56733646857631559</v>
      </c>
    </row>
    <row r="615" spans="1:5" x14ac:dyDescent="0.2">
      <c r="A615" s="1" cm="1">
        <f t="array" ref="A615">INDEX(Data!$A:$A,717-(ROW()-5))</f>
        <v>45985</v>
      </c>
      <c r="B615" s="11" cm="1">
        <f t="array" ref="B615">(1+B614)*(1+INDEX(Data!$F:$F,717-(ROW()-5)))-1</f>
        <v>0.97311321027575048</v>
      </c>
      <c r="C615" s="11" cm="1">
        <f t="array" ref="C615">(1+C614)*(1+INDEX(Data!$G:$G,717-(ROW()-5)))-1</f>
        <v>0.7521109770808212</v>
      </c>
      <c r="D615" s="11" cm="1">
        <f t="array" ref="D615">(1+D614)*(1+INDEX(Data!$H:$H,717-(ROW()-5)))-1</f>
        <v>0.77493392683265805</v>
      </c>
      <c r="E615" s="11" cm="1">
        <f t="array" ref="E615">(1+E614)*(1+INDEX(Data!$I:$I,717-(ROW()-5)))-1</f>
        <v>0.56733646857631559</v>
      </c>
    </row>
    <row r="616" spans="1:5" x14ac:dyDescent="0.2">
      <c r="A616" s="1" cm="1">
        <f t="array" ref="A616">INDEX(Data!$A:$A,717-(ROW()-5))</f>
        <v>45986</v>
      </c>
      <c r="B616" s="11" cm="1">
        <f t="array" ref="B616">(1+B615)*(1+INDEX(Data!$F:$F,717-(ROW()-5)))-1</f>
        <v>0.96060691953052135</v>
      </c>
      <c r="C616" s="11" cm="1">
        <f t="array" ref="C616">(1+C615)*(1+INDEX(Data!$G:$G,717-(ROW()-5)))-1</f>
        <v>0.78588661037394525</v>
      </c>
      <c r="D616" s="11" cm="1">
        <f t="array" ref="D616">(1+D615)*(1+INDEX(Data!$H:$H,717-(ROW()-5)))-1</f>
        <v>0.71372930866601481</v>
      </c>
      <c r="E616" s="11" cm="1">
        <f t="array" ref="E616">(1+E615)*(1+INDEX(Data!$I:$I,717-(ROW()-5)))-1</f>
        <v>0.5079093629756315</v>
      </c>
    </row>
    <row r="617" spans="1:5" x14ac:dyDescent="0.2">
      <c r="A617" s="1" cm="1">
        <f t="array" ref="A617">INDEX(Data!$A:$A,717-(ROW()-5))</f>
        <v>45987</v>
      </c>
      <c r="B617" s="11" cm="1">
        <f t="array" ref="B617">(1+B616)*(1+INDEX(Data!$F:$F,717-(ROW()-5)))-1</f>
        <v>0.97801276081284994</v>
      </c>
      <c r="C617" s="11" cm="1">
        <f t="array" ref="C617">(1+C616)*(1+INDEX(Data!$G:$G,717-(ROW()-5)))-1</f>
        <v>0.75331724969843261</v>
      </c>
      <c r="D617" s="11" cm="1">
        <f t="array" ref="D617">(1+D616)*(1+INDEX(Data!$H:$H,717-(ROW()-5)))-1</f>
        <v>0.77910696898038378</v>
      </c>
      <c r="E617" s="11" cm="1">
        <f t="array" ref="E617">(1+E616)*(1+INDEX(Data!$I:$I,717-(ROW()-5)))-1</f>
        <v>0.48140230867892364</v>
      </c>
    </row>
    <row r="618" spans="1:5" x14ac:dyDescent="0.2">
      <c r="A618" s="1" cm="1">
        <f t="array" ref="A618">INDEX(Data!$A:$A,717-(ROW()-5))</f>
        <v>45988</v>
      </c>
      <c r="B618" s="11" cm="1">
        <f t="array" ref="B618">(1+B617)*(1+INDEX(Data!$F:$F,717-(ROW()-5)))-1</f>
        <v>0.98908447241616604</v>
      </c>
      <c r="C618" s="11" cm="1">
        <f t="array" ref="C618">(1+C617)*(1+INDEX(Data!$G:$G,717-(ROW()-5)))-1</f>
        <v>0.77714113389626149</v>
      </c>
      <c r="D618" s="11" cm="1">
        <f t="array" ref="D618">(1+D617)*(1+INDEX(Data!$H:$H,717-(ROW()-5)))-1</f>
        <v>0.80692724996522158</v>
      </c>
      <c r="E618" s="11" cm="1">
        <f t="array" ref="E618">(1+E617)*(1+INDEX(Data!$I:$I,717-(ROW()-5)))-1</f>
        <v>0.48268490808037723</v>
      </c>
    </row>
    <row r="619" spans="1:5" x14ac:dyDescent="0.2">
      <c r="A619" s="1" cm="1">
        <f t="array" ref="A619">INDEX(Data!$A:$A,717-(ROW()-5))</f>
        <v>45991</v>
      </c>
      <c r="B619" s="11" cm="1">
        <f t="array" ref="B619">(1+B618)*(1+INDEX(Data!$F:$F,717-(ROW()-5)))-1</f>
        <v>1.0128533663440784</v>
      </c>
      <c r="C619" s="11" cm="1">
        <f t="array" ref="C619">(1+C618)*(1+INDEX(Data!$G:$G,717-(ROW()-5)))-1</f>
        <v>0.79734620024125524</v>
      </c>
      <c r="D619" s="11" cm="1">
        <f t="array" ref="D619">(1+D618)*(1+INDEX(Data!$H:$H,717-(ROW()-5)))-1</f>
        <v>0.85143969954096232</v>
      </c>
      <c r="E619" s="11" cm="1">
        <f t="array" ref="E619">(1+E618)*(1+INDEX(Data!$I:$I,717-(ROW()-5)))-1</f>
        <v>0.43266353142368619</v>
      </c>
    </row>
    <row r="620" spans="1:5" x14ac:dyDescent="0.2">
      <c r="A620" s="1" cm="1">
        <f t="array" ref="A620">INDEX(Data!$A:$A,717-(ROW()-5))</f>
        <v>45992</v>
      </c>
      <c r="B620" s="11" cm="1">
        <f t="array" ref="B620">(1+B619)*(1+INDEX(Data!$F:$F,717-(ROW()-5)))-1</f>
        <v>1.0114708485419923</v>
      </c>
      <c r="C620" s="11" cm="1">
        <f t="array" ref="C620">(1+C619)*(1+INDEX(Data!$G:$G,717-(ROW()-5)))-1</f>
        <v>0.79975874547647829</v>
      </c>
      <c r="D620" s="11" cm="1">
        <f t="array" ref="D620">(1+D619)*(1+INDEX(Data!$H:$H,717-(ROW()-5)))-1</f>
        <v>0.79301710947280268</v>
      </c>
      <c r="E620" s="11" cm="1">
        <f t="array" ref="E620">(1+E619)*(1+INDEX(Data!$I:$I,717-(ROW()-5)))-1</f>
        <v>0.43266353142368619</v>
      </c>
    </row>
    <row r="621" spans="1:5" x14ac:dyDescent="0.2">
      <c r="A621" s="1" cm="1">
        <f t="array" ref="A621">INDEX(Data!$A:$A,717-(ROW()-5))</f>
        <v>45993</v>
      </c>
      <c r="B621" s="11" cm="1">
        <f t="array" ref="B621">(1+B620)*(1+INDEX(Data!$F:$F,717-(ROW()-5)))-1</f>
        <v>1.046681668045327</v>
      </c>
      <c r="C621" s="11" cm="1">
        <f t="array" ref="C621">(1+C620)*(1+INDEX(Data!$G:$G,717-(ROW()-5)))-1</f>
        <v>0.85464414957780543</v>
      </c>
      <c r="D621" s="11" cm="1">
        <f t="array" ref="D621">(1+D620)*(1+INDEX(Data!$H:$H,717-(ROW()-5)))-1</f>
        <v>0.87786896647655843</v>
      </c>
      <c r="E621" s="11" cm="1">
        <f t="array" ref="E621">(1+E620)*(1+INDEX(Data!$I:$I,717-(ROW()-5)))-1</f>
        <v>0.47969217614365212</v>
      </c>
    </row>
    <row r="622" spans="1:5" x14ac:dyDescent="0.2">
      <c r="A622" s="1" cm="1">
        <f t="array" ref="A622">INDEX(Data!$A:$A,717-(ROW()-5))</f>
        <v>45994</v>
      </c>
      <c r="B622" s="11" cm="1">
        <f t="array" ref="B622">(1+B621)*(1+INDEX(Data!$F:$F,717-(ROW()-5)))-1</f>
        <v>1.0310864044703325</v>
      </c>
      <c r="C622" s="11" cm="1">
        <f t="array" ref="C622">(1+C621)*(1+INDEX(Data!$G:$G,717-(ROW()-5)))-1</f>
        <v>0.88962605548854112</v>
      </c>
      <c r="D622" s="11" cm="1">
        <f t="array" ref="D622">(1+D621)*(1+INDEX(Data!$H:$H,717-(ROW()-5)))-1</f>
        <v>0.91542634580608961</v>
      </c>
      <c r="E622" s="11" cm="1">
        <f t="array" ref="E622">(1+E621)*(1+INDEX(Data!$I:$I,717-(ROW()-5)))-1</f>
        <v>0.47498931167165548</v>
      </c>
    </row>
    <row r="623" spans="1:5" x14ac:dyDescent="0.2">
      <c r="A623" s="1" cm="1">
        <f t="array" ref="A623">INDEX(Data!$A:$A,717-(ROW()-5))</f>
        <v>45995</v>
      </c>
      <c r="B623" s="11" cm="1">
        <f t="array" ref="B623">(1+B622)*(1+INDEX(Data!$F:$F,717-(ROW()-5)))-1</f>
        <v>1.0452586580900416</v>
      </c>
      <c r="C623" s="11" cm="1">
        <f t="array" ref="C623">(1+C622)*(1+INDEX(Data!$G:$G,717-(ROW()-5)))-1</f>
        <v>0.90289505428226846</v>
      </c>
      <c r="D623" s="11" cm="1">
        <f t="array" ref="D623">(1+D622)*(1+INDEX(Data!$H:$H,717-(ROW()-5)))-1</f>
        <v>0.89734316316594498</v>
      </c>
      <c r="E623" s="11" cm="1">
        <f t="array" ref="E623">(1+E622)*(1+INDEX(Data!$I:$I,717-(ROW()-5)))-1</f>
        <v>0.47498931167165548</v>
      </c>
    </row>
    <row r="624" spans="1:5" x14ac:dyDescent="0.2">
      <c r="A624" s="1" cm="1">
        <f t="array" ref="A624">INDEX(Data!$A:$A,717-(ROW()-5))</f>
        <v>45998</v>
      </c>
      <c r="B624" s="11" cm="1">
        <f t="array" ref="B624">(1+B623)*(1+INDEX(Data!$F:$F,717-(ROW()-5)))-1</f>
        <v>1.0635726805226948</v>
      </c>
      <c r="C624" s="11" cm="1">
        <f t="array" ref="C624">(1+C623)*(1+INDEX(Data!$G:$G,717-(ROW()-5)))-1</f>
        <v>0.88027744270205144</v>
      </c>
      <c r="D624" s="11" cm="1">
        <f t="array" ref="D624">(1+D623)*(1+INDEX(Data!$H:$H,717-(ROW()-5)))-1</f>
        <v>0.92516344415078278</v>
      </c>
      <c r="E624" s="11" cm="1">
        <f t="array" ref="E624">(1+E623)*(1+INDEX(Data!$I:$I,717-(ROW()-5)))-1</f>
        <v>0.47498931167165548</v>
      </c>
    </row>
    <row r="625" spans="1:5" x14ac:dyDescent="0.2">
      <c r="A625" s="1" cm="1">
        <f t="array" ref="A625">INDEX(Data!$A:$A,717-(ROW()-5))</f>
        <v>45999</v>
      </c>
      <c r="B625" s="11" cm="1">
        <f t="array" ref="B625">(1+B624)*(1+INDEX(Data!$F:$F,717-(ROW()-5)))-1</f>
        <v>1.0667657760321152</v>
      </c>
      <c r="C625" s="11" cm="1">
        <f t="array" ref="C625">(1+C624)*(1+INDEX(Data!$G:$G,717-(ROW()-5)))-1</f>
        <v>0.8612786489746691</v>
      </c>
      <c r="D625" s="11" cm="1">
        <f t="array" ref="D625">(1+D624)*(1+INDEX(Data!$H:$H,717-(ROW()-5)))-1</f>
        <v>0.98080400612045859</v>
      </c>
      <c r="E625" s="11" cm="1">
        <f t="array" ref="E625">(1+E624)*(1+INDEX(Data!$I:$I,717-(ROW()-5)))-1</f>
        <v>0.47498931167165548</v>
      </c>
    </row>
    <row r="626" spans="1:5" x14ac:dyDescent="0.2">
      <c r="A626" s="1" cm="1">
        <f t="array" ref="A626">INDEX(Data!$A:$A,717-(ROW()-5))</f>
        <v>46000</v>
      </c>
      <c r="B626" s="11" cm="1">
        <f t="array" ref="B626">(1+B625)*(1+INDEX(Data!$F:$F,717-(ROW()-5)))-1</f>
        <v>1.0753038357638256</v>
      </c>
      <c r="C626" s="11" cm="1">
        <f t="array" ref="C626">(1+C625)*(1+INDEX(Data!$G:$G,717-(ROW()-5)))-1</f>
        <v>0.86942098914354737</v>
      </c>
      <c r="D626" s="11" cm="1">
        <f t="array" ref="D626">(1+D625)*(1+INDEX(Data!$H:$H,717-(ROW()-5)))-1</f>
        <v>0.90151620531367072</v>
      </c>
      <c r="E626" s="11" cm="1">
        <f t="array" ref="E626">(1+E625)*(1+INDEX(Data!$I:$I,717-(ROW()-5)))-1</f>
        <v>0.47498931167165548</v>
      </c>
    </row>
    <row r="627" spans="1:5" x14ac:dyDescent="0.2">
      <c r="A627" s="1" cm="1">
        <f t="array" ref="A627">INDEX(Data!$A:$A,717-(ROW()-5))</f>
        <v>46001</v>
      </c>
      <c r="B627" s="11" cm="1">
        <f t="array" ref="B627">(1+B626)*(1+INDEX(Data!$F:$F,717-(ROW()-5)))-1</f>
        <v>1.0883249553140155</v>
      </c>
      <c r="C627" s="11" cm="1">
        <f t="array" ref="C627">(1+C626)*(1+INDEX(Data!$G:$G,717-(ROW()-5)))-1</f>
        <v>0.83956574185766075</v>
      </c>
      <c r="D627" s="11" cm="1">
        <f t="array" ref="D627">(1+D626)*(1+INDEX(Data!$H:$H,717-(ROW()-5)))-1</f>
        <v>0.92099040200305704</v>
      </c>
      <c r="E627" s="11" cm="1">
        <f t="array" ref="E627">(1+E626)*(1+INDEX(Data!$I:$I,717-(ROW()-5)))-1</f>
        <v>0.47498931167165548</v>
      </c>
    </row>
    <row r="628" spans="1:5" x14ac:dyDescent="0.2">
      <c r="A628" s="1" cm="1">
        <f t="array" ref="A628">INDEX(Data!$A:$A,717-(ROW()-5))</f>
        <v>46002</v>
      </c>
      <c r="B628" s="11" cm="1">
        <f t="array" ref="B628">(1+B627)*(1+INDEX(Data!$F:$F,717-(ROW()-5)))-1</f>
        <v>1.1102774869412793</v>
      </c>
      <c r="C628" s="11" cm="1">
        <f t="array" ref="C628">(1+C627)*(1+INDEX(Data!$G:$G,717-(ROW()-5)))-1</f>
        <v>0.87092882991556198</v>
      </c>
      <c r="D628" s="11" cm="1">
        <f t="array" ref="D628">(1+D627)*(1+INDEX(Data!$H:$H,717-(ROW()-5)))-1</f>
        <v>0.92655445820002447</v>
      </c>
      <c r="E628" s="11" cm="1">
        <f t="array" ref="E628">(1+E627)*(1+INDEX(Data!$I:$I,717-(ROW()-5)))-1</f>
        <v>0.47498931167165548</v>
      </c>
    </row>
    <row r="629" spans="1:5" x14ac:dyDescent="0.2">
      <c r="A629" s="1" cm="1">
        <f t="array" ref="A629">INDEX(Data!$A:$A,717-(ROW()-5))</f>
        <v>46005</v>
      </c>
      <c r="B629" s="11" cm="1">
        <f t="array" ref="B629">(1+B628)*(1+INDEX(Data!$F:$F,717-(ROW()-5)))-1</f>
        <v>1.1010684143851255</v>
      </c>
      <c r="C629" s="11" cm="1">
        <f t="array" ref="C629">(1+C628)*(1+INDEX(Data!$G:$G,717-(ROW()-5)))-1</f>
        <v>0.87816646562123157</v>
      </c>
      <c r="D629" s="11" cm="1">
        <f t="array" ref="D629">(1+D628)*(1+INDEX(Data!$H:$H,717-(ROW()-5)))-1</f>
        <v>0.91542634580608939</v>
      </c>
      <c r="E629" s="11" cm="1">
        <f t="array" ref="E629">(1+E628)*(1+INDEX(Data!$I:$I,717-(ROW()-5)))-1</f>
        <v>0.47498931167165548</v>
      </c>
    </row>
    <row r="630" spans="1:5" x14ac:dyDescent="0.2">
      <c r="A630" s="1" cm="1">
        <f t="array" ref="A630">INDEX(Data!$A:$A,717-(ROW()-5))</f>
        <v>46006</v>
      </c>
      <c r="B630" s="11" cm="1">
        <f t="array" ref="B630">(1+B629)*(1+INDEX(Data!$F:$F,717-(ROW()-5)))-1</f>
        <v>1.0864796700467965</v>
      </c>
      <c r="C630" s="11" cm="1">
        <f t="array" ref="C630">(1+C629)*(1+INDEX(Data!$G:$G,717-(ROW()-5)))-1</f>
        <v>0.87756332931242564</v>
      </c>
      <c r="D630" s="11" cm="1">
        <f t="array" ref="D630">(1+D629)*(1+INDEX(Data!$H:$H,717-(ROW()-5)))-1</f>
        <v>0.92099040200305704</v>
      </c>
      <c r="E630" s="11" cm="1">
        <f t="array" ref="E630">(1+E629)*(1+INDEX(Data!$I:$I,717-(ROW()-5)))-1</f>
        <v>0.40487387772552452</v>
      </c>
    </row>
    <row r="631" spans="1:5" x14ac:dyDescent="0.2">
      <c r="A631" s="1" cm="1">
        <f t="array" ref="A631">INDEX(Data!$A:$A,717-(ROW()-5))</f>
        <v>46007</v>
      </c>
      <c r="B631" s="11" cm="1">
        <f t="array" ref="B631">(1+B630)*(1+INDEX(Data!$F:$F,717-(ROW()-5)))-1</f>
        <v>1.098621531413233</v>
      </c>
      <c r="C631" s="11" cm="1">
        <f t="array" ref="C631">(1+C630)*(1+INDEX(Data!$G:$G,717-(ROW()-5)))-1</f>
        <v>0.88268998793727493</v>
      </c>
      <c r="D631" s="11" cm="1">
        <f t="array" ref="D631">(1+D630)*(1+INDEX(Data!$H:$H,717-(ROW()-5)))-1</f>
        <v>0.97106690777576543</v>
      </c>
      <c r="E631" s="11" cm="1">
        <f t="array" ref="E631">(1+E630)*(1+INDEX(Data!$I:$I,717-(ROW()-5)))-1</f>
        <v>0.40872167592988529</v>
      </c>
    </row>
    <row r="632" spans="1:5" x14ac:dyDescent="0.2">
      <c r="A632" s="1" cm="1">
        <f t="array" ref="A632">INDEX(Data!$A:$A,717-(ROW()-5))</f>
        <v>46008</v>
      </c>
      <c r="B632" s="11" cm="1">
        <f t="array" ref="B632">(1+B631)*(1+INDEX(Data!$F:$F,717-(ROW()-5)))-1</f>
        <v>1.1149745767123833</v>
      </c>
      <c r="C632" s="11" cm="1">
        <f t="array" ref="C632">(1+C631)*(1+INDEX(Data!$G:$G,717-(ROW()-5)))-1</f>
        <v>0.88721351025331852</v>
      </c>
      <c r="D632" s="11" cm="1">
        <f t="array" ref="D632">(1+D631)*(1+INDEX(Data!$H:$H,717-(ROW()-5)))-1</f>
        <v>0.95715676728334653</v>
      </c>
      <c r="E632" s="11" cm="1">
        <f t="array" ref="E632">(1+E631)*(1+INDEX(Data!$I:$I,717-(ROW()-5)))-1</f>
        <v>0.40872167592988529</v>
      </c>
    </row>
    <row r="633" spans="1:5" x14ac:dyDescent="0.2">
      <c r="A633" s="1" cm="1">
        <f t="array" ref="A633">INDEX(Data!$A:$A,717-(ROW()-5))</f>
        <v>46009</v>
      </c>
      <c r="B633" s="11" cm="1">
        <f t="array" ref="B633">(1+B632)*(1+INDEX(Data!$F:$F,717-(ROW()-5)))-1</f>
        <v>1.1311309458388519</v>
      </c>
      <c r="C633" s="11" cm="1">
        <f t="array" ref="C633">(1+C632)*(1+INDEX(Data!$G:$G,717-(ROW()-5)))-1</f>
        <v>0.95205066344994105</v>
      </c>
      <c r="D633" s="11" cm="1">
        <f t="array" ref="D633">(1+D632)*(1+INDEX(Data!$H:$H,717-(ROW()-5)))-1</f>
        <v>1.0225344275977157</v>
      </c>
      <c r="E633" s="11" cm="1">
        <f t="array" ref="E633">(1+E632)*(1+INDEX(Data!$I:$I,717-(ROW()-5)))-1</f>
        <v>0.40957674219752116</v>
      </c>
    </row>
    <row r="634" spans="1:5" x14ac:dyDescent="0.2">
      <c r="A634" s="1" cm="1">
        <f t="array" ref="A634">INDEX(Data!$A:$A,717-(ROW()-5))</f>
        <v>46012</v>
      </c>
      <c r="B634" s="11" cm="1">
        <f t="array" ref="B634">(1+B633)*(1+INDEX(Data!$F:$F,717-(ROW()-5)))-1</f>
        <v>1.1428331781134116</v>
      </c>
      <c r="C634" s="11" cm="1">
        <f t="array" ref="C634">(1+C633)*(1+INDEX(Data!$G:$G,717-(ROW()-5)))-1</f>
        <v>0.94993968636912096</v>
      </c>
      <c r="D634" s="11" cm="1">
        <f t="array" ref="D634">(1+D633)*(1+INDEX(Data!$H:$H,717-(ROW()-5)))-1</f>
        <v>1.0684378912226982</v>
      </c>
      <c r="E634" s="11" cm="1">
        <f t="array" ref="E634">(1+E633)*(1+INDEX(Data!$I:$I,717-(ROW()-5)))-1</f>
        <v>0.40957674219752116</v>
      </c>
    </row>
    <row r="635" spans="1:5" x14ac:dyDescent="0.2">
      <c r="A635" s="1" cm="1">
        <f t="array" ref="A635">INDEX(Data!$A:$A,717-(ROW()-5))</f>
        <v>46013</v>
      </c>
      <c r="B635" s="11" cm="1">
        <f t="array" ref="B635">(1+B634)*(1+INDEX(Data!$F:$F,717-(ROW()-5)))-1</f>
        <v>1.1537429211039303</v>
      </c>
      <c r="C635" s="11" cm="1">
        <f t="array" ref="C635">(1+C634)*(1+INDEX(Data!$G:$G,717-(ROW()-5)))-1</f>
        <v>0.94963811821471822</v>
      </c>
      <c r="D635" s="11" cm="1">
        <f t="array" ref="D635">(1+D634)*(1+INDEX(Data!$H:$H,717-(ROW()-5)))-1</f>
        <v>1.1296425093893419</v>
      </c>
      <c r="E635" s="11" cm="1">
        <f t="array" ref="E635">(1+E634)*(1+INDEX(Data!$I:$I,717-(ROW()-5)))-1</f>
        <v>0.40957674219752116</v>
      </c>
    </row>
    <row r="636" spans="1:5" x14ac:dyDescent="0.2">
      <c r="A636" s="1" cm="1">
        <f t="array" ref="A636">INDEX(Data!$A:$A,717-(ROW()-5))</f>
        <v>46014</v>
      </c>
      <c r="B636" s="11" cm="1">
        <f t="array" ref="B636">(1+B635)*(1+INDEX(Data!$F:$F,717-(ROW()-5)))-1</f>
        <v>1.1564211878083897</v>
      </c>
      <c r="C636" s="11" cm="1">
        <f t="array" ref="C636">(1+C635)*(1+INDEX(Data!$G:$G,717-(ROW()-5)))-1</f>
        <v>0.98673100120627444</v>
      </c>
      <c r="D636" s="11" cm="1">
        <f t="array" ref="D636">(1+D635)*(1+INDEX(Data!$H:$H,717-(ROW()-5)))-1</f>
        <v>1.126860481290858</v>
      </c>
      <c r="E636" s="11" cm="1">
        <f t="array" ref="E636">(1+E635)*(1+INDEX(Data!$I:$I,717-(ROW()-5)))-1</f>
        <v>0.43437366395895771</v>
      </c>
    </row>
    <row r="637" spans="1:5" x14ac:dyDescent="0.2">
      <c r="A637" s="1" cm="1">
        <f t="array" ref="A637">INDEX(Data!$A:$A,717-(ROW()-5))</f>
        <v>46015</v>
      </c>
      <c r="B637" s="11" cm="1">
        <f t="array" ref="B637">(1+B636)*(1+INDEX(Data!$F:$F,717-(ROW()-5)))-1</f>
        <v>1.1639642974900637</v>
      </c>
      <c r="C637" s="11" cm="1">
        <f t="array" ref="C637">(1+C636)*(1+INDEX(Data!$G:$G,717-(ROW()-5)))-1</f>
        <v>1.0162846803377583</v>
      </c>
      <c r="D637" s="11" cm="1">
        <f t="array" ref="D637">(1+D636)*(1+INDEX(Data!$H:$H,717-(ROW()-5)))-1</f>
        <v>1.1588538044234218</v>
      </c>
      <c r="E637" s="11" cm="1">
        <f t="array" ref="E637">(1+E636)*(1+INDEX(Data!$I:$I,717-(ROW()-5)))-1</f>
        <v>0.4613082513894835</v>
      </c>
    </row>
    <row r="638" spans="1:5" x14ac:dyDescent="0.2">
      <c r="A638" s="1" cm="1">
        <f t="array" ref="A638">INDEX(Data!$A:$A,717-(ROW()-5))</f>
        <v>46016</v>
      </c>
      <c r="B638" s="11" cm="1">
        <f t="array" ref="B638">(1+B637)*(1+INDEX(Data!$F:$F,717-(ROW()-5)))-1</f>
        <v>1.0980025799286168</v>
      </c>
      <c r="C638" s="11" cm="1">
        <f t="array" ref="C638">(1+C637)*(1+INDEX(Data!$G:$G,717-(ROW()-5)))-1</f>
        <v>0.89987937273824059</v>
      </c>
      <c r="D638" s="11" cm="1">
        <f t="array" ref="D638">(1+D637)*(1+INDEX(Data!$H:$H,717-(ROW()-5)))-1</f>
        <v>1.114341354847681</v>
      </c>
      <c r="E638" s="11" cm="1">
        <f t="array" ref="E638">(1+E637)*(1+INDEX(Data!$I:$I,717-(ROW()-5)))-1</f>
        <v>0.47926464300983396</v>
      </c>
    </row>
    <row r="639" spans="1:5" x14ac:dyDescent="0.2">
      <c r="A639" s="1" cm="1">
        <f t="array" ref="A639">INDEX(Data!$A:$A,717-(ROW()-5))</f>
        <v>46019</v>
      </c>
      <c r="B639" s="11" cm="1">
        <f t="array" ref="B639">(1+B638)*(1+INDEX(Data!$F:$F,717-(ROW()-5)))-1</f>
        <v>1.1097857965095752</v>
      </c>
      <c r="C639" s="11" cm="1">
        <f t="array" ref="C639">(1+C638)*(1+INDEX(Data!$G:$G,717-(ROW()-5)))-1</f>
        <v>0.93848009650181119</v>
      </c>
      <c r="D639" s="11" cm="1">
        <f t="array" ref="D639">(1+D638)*(1+INDEX(Data!$H:$H,717-(ROW()-5)))-1</f>
        <v>1.1282514953400997</v>
      </c>
      <c r="E639" s="11" cm="1">
        <f t="array" ref="E639">(1+E638)*(1+INDEX(Data!$I:$I,717-(ROW()-5)))-1</f>
        <v>0.47926464300983396</v>
      </c>
    </row>
    <row r="640" spans="1:5" x14ac:dyDescent="0.2">
      <c r="A640" s="1" cm="1">
        <f t="array" ref="A640">INDEX(Data!$A:$A,717-(ROW()-5))</f>
        <v>46020</v>
      </c>
      <c r="B640" s="11" cm="1">
        <f t="array" ref="B640">(1+B639)*(1+INDEX(Data!$F:$F,717-(ROW()-5)))-1</f>
        <v>1.113487936230642</v>
      </c>
      <c r="C640" s="11" cm="1">
        <f t="array" ref="C640">(1+C639)*(1+INDEX(Data!$G:$G,717-(ROW()-5)))-1</f>
        <v>0.9541616405307618</v>
      </c>
      <c r="D640" s="11" cm="1">
        <f t="array" ref="D640">(1+D639)*(1+INDEX(Data!$H:$H,717-(ROW()-5)))-1</f>
        <v>1.1699819168173566</v>
      </c>
      <c r="E640" s="11" cm="1">
        <f t="array" ref="E640">(1+E639)*(1+INDEX(Data!$I:$I,717-(ROW()-5)))-1</f>
        <v>0.47926464300983396</v>
      </c>
    </row>
    <row r="641" spans="1:5" x14ac:dyDescent="0.2">
      <c r="A641" s="1" cm="1">
        <f t="array" ref="A641">INDEX(Data!$A:$A,717-(ROW()-5))</f>
        <v>46021</v>
      </c>
      <c r="B641" s="11" cm="1">
        <f t="array" ref="B641">(1+B640)*(1+INDEX(Data!$F:$F,717-(ROW()-5)))-1</f>
        <v>1.1349719157994587</v>
      </c>
      <c r="C641" s="11" cm="1">
        <f t="array" ref="C641">(1+C640)*(1+INDEX(Data!$G:$G,717-(ROW()-5)))-1</f>
        <v>0.96351025331725171</v>
      </c>
      <c r="D641" s="11" cm="1">
        <f t="array" ref="D641">(1+D640)*(1+INDEX(Data!$H:$H,717-(ROW()-5)))-1</f>
        <v>1.1978021978021944</v>
      </c>
      <c r="E641" s="11" cm="1">
        <f t="array" ref="E641">(1+E640)*(1+INDEX(Data!$I:$I,717-(ROW()-5)))-1</f>
        <v>0.47926464300983396</v>
      </c>
    </row>
    <row r="642" spans="1:5" x14ac:dyDescent="0.2">
      <c r="A642" s="1" cm="1">
        <f t="array" ref="A642">INDEX(Data!$A:$A,717-(ROW()-5))</f>
        <v>46022</v>
      </c>
      <c r="B642" s="11" cm="1">
        <f t="array" ref="B642">(1+B641)*(1+INDEX(Data!$F:$F,717-(ROW()-5)))-1</f>
        <v>1.1192088990183535</v>
      </c>
      <c r="C642" s="11" cm="1">
        <f t="array" ref="C642">(1+C641)*(1+INDEX(Data!$G:$G,717-(ROW()-5)))-1</f>
        <v>0.96471652593486334</v>
      </c>
      <c r="D642" s="11" cm="1">
        <f t="array" ref="D642">(1+D641)*(1+INDEX(Data!$H:$H,717-(ROW()-5)))-1</f>
        <v>1.1811100292112915</v>
      </c>
      <c r="E642" s="11" cm="1">
        <f t="array" ref="E642">(1+E641)*(1+INDEX(Data!$I:$I,717-(ROW()-5)))-1</f>
        <v>0.47969217614365167</v>
      </c>
    </row>
    <row r="643" spans="1:5" x14ac:dyDescent="0.2">
      <c r="A643" s="1" cm="1">
        <f t="array" ref="A643">INDEX(Data!$A:$A,717-(ROW()-5))</f>
        <v>46023</v>
      </c>
      <c r="B643" s="11" cm="1">
        <f t="array" ref="B643">(1+B642)*(1+INDEX(Data!$F:$F,717-(ROW()-5)))-1</f>
        <v>1.1594349609250711</v>
      </c>
      <c r="C643" s="11" cm="1">
        <f t="array" ref="C643">(1+C642)*(1+INDEX(Data!$G:$G,717-(ROW()-5)))-1</f>
        <v>0.95536791314837366</v>
      </c>
      <c r="D643" s="11" cm="1">
        <f t="array" ref="D643">(1+D642)*(1+INDEX(Data!$H:$H,717-(ROW()-5)))-1</f>
        <v>1.2325775490332416</v>
      </c>
      <c r="E643" s="11" cm="1">
        <f t="array" ref="E643">(1+E642)*(1+INDEX(Data!$I:$I,717-(ROW()-5)))-1</f>
        <v>0.47498931167165503</v>
      </c>
    </row>
    <row r="644" spans="1:5" x14ac:dyDescent="0.2">
      <c r="A644" s="1" cm="1">
        <f t="array" ref="A644">INDEX(Data!$A:$A,717-(ROW()-5))</f>
        <v>46027</v>
      </c>
      <c r="B644" s="11" cm="1">
        <f t="array" ref="B644">(1+B643)*(1+INDEX(Data!$F:$F,717-(ROW()-5)))-1</f>
        <v>1.194767256888003</v>
      </c>
      <c r="C644" s="11" cm="1">
        <f t="array" ref="C644">(1+C643)*(1+INDEX(Data!$G:$G,717-(ROW()-5)))-1</f>
        <v>1.0747889022919201</v>
      </c>
      <c r="D644" s="11" cm="1">
        <f t="array" ref="D644">(1+D643)*(1+INDEX(Data!$H:$H,717-(ROW()-5)))-1</f>
        <v>1.3522047572680447</v>
      </c>
      <c r="E644" s="11" cm="1">
        <f t="array" ref="E644">(1+E643)*(1+INDEX(Data!$I:$I,717-(ROW()-5)))-1</f>
        <v>0.4788371098760158</v>
      </c>
    </row>
    <row r="645" spans="1:5" x14ac:dyDescent="0.2">
      <c r="A645" s="1" cm="1">
        <f t="array" ref="A645">INDEX(Data!$A:$A,717-(ROW()-5))</f>
        <v>46028</v>
      </c>
      <c r="B645" s="11" cm="1">
        <f t="array" ref="B645">(1+B644)*(1+INDEX(Data!$F:$F,717-(ROW()-5)))-1</f>
        <v>1.2506695666761134</v>
      </c>
      <c r="C645" s="11" cm="1">
        <f t="array" ref="C645">(1+C644)*(1+INDEX(Data!$G:$G,717-(ROW()-5)))-1</f>
        <v>1.1019300361881808</v>
      </c>
      <c r="D645" s="11" cm="1">
        <f t="array" ref="D645">(1+D644)*(1+INDEX(Data!$H:$H,717-(ROW()-5)))-1</f>
        <v>1.3160383919877554</v>
      </c>
      <c r="E645" s="11" cm="1">
        <f t="array" ref="E645">(1+E644)*(1+INDEX(Data!$I:$I,717-(ROW()-5)))-1</f>
        <v>0.48140230867892297</v>
      </c>
    </row>
    <row r="646" spans="1:5" x14ac:dyDescent="0.2">
      <c r="A646" s="1" cm="1">
        <f t="array" ref="A646">INDEX(Data!$A:$A,717-(ROW()-5))</f>
        <v>46029</v>
      </c>
      <c r="B646" s="11" cm="1">
        <f t="array" ref="B646">(1+B645)*(1+INDEX(Data!$F:$F,717-(ROW()-5)))-1</f>
        <v>1.2524454368235625</v>
      </c>
      <c r="C646" s="11" cm="1">
        <f t="array" ref="C646">(1+C645)*(1+INDEX(Data!$G:$G,717-(ROW()-5)))-1</f>
        <v>1.1284680337756359</v>
      </c>
      <c r="D646" s="11" cm="1">
        <f t="array" ref="D646">(1+D645)*(1+INDEX(Data!$H:$H,717-(ROW()-5)))-1</f>
        <v>1.3522047572680447</v>
      </c>
      <c r="E646" s="11" cm="1">
        <f t="array" ref="E646">(1+E645)*(1+INDEX(Data!$I:$I,717-(ROW()-5)))-1</f>
        <v>0.47755451047456221</v>
      </c>
    </row>
    <row r="647" spans="1:5" x14ac:dyDescent="0.2">
      <c r="A647" s="1" cm="1">
        <f t="array" ref="A647">INDEX(Data!$A:$A,717-(ROW()-5))</f>
        <v>46030</v>
      </c>
      <c r="B647" s="11" cm="1">
        <f t="array" ref="B647">(1+B646)*(1+INDEX(Data!$F:$F,717-(ROW()-5)))-1</f>
        <v>1.2437569776656838</v>
      </c>
      <c r="C647" s="11" cm="1">
        <f t="array" ref="C647">(1+C646)*(1+INDEX(Data!$G:$G,717-(ROW()-5)))-1</f>
        <v>1.1483715319662271</v>
      </c>
      <c r="D647" s="11" cm="1">
        <f t="array" ref="D647">(1+D646)*(1+INDEX(Data!$H:$H,717-(ROW()-5)))-1</f>
        <v>1.2951731812491269</v>
      </c>
      <c r="E647" s="11" cm="1">
        <f t="array" ref="E647">(1+E646)*(1+INDEX(Data!$I:$I,717-(ROW()-5)))-1</f>
        <v>0.50064129970072724</v>
      </c>
    </row>
    <row r="648" spans="1:5" x14ac:dyDescent="0.2">
      <c r="A648" s="1" cm="1">
        <f t="array" ref="A648">INDEX(Data!$A:$A,717-(ROW()-5))</f>
        <v>46031</v>
      </c>
      <c r="B648" s="11" cm="1">
        <f t="array" ref="B648">(1+B647)*(1+INDEX(Data!$F:$F,717-(ROW()-5)))-1</f>
        <v>1.2601910072712328</v>
      </c>
      <c r="C648" s="11" cm="1">
        <f t="array" ref="C648">(1+C647)*(1+INDEX(Data!$G:$G,717-(ROW()-5)))-1</f>
        <v>1.143848009650184</v>
      </c>
      <c r="D648" s="11" cm="1">
        <f t="array" ref="D648">(1+D647)*(1+INDEX(Data!$H:$H,717-(ROW()-5)))-1</f>
        <v>1.3299485324801741</v>
      </c>
      <c r="E648" s="11" cm="1">
        <f t="array" ref="E648">(1+E647)*(1+INDEX(Data!$I:$I,717-(ROW()-5)))-1</f>
        <v>0.50064129970072724</v>
      </c>
    </row>
    <row r="649" spans="1:5" x14ac:dyDescent="0.2">
      <c r="A649" s="1" cm="1">
        <f t="array" ref="A649">INDEX(Data!$A:$A,717-(ROW()-5))</f>
        <v>46034</v>
      </c>
      <c r="B649" s="11" cm="1">
        <f t="array" ref="B649">(1+B648)*(1+INDEX(Data!$F:$F,717-(ROW()-5)))-1</f>
        <v>1.2712511496879197</v>
      </c>
      <c r="C649" s="11" cm="1">
        <f t="array" ref="C649">(1+C648)*(1+INDEX(Data!$G:$G,717-(ROW()-5)))-1</f>
        <v>1.1040410132690019</v>
      </c>
      <c r="D649" s="11" cm="1">
        <f t="array" ref="D649">(1+D648)*(1+INDEX(Data!$H:$H,717-(ROW()-5)))-1</f>
        <v>1.3285575184309324</v>
      </c>
      <c r="E649" s="11" cm="1">
        <f t="array" ref="E649">(1+E648)*(1+INDEX(Data!$I:$I,717-(ROW()-5)))-1</f>
        <v>0.50064129970072724</v>
      </c>
    </row>
    <row r="650" spans="1:5" x14ac:dyDescent="0.2">
      <c r="A650" s="1" cm="1">
        <f t="array" ref="A650">INDEX(Data!$A:$A,717-(ROW()-5))</f>
        <v>46035</v>
      </c>
      <c r="B650" s="11" cm="1">
        <f t="array" ref="B650">(1+B649)*(1+INDEX(Data!$F:$F,717-(ROW()-5)))-1</f>
        <v>1.2637369629728168</v>
      </c>
      <c r="C650" s="11" cm="1">
        <f t="array" ref="C650">(1+C649)*(1+INDEX(Data!$G:$G,717-(ROW()-5)))-1</f>
        <v>1.0419179734620054</v>
      </c>
      <c r="D650" s="11" cm="1">
        <f t="array" ref="D650">(1+D649)*(1+INDEX(Data!$H:$H,717-(ROW()-5)))-1</f>
        <v>1.3605508415634957</v>
      </c>
      <c r="E650" s="11" cm="1">
        <f t="array" ref="E650">(1+E649)*(1+INDEX(Data!$I:$I,717-(ROW()-5)))-1</f>
        <v>0.60624198375374139</v>
      </c>
    </row>
    <row r="651" spans="1:5" x14ac:dyDescent="0.2">
      <c r="A651" s="1" cm="1">
        <f t="array" ref="A651">INDEX(Data!$A:$A,717-(ROW()-5))</f>
        <v>46036</v>
      </c>
      <c r="B651" s="11" cm="1">
        <f t="array" ref="B651">(1+B650)*(1+INDEX(Data!$F:$F,717-(ROW()-5)))-1</f>
        <v>1.2930070051425022</v>
      </c>
      <c r="C651" s="11" cm="1">
        <f t="array" ref="C651">(1+C650)*(1+INDEX(Data!$G:$G,717-(ROW()-5)))-1</f>
        <v>1.0446320868516312</v>
      </c>
      <c r="D651" s="11" cm="1">
        <f t="array" ref="D651">(1+D650)*(1+INDEX(Data!$H:$H,717-(ROW()-5)))-1</f>
        <v>1.4106273473362041</v>
      </c>
      <c r="E651" s="11" cm="1">
        <f t="array" ref="E651">(1+E650)*(1+INDEX(Data!$I:$I,717-(ROW()-5)))-1</f>
        <v>0.60624198375374139</v>
      </c>
    </row>
    <row r="652" spans="1:5" x14ac:dyDescent="0.2">
      <c r="A652" s="1" cm="1">
        <f t="array" ref="A652">INDEX(Data!$A:$A,717-(ROW()-5))</f>
        <v>46037</v>
      </c>
      <c r="B652" s="11" cm="1">
        <f t="array" ref="B652">(1+B651)*(1+INDEX(Data!$F:$F,717-(ROW()-5)))-1</f>
        <v>1.3073875041215213</v>
      </c>
      <c r="C652" s="11" cm="1">
        <f t="array" ref="C652">(1+C651)*(1+INDEX(Data!$G:$G,717-(ROW()-5)))-1</f>
        <v>1.0268395657418603</v>
      </c>
      <c r="D652" s="11" cm="1">
        <f t="array" ref="D652">(1+D651)*(1+INDEX(Data!$H:$H,717-(ROW()-5)))-1</f>
        <v>1.3661148977604634</v>
      </c>
      <c r="E652" s="11" cm="1">
        <f t="array" ref="E652">(1+E651)*(1+INDEX(Data!$I:$I,717-(ROW()-5)))-1</f>
        <v>0.60624198375374139</v>
      </c>
    </row>
    <row r="653" spans="1:5" x14ac:dyDescent="0.2">
      <c r="A653" s="1" cm="1">
        <f t="array" ref="A653">INDEX(Data!$A:$A,717-(ROW()-5))</f>
        <v>46038</v>
      </c>
      <c r="B653" s="11" cm="1">
        <f t="array" ref="B653">(1+B652)*(1+INDEX(Data!$F:$F,717-(ROW()-5)))-1</f>
        <v>1.3149884597363366</v>
      </c>
      <c r="C653" s="11" cm="1">
        <f t="array" ref="C653">(1+C652)*(1+INDEX(Data!$G:$G,717-(ROW()-5)))-1</f>
        <v>1.0461399276236456</v>
      </c>
      <c r="D653" s="11" cm="1">
        <f t="array" ref="D653">(1+D652)*(1+INDEX(Data!$H:$H,717-(ROW()-5)))-1</f>
        <v>1.473222979552089</v>
      </c>
      <c r="E653" s="11" cm="1">
        <f t="array" ref="E653">(1+E652)*(1+INDEX(Data!$I:$I,717-(ROW()-5)))-1</f>
        <v>0.60624198375374139</v>
      </c>
    </row>
    <row r="654" spans="1:5" x14ac:dyDescent="0.2">
      <c r="A654" s="1" cm="1">
        <f t="array" ref="A654">INDEX(Data!$A:$A,717-(ROW()-5))</f>
        <v>46041</v>
      </c>
      <c r="B654" s="11" cm="1">
        <f t="array" ref="B654">(1+B653)*(1+INDEX(Data!$F:$F,717-(ROW()-5)))-1</f>
        <v>1.3068090447901044</v>
      </c>
      <c r="C654" s="11" cm="1">
        <f t="array" ref="C654">(1+C653)*(1+INDEX(Data!$G:$G,717-(ROW()-5)))-1</f>
        <v>1.0084439083232839</v>
      </c>
      <c r="D654" s="11" cm="1">
        <f t="array" ref="D654">(1+D653)*(1+INDEX(Data!$H:$H,717-(ROW()-5)))-1</f>
        <v>1.473222979552089</v>
      </c>
      <c r="E654" s="11" cm="1">
        <f t="array" ref="E654">(1+E653)*(1+INDEX(Data!$I:$I,717-(ROW()-5)))-1</f>
        <v>0.60624198375374139</v>
      </c>
    </row>
    <row r="655" spans="1:5" x14ac:dyDescent="0.2">
      <c r="A655" s="1" cm="1">
        <f t="array" ref="A655">INDEX(Data!$A:$A,717-(ROW()-5))</f>
        <v>46042</v>
      </c>
      <c r="B655" s="11" cm="1">
        <f t="array" ref="B655">(1+B654)*(1+INDEX(Data!$F:$F,717-(ROW()-5)))-1</f>
        <v>1.2909187669560875</v>
      </c>
      <c r="C655" s="11" cm="1">
        <f t="array" ref="C655">(1+C654)*(1+INDEX(Data!$G:$G,717-(ROW()-5)))-1</f>
        <v>0.99939686369119718</v>
      </c>
      <c r="D655" s="11" cm="1">
        <f t="array" ref="D655">(1+D654)*(1+INDEX(Data!$H:$H,717-(ROW()-5)))-1</f>
        <v>1.473222979552089</v>
      </c>
      <c r="E655" s="11" cm="1">
        <f t="array" ref="E655">(1+E654)*(1+INDEX(Data!$I:$I,717-(ROW()-5)))-1</f>
        <v>0.56776400171013308</v>
      </c>
    </row>
    <row r="656" spans="1:5" x14ac:dyDescent="0.2">
      <c r="A656" s="1" cm="1">
        <f t="array" ref="A656">INDEX(Data!$A:$A,717-(ROW()-5))</f>
        <v>46043</v>
      </c>
      <c r="B656" s="11" cm="1">
        <f t="array" ref="B656">(1+B655)*(1+INDEX(Data!$F:$F,717-(ROW()-5)))-1</f>
        <v>1.2798817629126567</v>
      </c>
      <c r="C656" s="11" cm="1">
        <f t="array" ref="C656">(1+C655)*(1+INDEX(Data!$G:$G,717-(ROW()-5)))-1</f>
        <v>0.95717732207479167</v>
      </c>
      <c r="D656" s="11" cm="1">
        <f t="array" ref="D656">(1+D655)*(1+INDEX(Data!$H:$H,717-(ROW()-5)))-1</f>
        <v>1.578940047294473</v>
      </c>
      <c r="E656" s="11" cm="1">
        <f t="array" ref="E656">(1+E655)*(1+INDEX(Data!$I:$I,717-(ROW()-5)))-1</f>
        <v>0.56776400171013308</v>
      </c>
    </row>
    <row r="657" spans="1:5" x14ac:dyDescent="0.2">
      <c r="A657" s="1" cm="1">
        <f t="array" ref="A657">INDEX(Data!$A:$A,717-(ROW()-5))</f>
        <v>46044</v>
      </c>
      <c r="B657" s="11" cm="1">
        <f t="array" ref="B657">(1+B656)*(1+INDEX(Data!$F:$F,717-(ROW()-5)))-1</f>
        <v>1.3070867052691844</v>
      </c>
      <c r="C657" s="11" cm="1">
        <f t="array" ref="C657">(1+C656)*(1+INDEX(Data!$G:$G,717-(ROW()-5)))-1</f>
        <v>1.0093486127864928</v>
      </c>
      <c r="D657" s="11" cm="1">
        <f t="array" ref="D657">(1+D656)*(1+INDEX(Data!$H:$H,717-(ROW()-5)))-1</f>
        <v>1.5038252886354107</v>
      </c>
      <c r="E657" s="11" cm="1">
        <f t="array" ref="E657">(1+E656)*(1+INDEX(Data!$I:$I,717-(ROW()-5)))-1</f>
        <v>0.58187259512612277</v>
      </c>
    </row>
    <row r="658" spans="1:5" x14ac:dyDescent="0.2">
      <c r="A658" s="1" cm="1">
        <f t="array" ref="A658">INDEX(Data!$A:$A,717-(ROW()-5))</f>
        <v>46045</v>
      </c>
      <c r="B658" s="11" cm="1">
        <f t="array" ref="B658">(1+B657)*(1+INDEX(Data!$F:$F,717-(ROW()-5)))-1</f>
        <v>1.3192285666356214</v>
      </c>
      <c r="C658" s="11" cm="1">
        <f t="array" ref="C658">(1+C657)*(1+INDEX(Data!$G:$G,717-(ROW()-5)))-1</f>
        <v>1.006332931242464</v>
      </c>
      <c r="D658" s="11" cm="1">
        <f t="array" ref="D658">(1+D657)*(1+INDEX(Data!$H:$H,717-(ROW()-5)))-1</f>
        <v>1.489915148142992</v>
      </c>
      <c r="E658" s="11" cm="1">
        <f t="array" ref="E658">(1+E657)*(1+INDEX(Data!$I:$I,717-(ROW()-5)))-1</f>
        <v>0.61137238135955574</v>
      </c>
    </row>
    <row r="659" spans="1:5" x14ac:dyDescent="0.2">
      <c r="A659" s="1" cm="1">
        <f t="array" ref="A659">INDEX(Data!$A:$A,717-(ROW()-5))</f>
        <v>46048</v>
      </c>
      <c r="B659" s="11" cm="1">
        <f t="array" ref="B659">(1+B658)*(1+INDEX(Data!$F:$F,717-(ROW()-5)))-1</f>
        <v>1.3303060628322512</v>
      </c>
      <c r="C659" s="11" cm="1">
        <f t="array" ref="C659">(1+C658)*(1+INDEX(Data!$G:$G,717-(ROW()-5)))-1</f>
        <v>0.99909529553679466</v>
      </c>
      <c r="D659" s="11" cm="1">
        <f t="array" ref="D659">(1+D658)*(1+INDEX(Data!$H:$H,717-(ROW()-5)))-1</f>
        <v>1.5163444150785881</v>
      </c>
      <c r="E659" s="11" cm="1">
        <f t="array" ref="E659">(1+E658)*(1+INDEX(Data!$I:$I,717-(ROW()-5)))-1</f>
        <v>0.61137238135955574</v>
      </c>
    </row>
    <row r="660" spans="1:5" x14ac:dyDescent="0.2">
      <c r="A660" s="1" cm="1">
        <f t="array" ref="A660">INDEX(Data!$A:$A,717-(ROW()-5))</f>
        <v>46049</v>
      </c>
      <c r="B660" s="11" cm="1">
        <f t="array" ref="B660">(1+B659)*(1+INDEX(Data!$F:$F,717-(ROW()-5)))-1</f>
        <v>1.3290045293365638</v>
      </c>
      <c r="C660" s="11" cm="1">
        <f t="array" ref="C660">(1+C659)*(1+INDEX(Data!$G:$G,717-(ROW()-5)))-1</f>
        <v>0.95989143546441835</v>
      </c>
      <c r="D660" s="11" cm="1">
        <f t="array" ref="D660">(1+D659)*(1+INDEX(Data!$H:$H,717-(ROW()-5)))-1</f>
        <v>1.4968702183892018</v>
      </c>
      <c r="E660" s="11" cm="1">
        <f t="array" ref="E660">(1+E659)*(1+INDEX(Data!$I:$I,717-(ROW()-5)))-1</f>
        <v>0.66011115861479297</v>
      </c>
    </row>
    <row r="661" spans="1:5" x14ac:dyDescent="0.2">
      <c r="A661" s="1" cm="1">
        <f t="array" ref="A661">INDEX(Data!$A:$A,717-(ROW()-5))</f>
        <v>46050</v>
      </c>
      <c r="B661" s="11" cm="1">
        <f t="array" ref="B661">(1+B660)*(1+INDEX(Data!$F:$F,717-(ROW()-5)))-1</f>
        <v>1.3088452216366915</v>
      </c>
      <c r="C661" s="11" cm="1">
        <f t="array" ref="C661">(1+C660)*(1+INDEX(Data!$G:$G,717-(ROW()-5)))-1</f>
        <v>0.95416164053076336</v>
      </c>
      <c r="D661" s="11" cm="1">
        <f t="array" ref="D661">(1+D660)*(1+INDEX(Data!$H:$H,717-(ROW()-5)))-1</f>
        <v>1.3647238837112217</v>
      </c>
      <c r="E661" s="11" cm="1">
        <f t="array" ref="E661">(1+E660)*(1+INDEX(Data!$I:$I,717-(ROW()-5)))-1</f>
        <v>0.63873450192389947</v>
      </c>
    </row>
    <row r="662" spans="1:5" x14ac:dyDescent="0.2">
      <c r="A662" s="1" cm="1">
        <f t="array" ref="A662">INDEX(Data!$A:$A,717-(ROW()-5))</f>
        <v>46051</v>
      </c>
      <c r="B662" s="11" cm="1">
        <f t="array" ref="B662">(1+B661)*(1+INDEX(Data!$F:$F,717-(ROW()-5)))-1</f>
        <v>1.303945671099592</v>
      </c>
      <c r="C662" s="11" cm="1">
        <f t="array" ref="C662">(1+C661)*(1+INDEX(Data!$G:$G,717-(ROW()-5)))-1</f>
        <v>0.93305186972256049</v>
      </c>
      <c r="D662" s="11" cm="1">
        <f t="array" ref="D662">(1+D661)*(1+INDEX(Data!$H:$H,717-(ROW()-5)))-1</f>
        <v>1.3619418556127378</v>
      </c>
      <c r="E662" s="11" cm="1">
        <f t="array" ref="E662">(1+E661)*(1+INDEX(Data!$I:$I,717-(ROW()-5)))-1</f>
        <v>0.63873450192389947</v>
      </c>
    </row>
    <row r="663" spans="1:5" x14ac:dyDescent="0.2">
      <c r="A663" s="1" cm="1">
        <f t="array" ref="A663">INDEX(Data!$A:$A,717-(ROW()-5))</f>
        <v>46052</v>
      </c>
      <c r="B663" s="11" cm="1">
        <f t="array" ref="B663">(1+B662)*(1+INDEX(Data!$F:$F,717-(ROW()-5)))-1</f>
        <v>1.3113152429818409</v>
      </c>
      <c r="C663" s="11" cm="1">
        <f t="array" ref="C663">(1+C662)*(1+INDEX(Data!$G:$G,717-(ROW()-5)))-1</f>
        <v>0.92852834740651713</v>
      </c>
      <c r="D663" s="11" cm="1">
        <f t="array" ref="D663">(1+D662)*(1+INDEX(Data!$H:$H,717-(ROW()-5)))-1</f>
        <v>1.4064543051884781</v>
      </c>
      <c r="E663" s="11" cm="1">
        <f t="array" ref="E663">(1+E662)*(1+INDEX(Data!$I:$I,717-(ROW()-5)))-1</f>
        <v>0.63873450192389947</v>
      </c>
    </row>
    <row r="664" spans="1:5" x14ac:dyDescent="0.2">
      <c r="A664" s="1" cm="1">
        <f t="array" ref="A664">INDEX(Data!$A:$A,717-(ROW()-5))</f>
        <v>46055</v>
      </c>
      <c r="B664" s="11" cm="1">
        <f t="array" ref="B664">(1+B663)*(1+INDEX(Data!$F:$F,717-(ROW()-5)))-1</f>
        <v>1.3370508986365701</v>
      </c>
      <c r="C664" s="11" cm="1">
        <f t="array" ref="C664">(1+C663)*(1+INDEX(Data!$G:$G,717-(ROW()-5)))-1</f>
        <v>0.93787696019300681</v>
      </c>
      <c r="D664" s="11" cm="1">
        <f t="array" ref="D664">(1+D663)*(1+INDEX(Data!$H:$H,717-(ROW()-5)))-1</f>
        <v>1.3647238837112212</v>
      </c>
      <c r="E664" s="11" cm="1">
        <f t="array" ref="E664">(1+E663)*(1+INDEX(Data!$I:$I,717-(ROW()-5)))-1</f>
        <v>0.63873450192389947</v>
      </c>
    </row>
    <row r="665" spans="1:5" x14ac:dyDescent="0.2">
      <c r="A665" s="1" cm="1">
        <f t="array" ref="A665">INDEX(Data!$A:$A,717-(ROW()-5))</f>
        <v>46056</v>
      </c>
      <c r="B665" s="11" cm="1">
        <f t="array" ref="B665">(1+B664)*(1+INDEX(Data!$F:$F,717-(ROW()-5)))-1</f>
        <v>1.3757151203484628</v>
      </c>
      <c r="C665" s="11" cm="1">
        <f t="array" ref="C665">(1+C664)*(1+INDEX(Data!$G:$G,717-(ROW()-5)))-1</f>
        <v>0.96290711700844733</v>
      </c>
      <c r="D665" s="11" cm="1">
        <f t="array" ref="D665">(1+D664)*(1+INDEX(Data!$H:$H,717-(ROW()-5)))-1</f>
        <v>1.3647238837112212</v>
      </c>
      <c r="E665" s="11" cm="1">
        <f t="array" ref="E665">(1+E664)*(1+INDEX(Data!$I:$I,717-(ROW()-5)))-1</f>
        <v>0.68875587858059029</v>
      </c>
    </row>
    <row r="666" spans="1:5" x14ac:dyDescent="0.2">
      <c r="A666" s="1" cm="1">
        <f t="array" ref="A666">INDEX(Data!$A:$A,717-(ROW()-5))</f>
        <v>46057</v>
      </c>
      <c r="B666" s="11" cm="1">
        <f t="array" ref="B666">(1+B665)*(1+INDEX(Data!$F:$F,717-(ROW()-5)))-1</f>
        <v>1.3722385797666483</v>
      </c>
      <c r="C666" s="11" cm="1">
        <f t="array" ref="C666">(1+C665)*(1+INDEX(Data!$G:$G,717-(ROW()-5)))-1</f>
        <v>0.96019300361882132</v>
      </c>
      <c r="D666" s="11" cm="1">
        <f t="array" ref="D666">(1+D665)*(1+INDEX(Data!$H:$H,717-(ROW()-5)))-1</f>
        <v>1.3647238837112212</v>
      </c>
      <c r="E666" s="11" cm="1">
        <f t="array" ref="E666">(1+E665)*(1+INDEX(Data!$I:$I,717-(ROW()-5)))-1</f>
        <v>0.71697306541256967</v>
      </c>
    </row>
    <row r="667" spans="1:5" x14ac:dyDescent="0.2">
      <c r="A667" s="1" cm="1">
        <f t="array" ref="A667">INDEX(Data!$A:$A,717-(ROW()-5))</f>
        <v>46058</v>
      </c>
      <c r="B667" s="11" cm="1">
        <f t="array" ref="B667">(1+B666)*(1+INDEX(Data!$F:$F,717-(ROW()-5)))-1</f>
        <v>1.3295829886679806</v>
      </c>
      <c r="C667" s="11" cm="1">
        <f t="array" ref="C667">(1+C666)*(1+INDEX(Data!$G:$G,717-(ROW()-5)))-1</f>
        <v>0.95386007237636039</v>
      </c>
      <c r="D667" s="11" cm="1">
        <f t="array" ref="D667">(1+D666)*(1+INDEX(Data!$H:$H,717-(ROW()-5)))-1</f>
        <v>1.2923911531506427</v>
      </c>
      <c r="E667" s="11" cm="1">
        <f t="array" ref="E667">(1+E666)*(1+INDEX(Data!$I:$I,717-(ROW()-5)))-1</f>
        <v>0.72466866182129142</v>
      </c>
    </row>
    <row r="668" spans="1:5" x14ac:dyDescent="0.2">
      <c r="A668" s="1" cm="1">
        <f t="array" ref="A668">INDEX(Data!$A:$A,717-(ROW()-5))</f>
        <v>46059</v>
      </c>
      <c r="B668" s="11" cm="1">
        <f t="array" ref="B668">(1+B667)*(1+INDEX(Data!$F:$F,717-(ROW()-5)))-1</f>
        <v>1.3305316619715044</v>
      </c>
      <c r="C668" s="11" cm="1">
        <f t="array" ref="C668">(1+C667)*(1+INDEX(Data!$G:$G,717-(ROW()-5)))-1</f>
        <v>0.92732207478890549</v>
      </c>
      <c r="D668" s="11" cm="1">
        <f t="array" ref="D668">(1+D667)*(1+INDEX(Data!$H:$H,717-(ROW()-5)))-1</f>
        <v>1.2506607316733858</v>
      </c>
      <c r="E668" s="11" cm="1">
        <f t="array" ref="E668">(1+E667)*(1+INDEX(Data!$I:$I,717-(ROW()-5)))-1</f>
        <v>0.72466866182129142</v>
      </c>
    </row>
    <row r="669" spans="1:5" x14ac:dyDescent="0.2">
      <c r="A669" s="1" cm="1">
        <f t="array" ref="A669">INDEX(Data!$A:$A,717-(ROW()-5))</f>
        <v>46062</v>
      </c>
      <c r="B669" s="11" cm="1">
        <f t="array" ref="B669">(1+B668)*(1+INDEX(Data!$F:$F,717-(ROW()-5)))-1</f>
        <v>1.3674894286557175</v>
      </c>
      <c r="C669" s="11" cm="1">
        <f t="array" ref="C669">(1+C668)*(1+INDEX(Data!$G:$G,717-(ROW()-5)))-1</f>
        <v>0.89987937273824192</v>
      </c>
      <c r="D669" s="11" cm="1">
        <f t="array" ref="D669">(1+D668)*(1+INDEX(Data!$H:$H,717-(ROW()-5)))-1</f>
        <v>1.2687439143135304</v>
      </c>
      <c r="E669" s="11" cm="1">
        <f t="array" ref="E669">(1+E668)*(1+INDEX(Data!$I:$I,717-(ROW()-5)))-1</f>
        <v>0.70585720393330509</v>
      </c>
    </row>
    <row r="670" spans="1:5" x14ac:dyDescent="0.2">
      <c r="A670" s="1" cm="1">
        <f t="array" ref="A670">INDEX(Data!$A:$A,717-(ROW()-5))</f>
        <v>46063</v>
      </c>
      <c r="B670" s="11" cm="1">
        <f t="array" ref="B670">(1+B669)*(1+INDEX(Data!$F:$F,717-(ROW()-5)))-1</f>
        <v>1.40747253764324</v>
      </c>
      <c r="C670" s="11" cm="1">
        <f t="array" ref="C670">(1+C669)*(1+INDEX(Data!$G:$G,717-(ROW()-5)))-1</f>
        <v>0.92460796139927925</v>
      </c>
      <c r="D670" s="11" cm="1">
        <f t="array" ref="D670">(1+D669)*(1+INDEX(Data!$H:$H,717-(ROW()-5)))-1</f>
        <v>1.2701349283627721</v>
      </c>
      <c r="E670" s="11" cm="1">
        <f t="array" ref="E670">(1+E669)*(1+INDEX(Data!$I:$I,717-(ROW()-5)))-1</f>
        <v>0.61393758016246269</v>
      </c>
    </row>
    <row r="671" spans="1:5" x14ac:dyDescent="0.2">
      <c r="A671" s="1" cm="1">
        <f t="array" ref="A671">INDEX(Data!$A:$A,717-(ROW()-5))</f>
        <v>46064</v>
      </c>
      <c r="B671" s="11" cm="1">
        <f t="array" ref="B671">(1+B670)*(1+INDEX(Data!$F:$F,717-(ROW()-5)))-1</f>
        <v>1.3925135793328045</v>
      </c>
      <c r="C671" s="11" cm="1">
        <f t="array" ref="C671">(1+C670)*(1+INDEX(Data!$G:$G,717-(ROW()-5)))-1</f>
        <v>0.92370325693607058</v>
      </c>
      <c r="D671" s="11" cm="1">
        <f t="array" ref="D671">(1+D670)*(1+INDEX(Data!$H:$H,717-(ROW()-5)))-1</f>
        <v>1.3049102795938197</v>
      </c>
      <c r="E671" s="11" cm="1">
        <f t="array" ref="E671">(1+E670)*(1+INDEX(Data!$I:$I,717-(ROW()-5)))-1</f>
        <v>0.61393758016246269</v>
      </c>
    </row>
    <row r="672" spans="1:5" x14ac:dyDescent="0.2">
      <c r="A672" s="1" cm="1">
        <f t="array" ref="A672">INDEX(Data!$A:$A,717-(ROW()-5))</f>
        <v>46065</v>
      </c>
      <c r="B672" s="11" cm="1">
        <f t="array" ref="B672">(1+B671)*(1+INDEX(Data!$F:$F,717-(ROW()-5)))-1</f>
        <v>1.4105730796596339</v>
      </c>
      <c r="C672" s="11" cm="1">
        <f t="array" ref="C672">(1+C671)*(1+INDEX(Data!$G:$G,717-(ROW()-5)))-1</f>
        <v>0.91556091676719231</v>
      </c>
      <c r="D672" s="11" cm="1">
        <f t="array" ref="D672">(1+D671)*(1+INDEX(Data!$H:$H,717-(ROW()-5)))-1</f>
        <v>1.3202114341354809</v>
      </c>
      <c r="E672" s="11" cm="1">
        <f t="array" ref="E672">(1+E671)*(1+INDEX(Data!$I:$I,717-(ROW()-5)))-1</f>
        <v>0.61393758016246269</v>
      </c>
    </row>
    <row r="673" spans="1:5" x14ac:dyDescent="0.2">
      <c r="A673" s="1" cm="1">
        <f t="array" ref="A673">INDEX(Data!$A:$A,717-(ROW()-5))</f>
        <v>46066</v>
      </c>
      <c r="B673" s="11" cm="1">
        <f t="array" ref="B673">(1+B672)*(1+INDEX(Data!$F:$F,717-(ROW()-5)))-1</f>
        <v>1.3977717746553826</v>
      </c>
      <c r="C673" s="11" cm="1">
        <f t="array" ref="C673">(1+C672)*(1+INDEX(Data!$G:$G,717-(ROW()-5)))-1</f>
        <v>0.91224366706876037</v>
      </c>
      <c r="D673" s="11" cm="1">
        <f t="array" ref="D673">(1+D672)*(1+INDEX(Data!$H:$H,717-(ROW()-5)))-1</f>
        <v>1.2993462233968525</v>
      </c>
      <c r="E673" s="11" cm="1">
        <f t="array" ref="E673">(1+E672)*(1+INDEX(Data!$I:$I,717-(ROW()-5)))-1</f>
        <v>0.61393758016246269</v>
      </c>
    </row>
    <row r="674" spans="1:5" x14ac:dyDescent="0.2">
      <c r="A674" s="1" cm="1">
        <f t="array" ref="A674">INDEX(Data!$A:$A,717-(ROW()-5))</f>
        <v>46069</v>
      </c>
      <c r="B674" s="11" cm="1">
        <f t="array" ref="B674">(1+B673)*(1+INDEX(Data!$F:$F,717-(ROW()-5)))-1</f>
        <v>1.4090112394648089</v>
      </c>
      <c r="C674" s="11" cm="1">
        <f t="array" ref="C674">(1+C673)*(1+INDEX(Data!$G:$G,717-(ROW()-5)))-1</f>
        <v>0.94119420989143854</v>
      </c>
      <c r="D674" s="11" cm="1">
        <f t="array" ref="D674">(1+D673)*(1+INDEX(Data!$H:$H,717-(ROW()-5)))-1</f>
        <v>1.3424676589233511</v>
      </c>
      <c r="E674" s="11" cm="1">
        <f t="array" ref="E674">(1+E673)*(1+INDEX(Data!$I:$I,717-(ROW()-5)))-1</f>
        <v>0.61222744762719117</v>
      </c>
    </row>
    <row r="675" spans="1:5" x14ac:dyDescent="0.2">
      <c r="A675" s="1" cm="1">
        <f t="array" ref="A675">INDEX(Data!$A:$A,717-(ROW()-5))</f>
        <v>46070</v>
      </c>
      <c r="B675" s="11" cm="1">
        <f t="array" ref="B675">(1+B674)*(1+INDEX(Data!$F:$F,717-(ROW()-5)))-1</f>
        <v>1.4110879084645949</v>
      </c>
      <c r="C675" s="11" cm="1">
        <f t="array" ref="C675">(1+C674)*(1+INDEX(Data!$G:$G,717-(ROW()-5)))-1</f>
        <v>0.88238841978287397</v>
      </c>
      <c r="D675" s="11" cm="1">
        <f t="array" ref="D675">(1+D674)*(1+INDEX(Data!$H:$H,717-(ROW()-5)))-1</f>
        <v>1.3758519961051565</v>
      </c>
      <c r="E675" s="11" cm="1">
        <f t="array" ref="E675">(1+E674)*(1+INDEX(Data!$I:$I,717-(ROW()-5)))-1</f>
        <v>0.55707567336468578</v>
      </c>
    </row>
    <row r="676" spans="1:5" x14ac:dyDescent="0.2">
      <c r="A676" s="1" cm="1">
        <f t="array" ref="A676">INDEX(Data!$A:$A,717-(ROW()-5))</f>
        <v>46071</v>
      </c>
      <c r="B676" s="11" cm="1">
        <f t="array" ref="B676">(1+B675)*(1+INDEX(Data!$F:$F,717-(ROW()-5)))-1</f>
        <v>1.4309811248720155</v>
      </c>
      <c r="C676" s="11" cm="1">
        <f t="array" ref="C676">(1+C675)*(1+INDEX(Data!$G:$G,717-(ROW()-5)))-1</f>
        <v>0.88419782870929131</v>
      </c>
      <c r="D676" s="11" cm="1">
        <f t="array" ref="D676">(1+D675)*(1+INDEX(Data!$H:$H,717-(ROW()-5)))-1</f>
        <v>1.3744609820559148</v>
      </c>
      <c r="E676" s="11" cm="1">
        <f t="array" ref="E676">(1+E675)*(1+INDEX(Data!$I:$I,717-(ROW()-5)))-1</f>
        <v>0.5391192817443351</v>
      </c>
    </row>
    <row r="677" spans="1:5" x14ac:dyDescent="0.2">
      <c r="A677" s="1" cm="1">
        <f t="array" ref="A677">INDEX(Data!$A:$A,717-(ROW()-5))</f>
        <v>46072</v>
      </c>
      <c r="B677" s="11" cm="1">
        <f t="array" ref="B677">(1+B676)*(1+INDEX(Data!$F:$F,717-(ROW()-5)))-1</f>
        <v>1.4139107900019083</v>
      </c>
      <c r="C677" s="11" cm="1">
        <f t="array" ref="C677">(1+C676)*(1+INDEX(Data!$G:$G,717-(ROW()-5)))-1</f>
        <v>0.86218335343788</v>
      </c>
      <c r="D677" s="11" cm="1">
        <f t="array" ref="D677">(1+D676)*(1+INDEX(Data!$H:$H,717-(ROW()-5)))-1</f>
        <v>1.3396856308248672</v>
      </c>
      <c r="E677" s="11" cm="1">
        <f t="array" ref="E677">(1+E676)*(1+INDEX(Data!$I:$I,717-(ROW()-5)))-1</f>
        <v>0.5391192817443351</v>
      </c>
    </row>
    <row r="678" spans="1:5" x14ac:dyDescent="0.2">
      <c r="A678" s="1" cm="1">
        <f t="array" ref="A678">INDEX(Data!$A:$A,717-(ROW()-5))</f>
        <v>46073</v>
      </c>
      <c r="B678" s="11" cm="1">
        <f t="array" ref="B678">(1+B677)*(1+INDEX(Data!$F:$F,717-(ROW()-5)))-1</f>
        <v>1.4310736783650424</v>
      </c>
      <c r="C678" s="11" cm="1">
        <f t="array" ref="C678">(1+C677)*(1+INDEX(Data!$G:$G,717-(ROW()-5)))-1</f>
        <v>0.87937273823884499</v>
      </c>
      <c r="D678" s="11" cm="1">
        <f t="array" ref="D678">(1+D677)*(1+INDEX(Data!$H:$H,717-(ROW()-5)))-1</f>
        <v>1.3535957713172864</v>
      </c>
      <c r="E678" s="11" cm="1">
        <f t="array" ref="E678">(1+E677)*(1+INDEX(Data!$I:$I,717-(ROW()-5)))-1</f>
        <v>0.5391192817443351</v>
      </c>
    </row>
    <row r="679" spans="1:5" x14ac:dyDescent="0.2">
      <c r="A679" s="1" cm="1">
        <f t="array" ref="A679">INDEX(Data!$A:$A,717-(ROW()-5))</f>
        <v>46076</v>
      </c>
      <c r="B679" s="11" cm="1">
        <f t="array" ref="B679">(1+B678)*(1+INDEX(Data!$F:$F,717-(ROW()-5)))-1</f>
        <v>1.4322074586546192</v>
      </c>
      <c r="C679" s="11" cm="1">
        <f t="array" ref="C679">(1+C678)*(1+INDEX(Data!$G:$G,717-(ROW()-5)))-1</f>
        <v>0.86821471652593796</v>
      </c>
      <c r="D679" s="11" cm="1">
        <f t="array" ref="D679">(1+D678)*(1+INDEX(Data!$H:$H,717-(ROW()-5)))-1</f>
        <v>1.2812630407567078</v>
      </c>
      <c r="E679" s="11" cm="1">
        <f t="array" ref="E679">(1+E678)*(1+INDEX(Data!$I:$I,717-(ROW()-5)))-1</f>
        <v>0.5391192817443351</v>
      </c>
    </row>
    <row r="680" spans="1:5" x14ac:dyDescent="0.2">
      <c r="A680" s="1" cm="1">
        <f t="array" ref="A680">INDEX(Data!$A:$A,717-(ROW()-5))</f>
        <v>46077</v>
      </c>
      <c r="B680" s="11" cm="1">
        <f t="array" ref="B680">(1+B679)*(1+INDEX(Data!$F:$F,717-(ROW()-5)))-1</f>
        <v>1.3811410688771524</v>
      </c>
      <c r="C680" s="11" cm="1">
        <f t="array" ref="C680">(1+C679)*(1+INDEX(Data!$G:$G,717-(ROW()-5)))-1</f>
        <v>0.85615199034982226</v>
      </c>
      <c r="D680" s="11" cm="1">
        <f t="array" ref="D680">(1+D679)*(1+INDEX(Data!$H:$H,717-(ROW()-5)))-1</f>
        <v>1.2005842259006778</v>
      </c>
      <c r="E680" s="11" cm="1">
        <f t="array" ref="E680">(1+E679)*(1+INDEX(Data!$I:$I,717-(ROW()-5)))-1</f>
        <v>0.5391192817443351</v>
      </c>
    </row>
    <row r="681" spans="1:5" x14ac:dyDescent="0.2">
      <c r="A681" s="1" cm="1">
        <f t="array" ref="A681">INDEX(Data!$A:$A,717-(ROW()-5))</f>
        <v>46078</v>
      </c>
      <c r="B681" s="11" cm="1">
        <f t="array" ref="B681">(1+B680)*(1+INDEX(Data!$F:$F,717-(ROW()-5)))-1</f>
        <v>1.3734591289559384</v>
      </c>
      <c r="C681" s="11" cm="1">
        <f t="array" ref="C681">(1+C680)*(1+INDEX(Data!$G:$G,717-(ROW()-5)))-1</f>
        <v>0.83534378769602236</v>
      </c>
      <c r="D681" s="11" cm="1">
        <f t="array" ref="D681">(1+D680)*(1+INDEX(Data!$H:$H,717-(ROW()-5)))-1</f>
        <v>1.222840450688548</v>
      </c>
      <c r="E681" s="11" cm="1">
        <f t="array" ref="E681">(1+E680)*(1+INDEX(Data!$I:$I,717-(ROW()-5)))-1</f>
        <v>0.5391192817443351</v>
      </c>
    </row>
    <row r="682" spans="1:5" x14ac:dyDescent="0.2">
      <c r="A682" s="1" cm="1">
        <f t="array" ref="A682">INDEX(Data!$A:$A,717-(ROW()-5))</f>
        <v>46079</v>
      </c>
      <c r="B682" s="11" cm="1">
        <f t="array" ref="B682">(1+B681)*(1+INDEX(Data!$F:$F,717-(ROW()-5)))-1</f>
        <v>1.3452129598028608</v>
      </c>
      <c r="C682" s="11" cm="1">
        <f t="array" ref="C682">(1+C681)*(1+INDEX(Data!$G:$G,717-(ROW()-5)))-1</f>
        <v>0.83534378769602236</v>
      </c>
      <c r="D682" s="11" cm="1">
        <f t="array" ref="D682">(1+D681)*(1+INDEX(Data!$H:$H,717-(ROW()-5)))-1</f>
        <v>1.2297955209347573</v>
      </c>
      <c r="E682" s="11" cm="1">
        <f t="array" ref="E682">(1+E681)*(1+INDEX(Data!$I:$I,717-(ROW()-5)))-1</f>
        <v>0.5391192817443351</v>
      </c>
    </row>
    <row r="683" spans="1:5" x14ac:dyDescent="0.2">
      <c r="A683" s="1" cm="1">
        <f t="array" ref="A683">INDEX(Data!$A:$A,717-(ROW()-5))</f>
        <v>46080</v>
      </c>
      <c r="B683" s="11" cm="1">
        <f t="array" ref="B683">(1+B682)*(1+INDEX(Data!$F:$F,717-(ROW()-5)))-1</f>
        <v>1.357129222030045</v>
      </c>
      <c r="C683" s="11" cm="1">
        <f t="array" ref="C683">(1+C682)*(1+INDEX(Data!$G:$G,717-(ROW()-5)))-1</f>
        <v>0.85464414957780743</v>
      </c>
      <c r="D683" s="11" cm="1">
        <f t="array" ref="D683">(1+D682)*(1+INDEX(Data!$H:$H,717-(ROW()-5)))-1</f>
        <v>1.274307970510498</v>
      </c>
      <c r="E683" s="11" cm="1">
        <f t="array" ref="E683">(1+E682)*(1+INDEX(Data!$I:$I,717-(ROW()-5)))-1</f>
        <v>0.53954681487815304</v>
      </c>
    </row>
    <row r="684" spans="1:5" x14ac:dyDescent="0.2">
      <c r="A684" s="1" cm="1">
        <f t="array" ref="A684">INDEX(Data!$A:$A,717-(ROW()-5))</f>
        <v>46083</v>
      </c>
      <c r="B684" s="11" cm="1">
        <f t="array" ref="B684">(1+B683)*(1+INDEX(Data!$F:$F,717-(ROW()-5)))-1</f>
        <v>1.4691131639990047</v>
      </c>
      <c r="C684" s="11" cm="1">
        <f t="array" ref="C684">(1+C683)*(1+INDEX(Data!$G:$G,717-(ROW()-5)))-1</f>
        <v>0.89686369119421272</v>
      </c>
      <c r="D684" s="11" cm="1">
        <f t="array" ref="D684">(1+D683)*(1+INDEX(Data!$H:$H,717-(ROW()-5)))-1</f>
        <v>1.3355125886771417</v>
      </c>
      <c r="E684" s="11" cm="1">
        <f t="array" ref="E684">(1+E683)*(1+INDEX(Data!$I:$I,717-(ROW()-5)))-1</f>
        <v>0.54211201368106021</v>
      </c>
    </row>
    <row r="685" spans="1:5" x14ac:dyDescent="0.2">
      <c r="A685" s="1" cm="1">
        <f t="array" ref="A685">INDEX(Data!$A:$A,717-(ROW()-5))</f>
        <v>46085</v>
      </c>
      <c r="B685" s="11" cm="1">
        <f t="array" ref="B685">(1+B684)*(1+INDEX(Data!$F:$F,717-(ROW()-5)))-1</f>
        <v>1.4687255962469554</v>
      </c>
      <c r="C685" s="11" cm="1">
        <f t="array" ref="C685">(1+C684)*(1+INDEX(Data!$G:$G,717-(ROW()-5)))-1</f>
        <v>0.8685162846803407</v>
      </c>
      <c r="D685" s="11" cm="1">
        <f t="array" ref="D685">(1+D684)*(1+INDEX(Data!$H:$H,717-(ROW()-5)))-1</f>
        <v>1.3480317151203187</v>
      </c>
      <c r="E685" s="11" cm="1">
        <f t="array" ref="E685">(1+E684)*(1+INDEX(Data!$I:$I,717-(ROW()-5)))-1</f>
        <v>0.54211201368106021</v>
      </c>
    </row>
    <row r="686" spans="1:5" x14ac:dyDescent="0.2">
      <c r="A686" s="1" cm="1">
        <f t="array" ref="A686">INDEX(Data!$A:$A,717-(ROW()-5))</f>
        <v>46086</v>
      </c>
      <c r="B686" s="11" cm="1">
        <f t="array" ref="B686">(1+B685)*(1+INDEX(Data!$F:$F,717-(ROW()-5)))-1</f>
        <v>1.505799054797452</v>
      </c>
      <c r="C686" s="11" cm="1">
        <f t="array" ref="C686">(1+C685)*(1+INDEX(Data!$G:$G,717-(ROW()-5)))-1</f>
        <v>0.9722557297949368</v>
      </c>
      <c r="D686" s="11" cm="1">
        <f t="array" ref="D686">(1+D685)*(1+INDEX(Data!$H:$H,717-(ROW()-5)))-1</f>
        <v>1.3800250382528825</v>
      </c>
      <c r="E686" s="11" cm="1">
        <f t="array" ref="E686">(1+E685)*(1+INDEX(Data!$I:$I,717-(ROW()-5)))-1</f>
        <v>0.54125694741342434</v>
      </c>
    </row>
    <row r="687" spans="1:5" x14ac:dyDescent="0.2">
      <c r="A687" s="1" cm="1">
        <f t="array" ref="A687">INDEX(Data!$A:$A,717-(ROW()-5))</f>
        <v>46087</v>
      </c>
      <c r="B687" s="11" cm="1">
        <f t="array" ref="B687">(1+B686)*(1+INDEX(Data!$F:$F,717-(ROW()-5)))-1</f>
        <v>1.504462813741879</v>
      </c>
      <c r="C687" s="11" cm="1">
        <f t="array" ref="C687">(1+C686)*(1+INDEX(Data!$G:$G,717-(ROW()-5)))-1</f>
        <v>0.98793727382388741</v>
      </c>
      <c r="D687" s="11" cm="1">
        <f t="array" ref="D687">(1+D686)*(1+INDEX(Data!$H:$H,717-(ROW()-5)))-1</f>
        <v>1.3800250382528825</v>
      </c>
      <c r="E687" s="11" cm="1">
        <f t="array" ref="E687">(1+E686)*(1+INDEX(Data!$I:$I,717-(ROW()-5)))-1</f>
        <v>0.50491663103890527</v>
      </c>
    </row>
    <row r="688" spans="1:5" x14ac:dyDescent="0.2">
      <c r="A688" s="1" cm="1">
        <f t="array" ref="A688">INDEX(Data!$A:$A,717-(ROW()-5))</f>
        <v>46090</v>
      </c>
      <c r="B688" s="11" cm="1">
        <f t="array" ref="B688">(1+B687)*(1+INDEX(Data!$F:$F,717-(ROW()-5)))-1</f>
        <v>1.4322826583677029</v>
      </c>
      <c r="C688" s="11" cm="1">
        <f t="array" ref="C688">(1+C687)*(1+INDEX(Data!$G:$G,717-(ROW()-5)))-1</f>
        <v>0.97527141133896578</v>
      </c>
      <c r="D688" s="11" cm="1">
        <f t="array" ref="D688">(1+D687)*(1+INDEX(Data!$H:$H,717-(ROW()-5)))-1</f>
        <v>1.2937821671998848</v>
      </c>
      <c r="E688" s="11" cm="1">
        <f t="array" ref="E688">(1+E687)*(1+INDEX(Data!$I:$I,717-(ROW()-5)))-1</f>
        <v>0.53997434801197053</v>
      </c>
    </row>
    <row r="689" spans="1:5" x14ac:dyDescent="0.2">
      <c r="A689" s="1" cm="1">
        <f t="array" ref="A689">INDEX(Data!$A:$A,717-(ROW()-5))</f>
        <v>46091</v>
      </c>
      <c r="B689" s="11" cm="1">
        <f t="array" ref="B689">(1+B688)*(1+INDEX(Data!$F:$F,717-(ROW()-5)))-1</f>
        <v>1.4038282438553149</v>
      </c>
      <c r="C689" s="11" cm="1">
        <f t="array" ref="C689">(1+C688)*(1+INDEX(Data!$G:$G,717-(ROW()-5)))-1</f>
        <v>0.92611580217129386</v>
      </c>
      <c r="D689" s="11" cm="1">
        <f t="array" ref="D689">(1+D688)*(1+INDEX(Data!$H:$H,717-(ROW()-5)))-1</f>
        <v>1.2548337738211117</v>
      </c>
      <c r="E689" s="11" cm="1">
        <f t="array" ref="E689">(1+E688)*(1+INDEX(Data!$I:$I,717-(ROW()-5)))-1</f>
        <v>0.54082941427960618</v>
      </c>
    </row>
    <row r="690" spans="1:5" x14ac:dyDescent="0.2">
      <c r="A690" s="1" cm="1">
        <f t="array" ref="A690">INDEX(Data!$A:$A,717-(ROW()-5))</f>
        <v>46092</v>
      </c>
      <c r="B690" s="11" cm="1">
        <f t="array" ref="B690">(1+B689)*(1+INDEX(Data!$F:$F,717-(ROW()-5)))-1</f>
        <v>1.4087798557322424</v>
      </c>
      <c r="C690" s="11" cm="1">
        <f t="array" ref="C690">(1+C689)*(1+INDEX(Data!$G:$G,717-(ROW()-5)))-1</f>
        <v>0.86338962605549163</v>
      </c>
      <c r="D690" s="11" cm="1">
        <f t="array" ref="D690">(1+D689)*(1+INDEX(Data!$H:$H,717-(ROW()-5)))-1</f>
        <v>1.2506607316733862</v>
      </c>
      <c r="E690" s="11" cm="1">
        <f t="array" ref="E690">(1+E689)*(1+INDEX(Data!$I:$I,717-(ROW()-5)))-1</f>
        <v>0.54082941427960618</v>
      </c>
    </row>
    <row r="691" spans="1:5" x14ac:dyDescent="0.2">
      <c r="A691" s="1" cm="1">
        <f t="array" ref="A691">INDEX(Data!$A:$A,717-(ROW()-5))</f>
        <v>46093</v>
      </c>
      <c r="B691" s="11" cm="1">
        <f t="array" ref="B691">(1+B690)*(1+INDEX(Data!$F:$F,717-(ROW()-5)))-1</f>
        <v>1.3690339150706006</v>
      </c>
      <c r="C691" s="11" cm="1">
        <f t="array" ref="C691">(1+C690)*(1+INDEX(Data!$G:$G,717-(ROW()-5)))-1</f>
        <v>0.80759951749095582</v>
      </c>
      <c r="D691" s="11" cm="1">
        <f t="array" ref="D691">(1+D690)*(1+INDEX(Data!$H:$H,717-(ROW()-5)))-1</f>
        <v>1.1685909027681145</v>
      </c>
      <c r="E691" s="11" cm="1">
        <f t="array" ref="E691">(1+E690)*(1+INDEX(Data!$I:$I,717-(ROW()-5)))-1</f>
        <v>0.54082941427960618</v>
      </c>
    </row>
    <row r="692" spans="1:5" x14ac:dyDescent="0.2">
      <c r="A692" s="1" cm="1">
        <f t="array" ref="A692">INDEX(Data!$A:$A,717-(ROW()-5))</f>
        <v>46094</v>
      </c>
      <c r="B692" s="11" cm="1">
        <f t="array" ref="B692">(1+B691)*(1+INDEX(Data!$F:$F,717-(ROW()-5)))-1</f>
        <v>1.382147588113817</v>
      </c>
      <c r="C692" s="11" cm="1">
        <f t="array" ref="C692">(1+C691)*(1+INDEX(Data!$G:$G,717-(ROW()-5)))-1</f>
        <v>0.80759951749095582</v>
      </c>
      <c r="D692" s="11" cm="1">
        <f t="array" ref="D692">(1+D691)*(1+INDEX(Data!$H:$H,717-(ROW()-5)))-1</f>
        <v>1.1574627903741792</v>
      </c>
      <c r="E692" s="11" cm="1">
        <f t="array" ref="E692">(1+E691)*(1+INDEX(Data!$I:$I,717-(ROW()-5)))-1</f>
        <v>0.54125694741342412</v>
      </c>
    </row>
    <row r="693" spans="1:5" x14ac:dyDescent="0.2">
      <c r="A693" s="1" cm="1">
        <f t="array" ref="A693">INDEX(Data!$A:$A,717-(ROW()-5))</f>
        <v>46097</v>
      </c>
      <c r="B693" s="11" cm="1">
        <f t="array" ref="B693">(1+B692)*(1+INDEX(Data!$F:$F,717-(ROW()-5)))-1</f>
        <v>1.3805105482059079</v>
      </c>
      <c r="C693" s="11" cm="1">
        <f t="array" ref="C693">(1+C692)*(1+INDEX(Data!$G:$G,717-(ROW()-5)))-1</f>
        <v>0.77864897466827787</v>
      </c>
      <c r="D693" s="11" cm="1">
        <f t="array" ref="D693">(1+D692)*(1+INDEX(Data!$H:$H,717-(ROW()-5)))-1</f>
        <v>1.071219919321182</v>
      </c>
      <c r="E693" s="11" cm="1">
        <f t="array" ref="E693">(1+E692)*(1+INDEX(Data!$I:$I,717-(ROW()-5)))-1</f>
        <v>0.54125694741342412</v>
      </c>
    </row>
    <row r="694" spans="1:5" x14ac:dyDescent="0.2">
      <c r="A694" s="1" cm="1">
        <f t="array" ref="A694">INDEX(Data!$A:$A,717-(ROW()-5))</f>
        <v>46098</v>
      </c>
      <c r="B694" s="11" cm="1">
        <f t="array" ref="B694">(1+B693)*(1+INDEX(Data!$F:$F,717-(ROW()-5)))-1</f>
        <v>1.4175840067564045</v>
      </c>
      <c r="C694" s="11" cm="1">
        <f t="array" ref="C694">(1+C693)*(1+INDEX(Data!$G:$G,717-(ROW()-5)))-1</f>
        <v>0.81363088057901378</v>
      </c>
      <c r="D694" s="11" cm="1">
        <f t="array" ref="D694">(1+D693)*(1+INDEX(Data!$H:$H,717-(ROW()-5)))-1</f>
        <v>1.1463346779802444</v>
      </c>
      <c r="E694" s="11" cm="1">
        <f t="array" ref="E694">(1+E693)*(1+INDEX(Data!$I:$I,717-(ROW()-5)))-1</f>
        <v>0.52629328772979855</v>
      </c>
    </row>
    <row r="695" spans="1:5" x14ac:dyDescent="0.2">
      <c r="A695" s="1" cm="1">
        <f t="array" ref="A695">INDEX(Data!$A:$A,717-(ROW()-5))</f>
        <v>46099</v>
      </c>
      <c r="B695" s="11" cm="1">
        <f t="array" ref="B695">(1+B694)*(1+INDEX(Data!$F:$F,717-(ROW()-5)))-1</f>
        <v>1.4464259890208409</v>
      </c>
      <c r="C695" s="11" cm="1">
        <f t="array" ref="C695">(1+C694)*(1+INDEX(Data!$G:$G,717-(ROW()-5)))-1</f>
        <v>0.85343787696019602</v>
      </c>
      <c r="D695" s="11" cm="1">
        <f t="array" ref="D695">(1+D694)*(1+INDEX(Data!$H:$H,717-(ROW()-5)))-1</f>
        <v>1.1004312143552619</v>
      </c>
      <c r="E695" s="11" cm="1">
        <f t="array" ref="E695">(1+E694)*(1+INDEX(Data!$I:$I,717-(ROW()-5)))-1</f>
        <v>0.49679350149636536</v>
      </c>
    </row>
    <row r="696" spans="1:5" x14ac:dyDescent="0.2">
      <c r="A696" s="1" cm="1">
        <f t="array" ref="A696">INDEX(Data!$A:$A,717-(ROW()-5))</f>
        <v>46100</v>
      </c>
      <c r="B696" s="11" cm="1">
        <f t="array" ref="B696">(1+B695)*(1+INDEX(Data!$F:$F,717-(ROW()-5)))-1</f>
        <v>1.4476002614636165</v>
      </c>
      <c r="C696" s="11" cm="1">
        <f t="array" ref="C696">(1+C695)*(1+INDEX(Data!$G:$G,717-(ROW()-5)))-1</f>
        <v>0.82388419782871236</v>
      </c>
      <c r="D696" s="11" cm="1">
        <f t="array" ref="D696">(1+D695)*(1+INDEX(Data!$H:$H,717-(ROW()-5)))-1</f>
        <v>1.1352065655863091</v>
      </c>
      <c r="E696" s="11" cm="1">
        <f t="array" ref="E696">(1+E695)*(1+INDEX(Data!$I:$I,717-(ROW()-5)))-1</f>
        <v>0.48824283882000796</v>
      </c>
    </row>
    <row r="697" spans="1:5" x14ac:dyDescent="0.2">
      <c r="A697" s="1" cm="1">
        <f t="array" ref="A697">INDEX(Data!$A:$A,717-(ROW()-5))</f>
        <v>46101</v>
      </c>
      <c r="B697" s="11" cm="1">
        <f t="array" ref="B697">(1+B696)*(1+INDEX(Data!$F:$F,717-(ROW()-5)))-1</f>
        <v>1.4544202969810196</v>
      </c>
      <c r="C697" s="11" cm="1">
        <f t="array" ref="C697">(1+C696)*(1+INDEX(Data!$G:$G,717-(ROW()-5)))-1</f>
        <v>0.80880579010856746</v>
      </c>
      <c r="D697" s="11" cm="1">
        <f t="array" ref="D697">(1+D696)*(1+INDEX(Data!$H:$H,717-(ROW()-5)))-1</f>
        <v>1.1449436639310027</v>
      </c>
      <c r="E697" s="11" cm="1">
        <f t="array" ref="E697">(1+E696)*(1+INDEX(Data!$I:$I,717-(ROW()-5)))-1</f>
        <v>0.47755451047456132</v>
      </c>
    </row>
    <row r="698" spans="1:5" x14ac:dyDescent="0.2">
      <c r="A698" s="1" cm="1">
        <f t="array" ref="A698">INDEX(Data!$A:$A,717-(ROW()-5))</f>
        <v>46104</v>
      </c>
      <c r="B698" s="11" cm="1">
        <f t="array" ref="B698">(1+B697)*(1+INDEX(Data!$F:$F,717-(ROW()-5)))-1</f>
        <v>1.4423825582942382</v>
      </c>
      <c r="C698" s="11" cm="1">
        <f t="array" ref="C698">(1+C697)*(1+INDEX(Data!$G:$G,717-(ROW()-5)))-1</f>
        <v>0.8329312424607993</v>
      </c>
      <c r="D698" s="11" cm="1">
        <f t="array" ref="D698">(1+D697)*(1+INDEX(Data!$H:$H,717-(ROW()-5)))-1</f>
        <v>1.1866740854082596</v>
      </c>
      <c r="E698" s="11" cm="1">
        <f t="array" ref="E698">(1+E697)*(1+INDEX(Data!$I:$I,717-(ROW()-5)))-1</f>
        <v>0.47755451047456132</v>
      </c>
    </row>
    <row r="699" spans="1:5" x14ac:dyDescent="0.2">
      <c r="A699" s="1" cm="1">
        <f t="array" ref="A699">INDEX(Data!$A:$A,717-(ROW()-5))</f>
        <v>46105</v>
      </c>
      <c r="B699" s="11" cm="1">
        <f t="array" ref="B699">(1+B698)*(1+INDEX(Data!$F:$F,717-(ROW()-5)))-1</f>
        <v>1.412424149520167</v>
      </c>
      <c r="C699" s="11" cm="1">
        <f t="array" ref="C699">(1+C698)*(1+INDEX(Data!$G:$G,717-(ROW()-5)))-1</f>
        <v>0.79372738238842278</v>
      </c>
      <c r="D699" s="11" cm="1">
        <f t="array" ref="D699">(1+D698)*(1+INDEX(Data!$H:$H,717-(ROW()-5)))-1</f>
        <v>1.1365975796355512</v>
      </c>
      <c r="E699" s="11" cm="1">
        <f t="array" ref="E699">(1+E698)*(1+INDEX(Data!$I:$I,717-(ROW()-5)))-1</f>
        <v>0.4630183839247537</v>
      </c>
    </row>
    <row r="700" spans="1:5" x14ac:dyDescent="0.2">
      <c r="A700" s="1" cm="1">
        <f t="array" ref="A700">INDEX(Data!$A:$A,717-(ROW()-5))</f>
        <v>46106</v>
      </c>
      <c r="B700" s="11" cm="1">
        <f t="array" ref="B700">(1+B699)*(1+INDEX(Data!$F:$F,717-(ROW()-5)))-1</f>
        <v>1.4327801333927206</v>
      </c>
      <c r="C700" s="11" cm="1">
        <f t="array" ref="C700">(1+C699)*(1+INDEX(Data!$G:$G,717-(ROW()-5)))-1</f>
        <v>0.77653799758745778</v>
      </c>
      <c r="D700" s="11" cm="1">
        <f t="array" ref="D700">(1+D699)*(1+INDEX(Data!$H:$H,717-(ROW()-5)))-1</f>
        <v>1.096258172207536</v>
      </c>
      <c r="E700" s="11" cm="1">
        <f t="array" ref="E700">(1+E699)*(1+INDEX(Data!$I:$I,717-(ROW()-5)))-1</f>
        <v>0.4630183839247537</v>
      </c>
    </row>
    <row r="701" spans="1:5" x14ac:dyDescent="0.2">
      <c r="A701" s="1" cm="1">
        <f t="array" ref="A701">INDEX(Data!$A:$A,717-(ROW()-5))</f>
        <v>46107</v>
      </c>
      <c r="B701" s="11" cm="1">
        <f t="array" ref="B701">(1+B700)*(1+INDEX(Data!$F:$F,717-(ROW()-5)))-1</f>
        <v>1.4113887073169309</v>
      </c>
      <c r="C701" s="11" cm="1">
        <f t="array" ref="C701">(1+C700)*(1+INDEX(Data!$G:$G,717-(ROW()-5)))-1</f>
        <v>0.77261761158022013</v>
      </c>
      <c r="D701" s="11" cm="1">
        <f t="array" ref="D701">(1+D700)*(1+INDEX(Data!$H:$H,717-(ROW()-5)))-1</f>
        <v>1.1143413548476806</v>
      </c>
      <c r="E701" s="11" cm="1">
        <f t="array" ref="E701">(1+E700)*(1+INDEX(Data!$I:$I,717-(ROW()-5)))-1</f>
        <v>0.34074390765284268</v>
      </c>
    </row>
    <row r="702" spans="1:5" x14ac:dyDescent="0.2">
      <c r="A702" s="1" cm="1">
        <f t="array" ref="A702">INDEX(Data!$A:$A,717-(ROW()-5))</f>
        <v>46108</v>
      </c>
      <c r="B702" s="11" cm="1">
        <f t="array" ref="B702">(1+B701)*(1+INDEX(Data!$F:$F,717-(ROW()-5)))-1</f>
        <v>1.3261816477992503</v>
      </c>
      <c r="C702" s="11" cm="1">
        <f t="array" ref="C702">(1+C701)*(1+INDEX(Data!$G:$G,717-(ROW()-5)))-1</f>
        <v>0.67973462002412832</v>
      </c>
      <c r="D702" s="11" cm="1">
        <f t="array" ref="D702">(1+D701)*(1+INDEX(Data!$H:$H,717-(ROW()-5)))-1</f>
        <v>1.0865210738628428</v>
      </c>
      <c r="E702" s="11" cm="1">
        <f t="array" ref="E702">(1+E701)*(1+INDEX(Data!$I:$I,717-(ROW()-5)))-1</f>
        <v>0.30055579307396285</v>
      </c>
    </row>
    <row r="703" spans="1:5" x14ac:dyDescent="0.2">
      <c r="A703" s="1" cm="1">
        <f t="array" ref="A703">INDEX(Data!$A:$A,717-(ROW()-5))</f>
        <v>46111</v>
      </c>
      <c r="B703" s="11" cm="1">
        <f t="array" ref="B703">(1+B702)*(1+INDEX(Data!$F:$F,717-(ROW()-5)))-1</f>
        <v>1.2801594233917371</v>
      </c>
      <c r="C703" s="11" cm="1">
        <f t="array" ref="C703">(1+C702)*(1+INDEX(Data!$G:$G,717-(ROW()-5)))-1</f>
        <v>0.72376357056695118</v>
      </c>
      <c r="D703" s="11" cm="1">
        <f t="array" ref="D703">(1+D702)*(1+INDEX(Data!$H:$H,717-(ROW()-5)))-1</f>
        <v>0.97523994992349117</v>
      </c>
      <c r="E703" s="11" cm="1">
        <f t="array" ref="E703">(1+E702)*(1+INDEX(Data!$I:$I,717-(ROW()-5)))-1</f>
        <v>0.2868747327917911</v>
      </c>
    </row>
    <row r="704" spans="1:5" x14ac:dyDescent="0.2">
      <c r="A704" s="1" cm="1">
        <f t="array" ref="A704">INDEX(Data!$A:$A,717-(ROW()-5))</f>
        <v>46112</v>
      </c>
      <c r="B704" s="11" cm="1">
        <f t="array" ref="B704">(1+B703)*(1+INDEX(Data!$F:$F,717-(ROW()-5)))-1</f>
        <v>1.3235496578413035</v>
      </c>
      <c r="C704" s="11" cm="1">
        <f t="array" ref="C704">(1+C703)*(1+INDEX(Data!$G:$G,717-(ROW()-5)))-1</f>
        <v>0.72617611580217445</v>
      </c>
      <c r="D704" s="11" cm="1">
        <f t="array" ref="D704">(1+D703)*(1+INDEX(Data!$H:$H,717-(ROW()-5)))-1</f>
        <v>1.0517457226317957</v>
      </c>
      <c r="E704" s="11" cm="1">
        <f t="array" ref="E704">(1+E703)*(1+INDEX(Data!$I:$I,717-(ROW()-5)))-1</f>
        <v>0.2868747327917911</v>
      </c>
    </row>
    <row r="705" spans="1:5" x14ac:dyDescent="0.2">
      <c r="A705" s="1" cm="1">
        <f t="array" ref="A705">INDEX(Data!$A:$A,717-(ROW()-5))</f>
        <v>46115</v>
      </c>
      <c r="B705" s="11" cm="1">
        <f t="array" ref="B705">(1+B704)*(1+INDEX(Data!$F:$F,717-(ROW()-5)))-1</f>
        <v>1.3762646567133077</v>
      </c>
      <c r="C705" s="11" cm="1">
        <f t="array" ref="C705">(1+C704)*(1+INDEX(Data!$G:$G,717-(ROW()-5)))-1</f>
        <v>0.74607961399276568</v>
      </c>
      <c r="D705" s="11" cm="1">
        <f t="array" ref="D705">(1+D704)*(1+INDEX(Data!$H:$H,717-(ROW()-5)))-1</f>
        <v>1.0364445680901349</v>
      </c>
      <c r="E705" s="11" cm="1">
        <f t="array" ref="E705">(1+E704)*(1+INDEX(Data!$I:$I,717-(ROW()-5)))-1</f>
        <v>0.2868747327917911</v>
      </c>
    </row>
    <row r="706" spans="1:5" x14ac:dyDescent="0.2">
      <c r="A706" s="1" cm="1">
        <f t="array" ref="A706">INDEX(Data!$A:$A,717-(ROW()-5))</f>
        <v>46118</v>
      </c>
      <c r="B706" s="11" cm="1">
        <f t="array" ref="B706">(1+B705)*(1+INDEX(Data!$F:$F,717-(ROW()-5)))-1</f>
        <v>1.404452979933243</v>
      </c>
      <c r="C706" s="11" cm="1">
        <f t="array" ref="C706">(1+C705)*(1+INDEX(Data!$G:$G,717-(ROW()-5)))-1</f>
        <v>0.80458383594692751</v>
      </c>
      <c r="D706" s="11" cm="1">
        <f t="array" ref="D706">(1+D705)*(1+INDEX(Data!$H:$H,717-(ROW()-5)))-1</f>
        <v>1.1101683126999555</v>
      </c>
      <c r="E706" s="11" cm="1">
        <f t="array" ref="E706">(1+E705)*(1+INDEX(Data!$I:$I,717-(ROW()-5)))-1</f>
        <v>0.2868747327917911</v>
      </c>
    </row>
    <row r="707" spans="1:5" x14ac:dyDescent="0.2">
      <c r="A707" s="1" cm="1">
        <f t="array" ref="A707">INDEX(Data!$A:$A,717-(ROW()-5))</f>
        <v>46121</v>
      </c>
      <c r="B707" s="11" cm="1">
        <f t="array" ref="B707">(1+B706)*(1+INDEX(Data!$F:$F,717-(ROW()-5)))-1</f>
        <v>1.4618245764231519</v>
      </c>
      <c r="C707" s="11" cm="1">
        <f t="array" ref="C707">(1+C706)*(1+INDEX(Data!$G:$G,717-(ROW()-5)))-1</f>
        <v>0.86519903498190964</v>
      </c>
      <c r="D707" s="11" cm="1">
        <f t="array" ref="D707">(1+D706)*(1+INDEX(Data!$H:$H,717-(ROW()-5)))-1</f>
        <v>1.1421616358325188</v>
      </c>
      <c r="E707" s="11" cm="1">
        <f t="array" ref="E707">(1+E706)*(1+INDEX(Data!$I:$I,717-(ROW()-5)))-1</f>
        <v>0.2868747327917911</v>
      </c>
    </row>
    <row r="708" spans="1:5" x14ac:dyDescent="0.2">
      <c r="A708" s="1" cm="1">
        <f t="array" ref="A708">INDEX(Data!$A:$A,717-(ROW()-5))</f>
        <v>46122</v>
      </c>
      <c r="B708" s="11" cm="1">
        <f t="array" ref="B708">(1+B707)*(1+INDEX(Data!$F:$F,717-(ROW()-5)))-1</f>
        <v>1.5080376924100327</v>
      </c>
      <c r="C708" s="11" cm="1">
        <f t="array" ref="C708">(1+C707)*(1+INDEX(Data!$G:$G,717-(ROW()-5)))-1</f>
        <v>0.91133896260555258</v>
      </c>
      <c r="D708" s="11" cm="1">
        <f t="array" ref="D708">(1+D707)*(1+INDEX(Data!$H:$H,717-(ROW()-5)))-1</f>
        <v>1.1491167060787282</v>
      </c>
      <c r="E708" s="11" cm="1">
        <f t="array" ref="E708">(1+E707)*(1+INDEX(Data!$I:$I,717-(ROW()-5)))-1</f>
        <v>0.2868747327917911</v>
      </c>
    </row>
    <row r="709" spans="1:5" x14ac:dyDescent="0.2">
      <c r="A709" s="1" cm="1">
        <f t="array" ref="A709">INDEX(Data!$A:$A,717-(ROW()-5))</f>
        <v>46125</v>
      </c>
      <c r="B709" s="11" cm="1">
        <f t="array" ref="B709">(1+B708)*(1+INDEX(Data!$F:$F,717-(ROW()-5)))-1</f>
        <v>1.4717798615168336</v>
      </c>
      <c r="C709" s="11" cm="1">
        <f t="array" ref="C709">(1+C708)*(1+INDEX(Data!$G:$G,717-(ROW()-5)))-1</f>
        <v>0.87876960193003972</v>
      </c>
      <c r="D709" s="11" cm="1">
        <f t="array" ref="D709">(1+D708)*(1+INDEX(Data!$H:$H,717-(ROW()-5)))-1</f>
        <v>1.1282514953400997</v>
      </c>
      <c r="E709" s="11" cm="1">
        <f t="array" ref="E709">(1+E708)*(1+INDEX(Data!$I:$I,717-(ROW()-5)))-1</f>
        <v>0.2868747327917911</v>
      </c>
    </row>
    <row r="710" spans="1:5" x14ac:dyDescent="0.2">
      <c r="A710" s="1" cm="1">
        <f t="array" ref="A710">INDEX(Data!$A:$A,717-(ROW()-5))</f>
        <v>46126</v>
      </c>
      <c r="B710" s="11" cm="1">
        <f t="array" ref="B710">(1+B709)*(1+INDEX(Data!$F:$F,717-(ROW()-5)))-1</f>
        <v>1.5076674784379258</v>
      </c>
      <c r="C710" s="11" cm="1">
        <f t="array" ref="C710">(1+C709)*(1+INDEX(Data!$G:$G,717-(ROW()-5)))-1</f>
        <v>0.98733413751508214</v>
      </c>
      <c r="D710" s="11" cm="1">
        <f t="array" ref="D710">(1+D709)*(1+INDEX(Data!$H:$H,717-(ROW()-5)))-1</f>
        <v>1.1699819168173566</v>
      </c>
      <c r="E710" s="11" cm="1">
        <f t="array" ref="E710">(1+E709)*(1+INDEX(Data!$I:$I,717-(ROW()-5)))-1</f>
        <v>0.2868747327917911</v>
      </c>
    </row>
    <row r="711" spans="1:5" x14ac:dyDescent="0.2">
      <c r="A711" s="1" cm="1">
        <f t="array" ref="A711">INDEX(Data!$A:$A,717-(ROW()-5))</f>
        <v>46127</v>
      </c>
      <c r="B711" s="11" cm="1">
        <f t="array" ref="B711">(1+B710)*(1+INDEX(Data!$F:$F,717-(ROW()-5)))-1</f>
        <v>1.493645624244385</v>
      </c>
      <c r="C711" s="11" cm="1">
        <f t="array" ref="C711">(1+C710)*(1+INDEX(Data!$G:$G,717-(ROW()-5)))-1</f>
        <v>1.0467430639324524</v>
      </c>
      <c r="D711" s="11" cm="1">
        <f t="array" ref="D711">(1+D710)*(1+INDEX(Data!$H:$H,717-(ROW()-5)))-1</f>
        <v>1.1477256920294865</v>
      </c>
      <c r="E711" s="11" cm="1">
        <f t="array" ref="E711">(1+E710)*(1+INDEX(Data!$I:$I,717-(ROW()-5)))-1</f>
        <v>0.2868747327917911</v>
      </c>
    </row>
    <row r="712" spans="1:5" x14ac:dyDescent="0.2">
      <c r="A712" s="1" cm="1">
        <f t="array" ref="A712">INDEX(Data!$A:$A,717-(ROW()-5))</f>
        <v>46128</v>
      </c>
      <c r="B712" s="11" cm="1">
        <f t="array" ref="B712">(1+B711)*(1+INDEX(Data!$F:$F,717-(ROW()-5)))-1</f>
        <v>1.466475389447742</v>
      </c>
      <c r="C712" s="11" cm="1">
        <f t="array" ref="C712">(1+C711)*(1+INDEX(Data!$G:$G,717-(ROW()-5)))-1</f>
        <v>1.0265379975874582</v>
      </c>
      <c r="D712" s="11" cm="1">
        <f t="array" ref="D712">(1+D711)*(1+INDEX(Data!$H:$H,717-(ROW()-5)))-1</f>
        <v>1.0920851300598109</v>
      </c>
      <c r="E712" s="11" cm="1">
        <f t="array" ref="E712">(1+E711)*(1+INDEX(Data!$I:$I,717-(ROW()-5)))-1</f>
        <v>0.23215049166310364</v>
      </c>
    </row>
    <row r="713" spans="1:5" x14ac:dyDescent="0.2">
      <c r="A713" s="1" cm="1">
        <f t="array" ref="A713">INDEX(Data!$A:$A,717-(ROW()-5))</f>
        <v>46129</v>
      </c>
      <c r="B713" s="11" cm="1">
        <f t="array" ref="B713">(1+B712)*(1+INDEX(Data!$F:$F,717-(ROW()-5)))-1</f>
        <v>1.4925986128545206</v>
      </c>
      <c r="C713" s="11" cm="1">
        <f t="array" ref="C713">(1+C712)*(1+INDEX(Data!$G:$G,717-(ROW()-5)))-1</f>
        <v>1.0928829915560954</v>
      </c>
      <c r="D713" s="11" cm="1">
        <f t="array" ref="D713">(1+D712)*(1+INDEX(Data!$H:$H,717-(ROW()-5)))-1</f>
        <v>1.1811100292112924</v>
      </c>
      <c r="E713" s="11" cm="1">
        <f t="array" ref="E713">(1+E712)*(1+INDEX(Data!$I:$I,717-(ROW()-5)))-1</f>
        <v>0.23856348867037158</v>
      </c>
    </row>
    <row r="714" spans="1:5" x14ac:dyDescent="0.2">
      <c r="A714" s="1" cm="1">
        <f t="array" ref="A714">INDEX(Data!$A:$A,717-(ROW()-5))</f>
        <v>46132</v>
      </c>
      <c r="B714" s="11" cm="1">
        <f t="array" ref="B714">(1+B713)*(1+INDEX(Data!$F:$F,717-(ROW()-5)))-1</f>
        <v>1.503496786658411</v>
      </c>
      <c r="C714" s="11" cm="1">
        <f t="array" ref="C714">(1+C713)*(1+INDEX(Data!$G:$G,717-(ROW()-5)))-1</f>
        <v>1.1200241254523555</v>
      </c>
      <c r="D714" s="11" cm="1">
        <f t="array" ref="D714">(1+D713)*(1+INDEX(Data!$H:$H,717-(ROW()-5)))-1</f>
        <v>1.2033662539991625</v>
      </c>
      <c r="E714" s="11" cm="1">
        <f t="array" ref="E714">(1+E713)*(1+INDEX(Data!$I:$I,717-(ROW()-5)))-1</f>
        <v>0.23856348867037158</v>
      </c>
    </row>
    <row r="715" spans="1:5" x14ac:dyDescent="0.2">
      <c r="A715" s="1" cm="1">
        <f t="array" ref="A715">INDEX(Data!$A:$A,717-(ROW()-5))</f>
        <v>46135</v>
      </c>
      <c r="B715" s="11" cm="1">
        <f t="array" ref="B715">(1+B714)*(1+INDEX(Data!$F:$F,717-(ROW()-5)))-1</f>
        <v>1.5036009093380662</v>
      </c>
      <c r="C715" s="11" cm="1">
        <f t="array" ref="C715">(1+C714)*(1+INDEX(Data!$G:$G,717-(ROW()-5)))-1</f>
        <v>1.1622436670687608</v>
      </c>
      <c r="D715" s="11" cm="1">
        <f t="array" ref="D715">(1+D714)*(1+INDEX(Data!$H:$H,717-(ROW()-5)))-1</f>
        <v>1.1880650994575017</v>
      </c>
      <c r="E715" s="11" cm="1">
        <f t="array" ref="E715">(1+E714)*(1+INDEX(Data!$I:$I,717-(ROW()-5)))-1</f>
        <v>0.23770842240273593</v>
      </c>
    </row>
    <row r="716" spans="1:5" x14ac:dyDescent="0.2">
      <c r="A716" s="1" cm="1">
        <f t="array" ref="A716">INDEX(Data!$A:$A,717-(ROW()-5))</f>
        <v>46136</v>
      </c>
      <c r="B716" s="11" cm="1">
        <f t="array" ref="B716">(1+B715)*(1+INDEX(Data!$F:$F,717-(ROW()-5)))-1</f>
        <v>1.4726533351072728</v>
      </c>
      <c r="C716" s="11" cm="1">
        <f t="array" ref="C716">(1+C715)*(1+INDEX(Data!$G:$G,717-(ROW()-5)))-1</f>
        <v>1.1396260554885438</v>
      </c>
      <c r="D716" s="11" cm="1">
        <f t="array" ref="D716">(1+D715)*(1+INDEX(Data!$H:$H,717-(ROW()-5)))-1</f>
        <v>1.1463346779802448</v>
      </c>
      <c r="E716" s="11" cm="1">
        <f t="array" ref="E716">(1+E715)*(1+INDEX(Data!$I:$I,717-(ROW()-5)))-1</f>
        <v>0.23984608807182539</v>
      </c>
    </row>
    <row r="717" spans="1:5" x14ac:dyDescent="0.2">
      <c r="A717" s="1" cm="1">
        <f t="array" ref="A717">INDEX(Data!$A:$A,717-(ROW()-5))</f>
        <v>46139</v>
      </c>
      <c r="B717" s="11" cm="1">
        <f t="array" ref="B717">(1+B716)*(1+INDEX(Data!$F:$F,717-(ROW()-5)))-1</f>
        <v>1.4706692196005133</v>
      </c>
      <c r="C717" s="11" cm="1">
        <f t="array" ref="C717">(1+C716)*(1+INDEX(Data!$G:$G,717-(ROW()-5)))-1</f>
        <v>1.2150180940892681</v>
      </c>
      <c r="D717" s="11" cm="1">
        <f t="array" ref="D717">(1+D716)*(1+INDEX(Data!$H:$H,717-(ROW()-5)))-1</f>
        <v>1.1699819168173571</v>
      </c>
      <c r="E717" s="11" cm="1">
        <f t="array" ref="E717">(1+E716)*(1+INDEX(Data!$I:$I,717-(ROW()-5)))-1</f>
        <v>0.23984608807182539</v>
      </c>
    </row>
    <row r="718" spans="1:5" x14ac:dyDescent="0.2">
      <c r="A718" s="1" cm="1">
        <f t="array" ref="A718">INDEX(Data!$A:$A,717-(ROW()-5))</f>
        <v>46140</v>
      </c>
      <c r="B718" s="11" cm="1">
        <f t="array" ref="B718">(1+B717)*(1+INDEX(Data!$F:$F,717-(ROW()-5)))-1</f>
        <v>1.4629757104926711</v>
      </c>
      <c r="C718" s="11" cm="1">
        <f t="array" ref="C718">(1+C717)*(1+INDEX(Data!$G:$G,717-(ROW()-5)))-1</f>
        <v>1.2074788902291957</v>
      </c>
      <c r="D718" s="11" cm="1">
        <f t="array" ref="D718">(1+D717)*(1+INDEX(Data!$H:$H,717-(ROW()-5)))-1</f>
        <v>1.1421616358325193</v>
      </c>
      <c r="E718" s="11" cm="1">
        <f t="array" ref="E718">(1+E717)*(1+INDEX(Data!$I:$I,717-(ROW()-5)))-1</f>
        <v>0.22702009405728929</v>
      </c>
    </row>
    <row r="719" spans="1:5" x14ac:dyDescent="0.2">
      <c r="A719" s="1" cm="1">
        <f t="array" ref="A719">INDEX(Data!$A:$A,717-(ROW()-5))</f>
        <v>46141</v>
      </c>
      <c r="B719" s="11" cm="1">
        <f t="array" ref="B719">(1+B718)*(1+INDEX(Data!$F:$F,717-(ROW()-5)))-1</f>
        <v>1.4945480208013948</v>
      </c>
      <c r="C719" s="11" cm="1">
        <f t="array" ref="C719">(1+C718)*(1+INDEX(Data!$G:$G,717-(ROW()-5)))-1</f>
        <v>1.2104945717732249</v>
      </c>
      <c r="D719" s="11" cm="1">
        <f t="array" ref="D719">(1+D718)*(1+INDEX(Data!$H:$H,717-(ROW()-5)))-1</f>
        <v>1.1421616358325193</v>
      </c>
      <c r="E719" s="11" cm="1">
        <f t="array" ref="E719">(1+E718)*(1+INDEX(Data!$I:$I,717-(ROW()-5)))-1</f>
        <v>0.21419410004275319</v>
      </c>
    </row>
    <row r="720" spans="1:5" x14ac:dyDescent="0.2">
      <c r="A720" s="1" cm="1">
        <f t="array" ref="A720">INDEX(Data!$A:$A,717-(ROW()-5))</f>
        <v>46142</v>
      </c>
      <c r="B720" s="11" cm="1">
        <f t="array" ref="B720">(1+B719)*(1+INDEX(Data!$F:$F,717-(ROW()-5)))-1</f>
        <v>1.4954041406118916</v>
      </c>
      <c r="C720" s="11" cm="1">
        <f t="array" ref="C720">(1+C719)*(1+INDEX(Data!$G:$G,717-(ROW()-5)))-1</f>
        <v>1.2165259348612829</v>
      </c>
      <c r="D720" s="11" cm="1">
        <f t="array" ref="D720">(1+D719)*(1+INDEX(Data!$H:$H,717-(ROW()-5)))-1</f>
        <v>1.1407706217832772</v>
      </c>
      <c r="E720" s="11" cm="1">
        <f t="array" ref="E720">(1+E719)*(1+INDEX(Data!$I:$I,717-(ROW()-5)))-1</f>
        <v>0.16374519025224443</v>
      </c>
    </row>
    <row r="721" spans="1:5" x14ac:dyDescent="0.2">
      <c r="A721" s="1"/>
      <c r="B721" s="11"/>
      <c r="C721" s="11"/>
      <c r="D721" s="11"/>
      <c r="E721" s="11"/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BE337-8249-154F-B481-8BB82AC43BE4}">
  <dimension ref="A1:G40"/>
  <sheetViews>
    <sheetView topLeftCell="A2" zoomScale="134" workbookViewId="0">
      <selection activeCell="F11" sqref="F11"/>
    </sheetView>
  </sheetViews>
  <sheetFormatPr baseColWidth="10" defaultRowHeight="16" x14ac:dyDescent="0.2"/>
  <cols>
    <col min="1" max="1" width="38.33203125" customWidth="1"/>
    <col min="2" max="2" width="11.6640625" customWidth="1"/>
    <col min="3" max="3" width="73.83203125" customWidth="1"/>
    <col min="4" max="4" width="24" customWidth="1"/>
    <col min="5" max="5" width="38.33203125" customWidth="1"/>
    <col min="6" max="6" width="11.6640625" customWidth="1"/>
    <col min="7" max="7" width="56" bestFit="1" customWidth="1"/>
  </cols>
  <sheetData>
    <row r="1" spans="1:7" ht="24" x14ac:dyDescent="0.3">
      <c r="A1" s="26" t="s">
        <v>112</v>
      </c>
      <c r="B1" s="28"/>
      <c r="C1" s="28"/>
      <c r="D1" s="28"/>
      <c r="E1" s="28"/>
      <c r="F1" s="28"/>
      <c r="G1" s="28"/>
    </row>
    <row r="2" spans="1:7" x14ac:dyDescent="0.2">
      <c r="A2" s="27"/>
      <c r="B2" s="28"/>
      <c r="C2" s="28"/>
      <c r="D2" s="28"/>
      <c r="E2" s="28"/>
      <c r="F2" s="28"/>
      <c r="G2" s="28"/>
    </row>
    <row r="3" spans="1:7" x14ac:dyDescent="0.2">
      <c r="A3" s="28"/>
      <c r="B3" s="28"/>
      <c r="C3" s="28"/>
      <c r="D3" s="28"/>
      <c r="E3" s="28"/>
      <c r="F3" s="28"/>
      <c r="G3" s="28"/>
    </row>
    <row r="4" spans="1:7" ht="24" customHeight="1" x14ac:dyDescent="0.2">
      <c r="A4" s="54" t="s">
        <v>191</v>
      </c>
      <c r="B4" s="54"/>
      <c r="C4" s="54"/>
      <c r="D4" s="28"/>
      <c r="E4" s="54" t="s">
        <v>192</v>
      </c>
      <c r="F4" s="54"/>
      <c r="G4" s="54"/>
    </row>
    <row r="5" spans="1:7" x14ac:dyDescent="0.2">
      <c r="A5" s="29" t="s">
        <v>113</v>
      </c>
      <c r="B5" s="29" t="s">
        <v>101</v>
      </c>
      <c r="C5" s="29" t="s">
        <v>114</v>
      </c>
      <c r="D5" s="28"/>
      <c r="E5" s="29" t="s">
        <v>113</v>
      </c>
      <c r="F5" s="29" t="s">
        <v>101</v>
      </c>
      <c r="G5" s="29" t="s">
        <v>114</v>
      </c>
    </row>
    <row r="6" spans="1:7" x14ac:dyDescent="0.2">
      <c r="A6" s="30" t="s">
        <v>189</v>
      </c>
      <c r="B6" s="31">
        <f ca="1">MLR!N18</f>
        <v>9.2749266991816709E-2</v>
      </c>
      <c r="C6" s="32" t="s">
        <v>206</v>
      </c>
      <c r="D6" s="28"/>
      <c r="E6" s="30" t="s">
        <v>117</v>
      </c>
      <c r="F6" s="38">
        <f ca="1">Results!B39</f>
        <v>2.7065876287075685E-2</v>
      </c>
      <c r="G6" s="32" t="s">
        <v>118</v>
      </c>
    </row>
    <row r="7" spans="1:7" x14ac:dyDescent="0.2">
      <c r="A7" s="33" t="s">
        <v>144</v>
      </c>
      <c r="B7" s="34">
        <f ca="1">MLR!R25</f>
        <v>0.20067852857686852</v>
      </c>
      <c r="C7" s="35" t="s">
        <v>115</v>
      </c>
      <c r="D7" s="28"/>
      <c r="E7" s="33" t="s">
        <v>119</v>
      </c>
      <c r="F7" s="39">
        <f ca="1">Results!B40</f>
        <v>-1.7506626787104351E-2</v>
      </c>
      <c r="G7" s="35" t="s">
        <v>120</v>
      </c>
    </row>
    <row r="8" spans="1:7" x14ac:dyDescent="0.2">
      <c r="A8" s="30" t="s">
        <v>116</v>
      </c>
      <c r="B8" s="36">
        <f ca="1">MLR!N31</f>
        <v>6.6569519498971457E-3</v>
      </c>
      <c r="C8" s="32" t="s">
        <v>190</v>
      </c>
      <c r="D8" s="28"/>
      <c r="E8" s="30" t="s">
        <v>193</v>
      </c>
      <c r="F8" s="40" t="str">
        <f ca="1">ROUND(Results!C35,3)&amp;"  /  "&amp;ROUND('Cross sectional'!BD13,3)</f>
        <v>0,287  /  -2,271</v>
      </c>
      <c r="G8" s="32" t="s">
        <v>205</v>
      </c>
    </row>
    <row r="9" spans="1:7" x14ac:dyDescent="0.2">
      <c r="A9" s="33" t="s">
        <v>145</v>
      </c>
      <c r="B9" s="34">
        <f ca="1">MLR!P31</f>
        <v>1.7976851799365865</v>
      </c>
      <c r="C9" s="35" t="str">
        <f ca="1">"p = "&amp;ROUND(MLR!Q31,3)&amp;" — not significant at 5%"</f>
        <v>p = 0,081 — not significant at 5%</v>
      </c>
      <c r="D9" s="28"/>
      <c r="E9" s="28"/>
      <c r="F9" s="28"/>
      <c r="G9" s="28"/>
    </row>
    <row r="10" spans="1:7" x14ac:dyDescent="0.2">
      <c r="A10" s="30" t="s">
        <v>146</v>
      </c>
      <c r="B10" s="37">
        <f ca="1">MLR!N21</f>
        <v>36</v>
      </c>
      <c r="C10" s="32" t="s">
        <v>147</v>
      </c>
      <c r="D10" s="28"/>
      <c r="E10" s="28"/>
      <c r="F10" s="28"/>
      <c r="G10" s="28"/>
    </row>
    <row r="11" spans="1:7" x14ac:dyDescent="0.2">
      <c r="A11" s="28"/>
      <c r="B11" s="28"/>
      <c r="C11" s="28"/>
      <c r="D11" s="28"/>
      <c r="E11" s="28"/>
      <c r="F11" s="28"/>
      <c r="G11" s="28"/>
    </row>
    <row r="12" spans="1:7" ht="24" customHeight="1" x14ac:dyDescent="0.2">
      <c r="A12" s="54" t="s">
        <v>194</v>
      </c>
      <c r="B12" s="54"/>
      <c r="C12" s="54"/>
      <c r="D12" s="28"/>
      <c r="E12" s="54" t="s">
        <v>198</v>
      </c>
      <c r="F12" s="54"/>
      <c r="G12" s="54"/>
    </row>
    <row r="13" spans="1:7" x14ac:dyDescent="0.2">
      <c r="A13" s="53" t="s">
        <v>195</v>
      </c>
      <c r="B13" s="53"/>
      <c r="C13" s="53"/>
      <c r="D13" s="28"/>
      <c r="E13" s="53" t="s">
        <v>199</v>
      </c>
      <c r="F13" s="53"/>
      <c r="G13" s="53"/>
    </row>
    <row r="14" spans="1:7" x14ac:dyDescent="0.2">
      <c r="A14" s="53" t="s">
        <v>196</v>
      </c>
      <c r="B14" s="53"/>
      <c r="C14" s="53"/>
      <c r="D14" s="28"/>
      <c r="E14" s="53" t="s">
        <v>204</v>
      </c>
      <c r="F14" s="53"/>
      <c r="G14" s="53"/>
    </row>
    <row r="15" spans="1:7" x14ac:dyDescent="0.2">
      <c r="A15" s="53" t="s">
        <v>197</v>
      </c>
      <c r="B15" s="53"/>
      <c r="C15" s="53"/>
      <c r="D15" s="28"/>
      <c r="E15" s="53" t="s">
        <v>200</v>
      </c>
      <c r="F15" s="53"/>
      <c r="G15" s="53"/>
    </row>
    <row r="16" spans="1:7" x14ac:dyDescent="0.2">
      <c r="A16" s="28"/>
      <c r="B16" s="28"/>
      <c r="C16" s="28"/>
      <c r="D16" s="28"/>
      <c r="E16" s="53" t="s">
        <v>201</v>
      </c>
      <c r="F16" s="53"/>
      <c r="G16" s="53"/>
    </row>
    <row r="17" spans="1:7" x14ac:dyDescent="0.2">
      <c r="A17" s="28"/>
      <c r="B17" s="28"/>
      <c r="C17" s="28"/>
      <c r="D17" s="28"/>
      <c r="E17" s="53" t="s">
        <v>202</v>
      </c>
      <c r="F17" s="53"/>
      <c r="G17" s="53"/>
    </row>
    <row r="18" spans="1:7" x14ac:dyDescent="0.2">
      <c r="A18" s="28"/>
      <c r="B18" s="28"/>
      <c r="C18" s="28"/>
      <c r="D18" s="28"/>
      <c r="E18" s="53" t="s">
        <v>203</v>
      </c>
      <c r="F18" s="53"/>
      <c r="G18" s="53"/>
    </row>
    <row r="19" spans="1:7" x14ac:dyDescent="0.2">
      <c r="A19" s="28"/>
      <c r="B19" s="28"/>
      <c r="C19" s="28"/>
      <c r="D19" s="28"/>
      <c r="E19" s="28"/>
      <c r="F19" s="28"/>
      <c r="G19" s="28"/>
    </row>
    <row r="20" spans="1:7" x14ac:dyDescent="0.2">
      <c r="A20" s="28"/>
      <c r="B20" s="28"/>
      <c r="C20" s="28"/>
      <c r="D20" s="28"/>
      <c r="E20" s="28"/>
      <c r="F20" s="28"/>
      <c r="G20" s="28"/>
    </row>
    <row r="21" spans="1:7" x14ac:dyDescent="0.2">
      <c r="A21" s="28"/>
      <c r="B21" s="28"/>
      <c r="C21" s="28"/>
      <c r="D21" s="28"/>
      <c r="E21" s="28"/>
      <c r="F21" s="28"/>
      <c r="G21" s="28"/>
    </row>
    <row r="22" spans="1:7" x14ac:dyDescent="0.2">
      <c r="A22" s="28"/>
      <c r="B22" s="28"/>
      <c r="C22" s="28"/>
      <c r="D22" s="28"/>
      <c r="E22" s="28"/>
      <c r="F22" s="28"/>
      <c r="G22" s="28"/>
    </row>
    <row r="23" spans="1:7" x14ac:dyDescent="0.2">
      <c r="A23" s="28"/>
      <c r="B23" s="28"/>
      <c r="C23" s="28"/>
      <c r="D23" s="28"/>
      <c r="E23" s="28"/>
      <c r="F23" s="28"/>
      <c r="G23" s="28"/>
    </row>
    <row r="24" spans="1:7" x14ac:dyDescent="0.2">
      <c r="A24" s="28"/>
      <c r="B24" s="28"/>
      <c r="C24" s="28"/>
      <c r="D24" s="28"/>
      <c r="E24" s="28"/>
      <c r="F24" s="28"/>
      <c r="G24" s="28"/>
    </row>
    <row r="25" spans="1:7" x14ac:dyDescent="0.2">
      <c r="A25" s="28"/>
      <c r="B25" s="28"/>
      <c r="C25" s="28"/>
      <c r="D25" s="28"/>
      <c r="E25" s="28"/>
      <c r="F25" s="28"/>
      <c r="G25" s="28"/>
    </row>
    <row r="26" spans="1:7" x14ac:dyDescent="0.2">
      <c r="A26" s="28"/>
      <c r="B26" s="28"/>
      <c r="C26" s="28"/>
      <c r="D26" s="28"/>
      <c r="E26" s="28"/>
      <c r="F26" s="28"/>
      <c r="G26" s="28"/>
    </row>
    <row r="27" spans="1:7" x14ac:dyDescent="0.2">
      <c r="A27" s="28"/>
      <c r="B27" s="28"/>
      <c r="C27" s="28"/>
      <c r="D27" s="28"/>
      <c r="E27" s="28"/>
      <c r="F27" s="28"/>
      <c r="G27" s="28"/>
    </row>
    <row r="28" spans="1:7" x14ac:dyDescent="0.2">
      <c r="A28" s="28"/>
      <c r="B28" s="28"/>
      <c r="C28" s="28"/>
      <c r="D28" s="28"/>
      <c r="E28" s="28"/>
      <c r="F28" s="28"/>
      <c r="G28" s="28"/>
    </row>
    <row r="29" spans="1:7" x14ac:dyDescent="0.2">
      <c r="A29" s="28"/>
      <c r="B29" s="28"/>
      <c r="C29" s="28"/>
      <c r="D29" s="28"/>
      <c r="E29" s="28"/>
      <c r="F29" s="28"/>
      <c r="G29" s="28"/>
    </row>
    <row r="30" spans="1:7" x14ac:dyDescent="0.2">
      <c r="A30" s="28"/>
      <c r="B30" s="28"/>
      <c r="C30" s="28"/>
      <c r="D30" s="28"/>
      <c r="E30" s="28"/>
      <c r="F30" s="28"/>
      <c r="G30" s="28"/>
    </row>
    <row r="31" spans="1:7" x14ac:dyDescent="0.2">
      <c r="A31" s="28"/>
      <c r="B31" s="28"/>
      <c r="C31" s="28"/>
      <c r="D31" s="28"/>
      <c r="E31" s="28"/>
      <c r="F31" s="28"/>
      <c r="G31" s="28"/>
    </row>
    <row r="32" spans="1:7" x14ac:dyDescent="0.2">
      <c r="A32" s="28"/>
      <c r="B32" s="28"/>
      <c r="C32" s="28"/>
      <c r="D32" s="28"/>
      <c r="E32" s="28"/>
      <c r="F32" s="28"/>
      <c r="G32" s="28"/>
    </row>
    <row r="33" spans="1:7" x14ac:dyDescent="0.2">
      <c r="A33" s="28"/>
      <c r="B33" s="28"/>
      <c r="C33" s="28"/>
      <c r="D33" s="28"/>
      <c r="E33" s="28"/>
      <c r="F33" s="28"/>
      <c r="G33" s="28"/>
    </row>
    <row r="34" spans="1:7" x14ac:dyDescent="0.2">
      <c r="A34" s="28"/>
      <c r="B34" s="28"/>
      <c r="C34" s="28"/>
      <c r="D34" s="28"/>
      <c r="E34" s="28"/>
      <c r="F34" s="28"/>
      <c r="G34" s="28"/>
    </row>
    <row r="35" spans="1:7" x14ac:dyDescent="0.2">
      <c r="A35" s="28"/>
      <c r="B35" s="28"/>
      <c r="C35" s="28"/>
      <c r="D35" s="28"/>
      <c r="E35" s="28"/>
      <c r="F35" s="28"/>
      <c r="G35" s="28"/>
    </row>
    <row r="36" spans="1:7" x14ac:dyDescent="0.2">
      <c r="A36" s="28"/>
      <c r="B36" s="28"/>
      <c r="C36" s="28"/>
      <c r="D36" s="28"/>
      <c r="E36" s="28"/>
      <c r="F36" s="28"/>
      <c r="G36" s="28"/>
    </row>
    <row r="37" spans="1:7" x14ac:dyDescent="0.2">
      <c r="A37" s="28"/>
      <c r="B37" s="28"/>
      <c r="C37" s="28"/>
      <c r="D37" s="28"/>
      <c r="E37" s="28"/>
      <c r="F37" s="28"/>
      <c r="G37" s="28"/>
    </row>
    <row r="38" spans="1:7" x14ac:dyDescent="0.2">
      <c r="A38" s="28"/>
      <c r="B38" s="28"/>
      <c r="C38" s="28"/>
      <c r="D38" s="28"/>
      <c r="E38" s="28"/>
      <c r="F38" s="28"/>
      <c r="G38" s="28"/>
    </row>
    <row r="39" spans="1:7" x14ac:dyDescent="0.2">
      <c r="A39" s="28"/>
      <c r="B39" s="28"/>
      <c r="C39" s="28"/>
      <c r="D39" s="28"/>
      <c r="E39" s="28"/>
      <c r="F39" s="28"/>
      <c r="G39" s="28"/>
    </row>
    <row r="40" spans="1:7" x14ac:dyDescent="0.2">
      <c r="A40" s="28"/>
      <c r="B40" s="28"/>
      <c r="C40" s="28"/>
      <c r="D40" s="28"/>
      <c r="E40" s="28"/>
      <c r="F40" s="28"/>
      <c r="G40" s="28"/>
    </row>
  </sheetData>
  <mergeCells count="13">
    <mergeCell ref="A4:C4"/>
    <mergeCell ref="E4:G4"/>
    <mergeCell ref="A12:C12"/>
    <mergeCell ref="E12:G12"/>
    <mergeCell ref="A13:C13"/>
    <mergeCell ref="E18:G18"/>
    <mergeCell ref="A15:C15"/>
    <mergeCell ref="E13:G13"/>
    <mergeCell ref="E14:G14"/>
    <mergeCell ref="E15:G15"/>
    <mergeCell ref="E16:G16"/>
    <mergeCell ref="E17:G17"/>
    <mergeCell ref="A14:C1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37629-E005-9544-BC59-90B4859A9EF8}">
  <dimension ref="A1:AE54"/>
  <sheetViews>
    <sheetView zoomScale="50" workbookViewId="0">
      <selection activeCell="G39" sqref="G39"/>
    </sheetView>
  </sheetViews>
  <sheetFormatPr baseColWidth="10" defaultRowHeight="16" x14ac:dyDescent="0.2"/>
  <cols>
    <col min="1" max="1" width="30" customWidth="1"/>
    <col min="2" max="5" width="15.83203125" customWidth="1"/>
  </cols>
  <sheetData>
    <row r="1" spans="1:31" ht="18" x14ac:dyDescent="0.25">
      <c r="A1" s="8" t="s">
        <v>80</v>
      </c>
    </row>
    <row r="3" spans="1:31" x14ac:dyDescent="0.2">
      <c r="A3" t="s">
        <v>10</v>
      </c>
      <c r="B3" s="6">
        <v>252</v>
      </c>
    </row>
    <row r="4" spans="1:31" x14ac:dyDescent="0.2">
      <c r="A4" t="s">
        <v>11</v>
      </c>
      <c r="B4" s="6">
        <v>10</v>
      </c>
    </row>
    <row r="5" spans="1:31" x14ac:dyDescent="0.2">
      <c r="A5" t="s">
        <v>12</v>
      </c>
      <c r="B5" s="6">
        <v>1.96</v>
      </c>
    </row>
    <row r="6" spans="1:31" x14ac:dyDescent="0.2">
      <c r="P6" s="9" t="s">
        <v>73</v>
      </c>
      <c r="Q6" s="9"/>
      <c r="R6" s="9"/>
      <c r="S6" s="18"/>
      <c r="T6" s="18"/>
      <c r="U6" s="18"/>
      <c r="V6" s="18"/>
      <c r="W6" s="18"/>
      <c r="X6" s="9" t="s">
        <v>79</v>
      </c>
      <c r="Y6" s="9"/>
      <c r="Z6" s="9"/>
      <c r="AA6" s="18"/>
      <c r="AB6" s="18"/>
      <c r="AC6" s="18"/>
      <c r="AD6" s="18"/>
      <c r="AE6" s="18"/>
    </row>
    <row r="7" spans="1:31" x14ac:dyDescent="0.2">
      <c r="A7" s="9" t="s">
        <v>81</v>
      </c>
      <c r="P7" s="43" t="s">
        <v>42</v>
      </c>
      <c r="Q7" s="43" t="s">
        <v>74</v>
      </c>
      <c r="R7" s="43" t="s">
        <v>75</v>
      </c>
      <c r="S7" s="43" t="s">
        <v>76</v>
      </c>
      <c r="T7" s="43" t="s">
        <v>48</v>
      </c>
      <c r="U7" s="43" t="s">
        <v>77</v>
      </c>
      <c r="V7" s="43" t="s">
        <v>78</v>
      </c>
      <c r="W7" s="18"/>
      <c r="X7" s="43" t="s">
        <v>42</v>
      </c>
      <c r="Y7" s="43" t="s">
        <v>74</v>
      </c>
      <c r="Z7" s="43" t="s">
        <v>75</v>
      </c>
      <c r="AA7" s="43" t="s">
        <v>76</v>
      </c>
      <c r="AB7" s="43" t="s">
        <v>48</v>
      </c>
      <c r="AC7" s="43" t="s">
        <v>77</v>
      </c>
      <c r="AD7" s="43" t="s">
        <v>78</v>
      </c>
      <c r="AE7" s="18"/>
    </row>
    <row r="8" spans="1:31" x14ac:dyDescent="0.2">
      <c r="A8" s="12" t="s">
        <v>42</v>
      </c>
      <c r="B8" s="12" t="s">
        <v>156</v>
      </c>
      <c r="C8" s="12" t="s">
        <v>157</v>
      </c>
      <c r="P8" s="18">
        <v>10</v>
      </c>
      <c r="Q8" s="44">
        <v>7.1999999999999998E-3</v>
      </c>
      <c r="R8" s="45">
        <v>3.2000000000000002E-3</v>
      </c>
      <c r="S8" s="46">
        <v>2.2400000000000002</v>
      </c>
      <c r="T8" s="18" t="s">
        <v>208</v>
      </c>
      <c r="U8" s="44">
        <v>2.7099999999999999E-2</v>
      </c>
      <c r="V8" s="18">
        <v>18</v>
      </c>
      <c r="W8" s="18"/>
      <c r="X8" s="18">
        <v>10</v>
      </c>
      <c r="Y8" s="44">
        <v>3.3999999999999998E-3</v>
      </c>
      <c r="Z8" s="45">
        <v>4.3E-3</v>
      </c>
      <c r="AA8" s="46">
        <v>0.78</v>
      </c>
      <c r="AB8" s="18" t="s">
        <v>209</v>
      </c>
      <c r="AC8" s="44">
        <v>-1.7500000000000002E-2</v>
      </c>
      <c r="AD8" s="18">
        <v>18</v>
      </c>
      <c r="AE8" s="18"/>
    </row>
    <row r="9" spans="1:31" x14ac:dyDescent="0.2">
      <c r="A9">
        <v>-10</v>
      </c>
      <c r="B9" s="5">
        <f ca="1">'Cross sectional'!AX23</f>
        <v>5.0766811340350586E-3</v>
      </c>
      <c r="C9" s="5">
        <f ca="1">'Cross sectional'!BF23</f>
        <v>7.0138059855039941E-3</v>
      </c>
      <c r="P9" s="18">
        <v>9</v>
      </c>
      <c r="Q9" s="44">
        <v>1.6000000000000001E-3</v>
      </c>
      <c r="R9" s="45">
        <v>4.7000000000000002E-3</v>
      </c>
      <c r="S9" s="46">
        <v>0.33</v>
      </c>
      <c r="T9" s="18" t="s">
        <v>209</v>
      </c>
      <c r="U9" s="44">
        <v>1.9699999999999999E-2</v>
      </c>
      <c r="V9" s="18">
        <v>18</v>
      </c>
      <c r="W9" s="18"/>
      <c r="X9" s="18">
        <v>9</v>
      </c>
      <c r="Y9" s="44">
        <v>-2.9999999999999997E-4</v>
      </c>
      <c r="Z9" s="45">
        <v>3.8999999999999998E-3</v>
      </c>
      <c r="AA9" s="46">
        <v>-7.0000000000000007E-2</v>
      </c>
      <c r="AB9" s="18" t="s">
        <v>209</v>
      </c>
      <c r="AC9" s="44">
        <v>-2.0799999999999999E-2</v>
      </c>
      <c r="AD9" s="18">
        <v>18</v>
      </c>
      <c r="AE9" s="18"/>
    </row>
    <row r="10" spans="1:31" x14ac:dyDescent="0.2">
      <c r="A10">
        <v>-9</v>
      </c>
      <c r="B10" s="5">
        <f ca="1">'Cross sectional'!AX22</f>
        <v>3.8169420493010531E-3</v>
      </c>
      <c r="C10" s="5">
        <f ca="1">'Cross sectional'!BF22</f>
        <v>1.7194051108493369E-3</v>
      </c>
      <c r="P10" s="47">
        <v>8</v>
      </c>
      <c r="Q10" s="48">
        <v>6.1999999999999998E-3</v>
      </c>
      <c r="R10" s="49">
        <v>3.0999999999999999E-3</v>
      </c>
      <c r="S10" s="50">
        <v>2.0299999999999998</v>
      </c>
      <c r="T10" s="47" t="s">
        <v>208</v>
      </c>
      <c r="U10" s="48">
        <v>1.8100000000000002E-2</v>
      </c>
      <c r="V10" s="47">
        <v>18</v>
      </c>
      <c r="W10" s="18"/>
      <c r="X10" s="18">
        <v>8</v>
      </c>
      <c r="Y10" s="44">
        <v>4.8999999999999998E-3</v>
      </c>
      <c r="Z10" s="45">
        <v>4.4999999999999997E-3</v>
      </c>
      <c r="AA10" s="46">
        <v>1.08</v>
      </c>
      <c r="AB10" s="18" t="s">
        <v>209</v>
      </c>
      <c r="AC10" s="44">
        <v>-2.06E-2</v>
      </c>
      <c r="AD10" s="18">
        <v>18</v>
      </c>
      <c r="AE10" s="18"/>
    </row>
    <row r="11" spans="1:31" x14ac:dyDescent="0.2">
      <c r="A11">
        <v>-8</v>
      </c>
      <c r="B11" s="5">
        <f ca="1">'Cross sectional'!AX21</f>
        <v>-4.8878483277892126E-4</v>
      </c>
      <c r="C11" s="5">
        <f ca="1">'Cross sectional'!BF21</f>
        <v>-5.6684273680789321E-3</v>
      </c>
      <c r="P11" s="18">
        <v>7</v>
      </c>
      <c r="Q11" s="44">
        <v>-8.9999999999999998E-4</v>
      </c>
      <c r="R11" s="45">
        <v>3.3999999999999998E-3</v>
      </c>
      <c r="S11" s="46">
        <v>-0.26</v>
      </c>
      <c r="T11" s="18" t="s">
        <v>209</v>
      </c>
      <c r="U11" s="44">
        <v>1.18E-2</v>
      </c>
      <c r="V11" s="18">
        <v>18</v>
      </c>
      <c r="W11" s="18"/>
      <c r="X11" s="18">
        <v>7</v>
      </c>
      <c r="Y11" s="44">
        <v>3.3999999999999998E-3</v>
      </c>
      <c r="Z11" s="45">
        <v>5.8999999999999999E-3</v>
      </c>
      <c r="AA11" s="46">
        <v>0.56999999999999995</v>
      </c>
      <c r="AB11" s="18" t="s">
        <v>209</v>
      </c>
      <c r="AC11" s="44">
        <v>-2.53E-2</v>
      </c>
      <c r="AD11" s="18">
        <v>18</v>
      </c>
      <c r="AE11" s="18"/>
    </row>
    <row r="12" spans="1:31" x14ac:dyDescent="0.2">
      <c r="A12">
        <v>-7</v>
      </c>
      <c r="B12" s="5">
        <f ca="1">'Cross sectional'!AX20</f>
        <v>-4.8720120526511979E-3</v>
      </c>
      <c r="C12" s="5">
        <f ca="1">'Cross sectional'!BF20</f>
        <v>-8.4854656074558887E-3</v>
      </c>
      <c r="P12" s="18">
        <v>6</v>
      </c>
      <c r="Q12" s="44">
        <v>-5.9999999999999995E-4</v>
      </c>
      <c r="R12" s="45">
        <v>5.3E-3</v>
      </c>
      <c r="S12" s="46">
        <v>-0.12</v>
      </c>
      <c r="T12" s="18" t="s">
        <v>209</v>
      </c>
      <c r="U12" s="44">
        <v>1.2699999999999999E-2</v>
      </c>
      <c r="V12" s="18">
        <v>18</v>
      </c>
      <c r="W12" s="18"/>
      <c r="X12" s="18">
        <v>6</v>
      </c>
      <c r="Y12" s="44">
        <v>-4.4000000000000003E-3</v>
      </c>
      <c r="Z12" s="45">
        <v>4.4999999999999997E-3</v>
      </c>
      <c r="AA12" s="46">
        <v>-0.97</v>
      </c>
      <c r="AB12" s="18" t="s">
        <v>209</v>
      </c>
      <c r="AC12" s="44">
        <v>-2.86E-2</v>
      </c>
      <c r="AD12" s="18">
        <v>18</v>
      </c>
      <c r="AE12" s="18"/>
    </row>
    <row r="13" spans="1:31" x14ac:dyDescent="0.2">
      <c r="A13">
        <v>-6</v>
      </c>
      <c r="B13" s="5">
        <f ca="1">'Cross sectional'!AX19</f>
        <v>-9.5515577352147663E-3</v>
      </c>
      <c r="C13" s="5">
        <f ca="1">'Cross sectional'!BF19</f>
        <v>-1.183374863386244E-2</v>
      </c>
      <c r="P13" s="18">
        <v>5</v>
      </c>
      <c r="Q13" s="44">
        <v>-6.9999999999999999E-4</v>
      </c>
      <c r="R13" s="45">
        <v>4.1000000000000003E-3</v>
      </c>
      <c r="S13" s="46">
        <v>-0.16</v>
      </c>
      <c r="T13" s="18" t="s">
        <v>209</v>
      </c>
      <c r="U13" s="44">
        <v>1.3299999999999999E-2</v>
      </c>
      <c r="V13" s="18">
        <v>18</v>
      </c>
      <c r="W13" s="18"/>
      <c r="X13" s="18">
        <v>5</v>
      </c>
      <c r="Y13" s="44">
        <v>5.0000000000000001E-4</v>
      </c>
      <c r="Z13" s="45">
        <v>2.7000000000000001E-3</v>
      </c>
      <c r="AA13" s="46">
        <v>0.18</v>
      </c>
      <c r="AB13" s="18" t="s">
        <v>209</v>
      </c>
      <c r="AC13" s="44">
        <v>-2.4299999999999999E-2</v>
      </c>
      <c r="AD13" s="18">
        <v>18</v>
      </c>
      <c r="AE13" s="18"/>
    </row>
    <row r="14" spans="1:31" x14ac:dyDescent="0.2">
      <c r="A14">
        <v>-5</v>
      </c>
      <c r="B14" s="5">
        <f ca="1">'Cross sectional'!AX18</f>
        <v>-1.7841305114313921E-2</v>
      </c>
      <c r="C14" s="5">
        <f ca="1">'Cross sectional'!BF18</f>
        <v>-1.2298101424559005E-2</v>
      </c>
      <c r="P14" s="18">
        <v>4</v>
      </c>
      <c r="Q14" s="44">
        <v>6.7000000000000002E-3</v>
      </c>
      <c r="R14" s="45">
        <v>4.1999999999999997E-3</v>
      </c>
      <c r="S14" s="46">
        <v>1.59</v>
      </c>
      <c r="T14" s="18" t="s">
        <v>209</v>
      </c>
      <c r="U14" s="44">
        <v>1.4E-2</v>
      </c>
      <c r="V14" s="18">
        <v>18</v>
      </c>
      <c r="W14" s="18"/>
      <c r="X14" s="18">
        <v>4</v>
      </c>
      <c r="Y14" s="44">
        <v>-2E-3</v>
      </c>
      <c r="Z14" s="45">
        <v>4.0000000000000001E-3</v>
      </c>
      <c r="AA14" s="46">
        <v>-0.49</v>
      </c>
      <c r="AB14" s="18" t="s">
        <v>209</v>
      </c>
      <c r="AC14" s="44">
        <v>-2.4799999999999999E-2</v>
      </c>
      <c r="AD14" s="18">
        <v>18</v>
      </c>
      <c r="AE14" s="18"/>
    </row>
    <row r="15" spans="1:31" x14ac:dyDescent="0.2">
      <c r="A15">
        <v>-4</v>
      </c>
      <c r="B15" s="5">
        <f ca="1">'Cross sectional'!AX17</f>
        <v>-1.9907741808138035E-2</v>
      </c>
      <c r="C15" s="5">
        <f ca="1">'Cross sectional'!BF17</f>
        <v>-1.3068143245593022E-2</v>
      </c>
      <c r="P15" s="18">
        <v>3</v>
      </c>
      <c r="Q15" s="44">
        <v>5.1000000000000004E-3</v>
      </c>
      <c r="R15" s="45">
        <v>4.4000000000000003E-3</v>
      </c>
      <c r="S15" s="46">
        <v>1.1599999999999999</v>
      </c>
      <c r="T15" s="18" t="s">
        <v>209</v>
      </c>
      <c r="U15" s="44">
        <v>7.1999999999999998E-3</v>
      </c>
      <c r="V15" s="18">
        <v>18</v>
      </c>
      <c r="W15" s="18"/>
      <c r="X15" s="18">
        <v>3</v>
      </c>
      <c r="Y15" s="44">
        <v>-6.7000000000000002E-3</v>
      </c>
      <c r="Z15" s="45">
        <v>3.5000000000000001E-3</v>
      </c>
      <c r="AA15" s="46">
        <v>-1.92</v>
      </c>
      <c r="AB15" s="18" t="s">
        <v>209</v>
      </c>
      <c r="AC15" s="44">
        <v>-2.29E-2</v>
      </c>
      <c r="AD15" s="18">
        <v>18</v>
      </c>
      <c r="AE15" s="18"/>
    </row>
    <row r="16" spans="1:31" x14ac:dyDescent="0.2">
      <c r="A16">
        <v>-3</v>
      </c>
      <c r="B16" s="5">
        <f ca="1">'Cross sectional'!AX16</f>
        <v>-1.6173040557316942E-2</v>
      </c>
      <c r="C16" s="5">
        <f ca="1">'Cross sectional'!BF16</f>
        <v>-1.0795990439589898E-2</v>
      </c>
      <c r="P16" s="18">
        <v>2</v>
      </c>
      <c r="Q16" s="44">
        <v>-2.3E-3</v>
      </c>
      <c r="R16" s="45">
        <v>5.3E-3</v>
      </c>
      <c r="S16" s="46">
        <v>-0.43</v>
      </c>
      <c r="T16" s="18" t="s">
        <v>209</v>
      </c>
      <c r="U16" s="44">
        <v>2.0999999999999999E-3</v>
      </c>
      <c r="V16" s="18">
        <v>18</v>
      </c>
      <c r="W16" s="18"/>
      <c r="X16" s="18">
        <v>2</v>
      </c>
      <c r="Y16" s="44">
        <v>3.5000000000000001E-3</v>
      </c>
      <c r="Z16" s="45">
        <v>5.3E-3</v>
      </c>
      <c r="AA16" s="46">
        <v>0.66</v>
      </c>
      <c r="AB16" s="18" t="s">
        <v>209</v>
      </c>
      <c r="AC16" s="44">
        <v>-1.6299999999999999E-2</v>
      </c>
      <c r="AD16" s="18">
        <v>18</v>
      </c>
      <c r="AE16" s="18"/>
    </row>
    <row r="17" spans="1:31" x14ac:dyDescent="0.2">
      <c r="A17">
        <v>-2</v>
      </c>
      <c r="B17" s="5">
        <f ca="1">'Cross sectional'!AX15</f>
        <v>-1.1785184623821165E-2</v>
      </c>
      <c r="C17" s="5">
        <f ca="1">'Cross sectional'!BF15</f>
        <v>-9.2973816571216839E-3</v>
      </c>
      <c r="P17" s="18">
        <v>1</v>
      </c>
      <c r="Q17" s="44">
        <v>-1E-4</v>
      </c>
      <c r="R17" s="45">
        <v>4.3E-3</v>
      </c>
      <c r="S17" s="46">
        <v>-0.03</v>
      </c>
      <c r="T17" s="18" t="s">
        <v>209</v>
      </c>
      <c r="U17" s="44">
        <v>4.4000000000000003E-3</v>
      </c>
      <c r="V17" s="18">
        <v>18</v>
      </c>
      <c r="W17" s="18"/>
      <c r="X17" s="18">
        <v>1</v>
      </c>
      <c r="Y17" s="44">
        <v>-2.3999999999999998E-3</v>
      </c>
      <c r="Z17" s="45">
        <v>4.7000000000000002E-3</v>
      </c>
      <c r="AA17" s="46">
        <v>-0.52</v>
      </c>
      <c r="AB17" s="18" t="s">
        <v>209</v>
      </c>
      <c r="AC17" s="44">
        <v>-1.9699999999999999E-2</v>
      </c>
      <c r="AD17" s="18">
        <v>18</v>
      </c>
      <c r="AE17" s="18"/>
    </row>
    <row r="18" spans="1:31" x14ac:dyDescent="0.2">
      <c r="A18">
        <v>-1</v>
      </c>
      <c r="B18" s="5">
        <f ca="1">'Cross sectional'!AX14</f>
        <v>2.2984506220313783E-3</v>
      </c>
      <c r="C18" s="5">
        <f ca="1">'Cross sectional'!BF14</f>
        <v>-7.5422491030121552E-3</v>
      </c>
      <c r="P18" s="18">
        <v>0</v>
      </c>
      <c r="Q18" s="44">
        <v>2.2000000000000001E-3</v>
      </c>
      <c r="R18" s="45">
        <v>7.7999999999999996E-3</v>
      </c>
      <c r="S18" s="46">
        <v>0.28999999999999998</v>
      </c>
      <c r="T18" s="18" t="s">
        <v>209</v>
      </c>
      <c r="U18" s="44">
        <v>4.4999999999999997E-3</v>
      </c>
      <c r="V18" s="18">
        <v>18</v>
      </c>
      <c r="W18" s="18"/>
      <c r="X18" s="47">
        <v>0</v>
      </c>
      <c r="Y18" s="48">
        <v>-9.7999999999999997E-3</v>
      </c>
      <c r="Z18" s="49">
        <v>4.3E-3</v>
      </c>
      <c r="AA18" s="50">
        <v>-2.27</v>
      </c>
      <c r="AB18" s="47" t="s">
        <v>208</v>
      </c>
      <c r="AC18" s="48">
        <v>-1.7299999999999999E-2</v>
      </c>
      <c r="AD18" s="47">
        <v>18</v>
      </c>
      <c r="AE18" s="18"/>
    </row>
    <row r="19" spans="1:31" x14ac:dyDescent="0.2">
      <c r="A19">
        <v>0</v>
      </c>
      <c r="B19" s="5">
        <f ca="1">'Cross sectional'!AX13</f>
        <v>4.5290656129759466E-3</v>
      </c>
      <c r="C19" s="5">
        <f ca="1">'Cross sectional'!BF13</f>
        <v>-1.7313704760601345E-2</v>
      </c>
      <c r="P19" s="47">
        <v>-1</v>
      </c>
      <c r="Q19" s="48">
        <v>1.43E-2</v>
      </c>
      <c r="R19" s="49">
        <v>5.7999999999999996E-3</v>
      </c>
      <c r="S19" s="50">
        <v>2.46</v>
      </c>
      <c r="T19" s="47" t="s">
        <v>208</v>
      </c>
      <c r="U19" s="48">
        <v>2.3E-3</v>
      </c>
      <c r="V19" s="47">
        <v>18</v>
      </c>
      <c r="W19" s="18"/>
      <c r="X19" s="18">
        <v>-1</v>
      </c>
      <c r="Y19" s="44">
        <v>1.8E-3</v>
      </c>
      <c r="Z19" s="45">
        <v>1.6999999999999999E-3</v>
      </c>
      <c r="AA19" s="46">
        <v>1.02</v>
      </c>
      <c r="AB19" s="18" t="s">
        <v>209</v>
      </c>
      <c r="AC19" s="44">
        <v>-7.4999999999999997E-3</v>
      </c>
      <c r="AD19" s="18">
        <v>18</v>
      </c>
      <c r="AE19" s="18"/>
    </row>
    <row r="20" spans="1:31" x14ac:dyDescent="0.2">
      <c r="A20">
        <v>1</v>
      </c>
      <c r="B20" s="5">
        <f ca="1">'Cross sectional'!AX12</f>
        <v>4.4130297039635114E-3</v>
      </c>
      <c r="C20" s="5">
        <f ca="1">'Cross sectional'!BF12</f>
        <v>-1.9680074916376245E-2</v>
      </c>
      <c r="P20" s="18">
        <v>-2</v>
      </c>
      <c r="Q20" s="44">
        <v>4.4999999999999997E-3</v>
      </c>
      <c r="R20" s="45">
        <v>3.0000000000000001E-3</v>
      </c>
      <c r="S20" s="46">
        <v>1.49</v>
      </c>
      <c r="T20" s="18" t="s">
        <v>209</v>
      </c>
      <c r="U20" s="44">
        <v>-1.18E-2</v>
      </c>
      <c r="V20" s="18">
        <v>18</v>
      </c>
      <c r="W20" s="18"/>
      <c r="X20" s="18">
        <v>-2</v>
      </c>
      <c r="Y20" s="44">
        <v>1.5E-3</v>
      </c>
      <c r="Z20" s="45">
        <v>1.8E-3</v>
      </c>
      <c r="AA20" s="46">
        <v>0.85</v>
      </c>
      <c r="AB20" s="18" t="s">
        <v>209</v>
      </c>
      <c r="AC20" s="44">
        <v>-9.2999999999999992E-3</v>
      </c>
      <c r="AD20" s="18">
        <v>18</v>
      </c>
      <c r="AE20" s="18"/>
    </row>
    <row r="21" spans="1:31" x14ac:dyDescent="0.2">
      <c r="A21">
        <v>2</v>
      </c>
      <c r="B21" s="5">
        <f ca="1">'Cross sectional'!AX11</f>
        <v>2.0881617270056552E-3</v>
      </c>
      <c r="C21" s="5">
        <f ca="1">'Cross sectional'!BF11</f>
        <v>-1.6280706313315907E-2</v>
      </c>
      <c r="P21" s="18">
        <v>-3</v>
      </c>
      <c r="Q21" s="44">
        <v>3.8E-3</v>
      </c>
      <c r="R21" s="45">
        <v>3.5000000000000001E-3</v>
      </c>
      <c r="S21" s="46">
        <v>1.0900000000000001</v>
      </c>
      <c r="T21" s="18" t="s">
        <v>209</v>
      </c>
      <c r="U21" s="44">
        <v>-1.6199999999999999E-2</v>
      </c>
      <c r="V21" s="18">
        <v>18</v>
      </c>
      <c r="W21" s="18"/>
      <c r="X21" s="18">
        <v>-3</v>
      </c>
      <c r="Y21" s="44">
        <v>2.3E-3</v>
      </c>
      <c r="Z21" s="45">
        <v>2E-3</v>
      </c>
      <c r="AA21" s="46">
        <v>1.1399999999999999</v>
      </c>
      <c r="AB21" s="18" t="s">
        <v>209</v>
      </c>
      <c r="AC21" s="44">
        <v>-1.0800000000000001E-2</v>
      </c>
      <c r="AD21" s="18">
        <v>18</v>
      </c>
      <c r="AE21" s="18"/>
    </row>
    <row r="22" spans="1:31" x14ac:dyDescent="0.2">
      <c r="A22">
        <v>3</v>
      </c>
      <c r="B22" s="5">
        <f ca="1">'Cross sectional'!AX10</f>
        <v>7.2268689106267381E-3</v>
      </c>
      <c r="C22" s="5">
        <f ca="1">'Cross sectional'!BF10</f>
        <v>-2.286528850833236E-2</v>
      </c>
      <c r="P22" s="18">
        <v>-4</v>
      </c>
      <c r="Q22" s="44">
        <v>-2.0999999999999999E-3</v>
      </c>
      <c r="R22" s="45">
        <v>4.4000000000000003E-3</v>
      </c>
      <c r="S22" s="46">
        <v>-0.48</v>
      </c>
      <c r="T22" s="18" t="s">
        <v>209</v>
      </c>
      <c r="U22" s="44">
        <v>-1.9900000000000001E-2</v>
      </c>
      <c r="V22" s="18">
        <v>18</v>
      </c>
      <c r="W22" s="18"/>
      <c r="X22" s="18">
        <v>-4</v>
      </c>
      <c r="Y22" s="44">
        <v>-8.0000000000000004E-4</v>
      </c>
      <c r="Z22" s="45">
        <v>2.3E-3</v>
      </c>
      <c r="AA22" s="46">
        <v>-0.34</v>
      </c>
      <c r="AB22" s="18" t="s">
        <v>209</v>
      </c>
      <c r="AC22" s="44">
        <v>-1.3100000000000001E-2</v>
      </c>
      <c r="AD22" s="18">
        <v>18</v>
      </c>
      <c r="AE22" s="18"/>
    </row>
    <row r="23" spans="1:31" x14ac:dyDescent="0.2">
      <c r="A23">
        <v>4</v>
      </c>
      <c r="B23" s="5">
        <f ca="1">'Cross sectional'!AX9</f>
        <v>1.3978076310454002E-2</v>
      </c>
      <c r="C23" s="5">
        <f ca="1">'Cross sectional'!BF9</f>
        <v>-2.4790585605021564E-2</v>
      </c>
      <c r="P23" s="18">
        <v>-5</v>
      </c>
      <c r="Q23" s="44">
        <v>-8.3999999999999995E-3</v>
      </c>
      <c r="R23" s="45">
        <v>4.7999999999999996E-3</v>
      </c>
      <c r="S23" s="46">
        <v>-1.74</v>
      </c>
      <c r="T23" s="18" t="s">
        <v>209</v>
      </c>
      <c r="U23" s="44">
        <v>-1.78E-2</v>
      </c>
      <c r="V23" s="18">
        <v>18</v>
      </c>
      <c r="W23" s="18"/>
      <c r="X23" s="18">
        <v>-5</v>
      </c>
      <c r="Y23" s="44">
        <v>-5.0000000000000001E-4</v>
      </c>
      <c r="Z23" s="45">
        <v>3.5000000000000001E-3</v>
      </c>
      <c r="AA23" s="46">
        <v>-0.14000000000000001</v>
      </c>
      <c r="AB23" s="18" t="s">
        <v>209</v>
      </c>
      <c r="AC23" s="44">
        <v>-1.23E-2</v>
      </c>
      <c r="AD23" s="18">
        <v>18</v>
      </c>
      <c r="AE23" s="18"/>
    </row>
    <row r="24" spans="1:31" x14ac:dyDescent="0.2">
      <c r="A24">
        <v>5</v>
      </c>
      <c r="B24" s="5">
        <f ca="1">'Cross sectional'!AX8</f>
        <v>1.3303512875227241E-2</v>
      </c>
      <c r="C24" s="5">
        <f ca="1">'Cross sectional'!BF8</f>
        <v>-2.4302992403550605E-2</v>
      </c>
      <c r="P24" s="18">
        <v>-6</v>
      </c>
      <c r="Q24" s="44">
        <v>-4.7000000000000002E-3</v>
      </c>
      <c r="R24" s="45">
        <v>5.5999999999999999E-3</v>
      </c>
      <c r="S24" s="46">
        <v>-0.84</v>
      </c>
      <c r="T24" s="18" t="s">
        <v>209</v>
      </c>
      <c r="U24" s="44">
        <v>-9.5999999999999992E-3</v>
      </c>
      <c r="V24" s="18">
        <v>18</v>
      </c>
      <c r="W24" s="18"/>
      <c r="X24" s="18">
        <v>-6</v>
      </c>
      <c r="Y24" s="44">
        <v>-3.3999999999999998E-3</v>
      </c>
      <c r="Z24" s="45">
        <v>3.0000000000000001E-3</v>
      </c>
      <c r="AA24" s="46">
        <v>-1.1399999999999999</v>
      </c>
      <c r="AB24" s="18" t="s">
        <v>209</v>
      </c>
      <c r="AC24" s="44">
        <v>-1.18E-2</v>
      </c>
      <c r="AD24" s="18">
        <v>18</v>
      </c>
      <c r="AE24" s="18"/>
    </row>
    <row r="25" spans="1:31" x14ac:dyDescent="0.2">
      <c r="A25">
        <v>6</v>
      </c>
      <c r="B25" s="5">
        <f ca="1">'Cross sectional'!AX7</f>
        <v>1.2659128211713444E-2</v>
      </c>
      <c r="C25" s="5">
        <f ca="1">'Cross sectional'!BF7</f>
        <v>-2.8591658118224395E-2</v>
      </c>
      <c r="P25" s="18">
        <v>-7</v>
      </c>
      <c r="Q25" s="44">
        <v>-4.4000000000000003E-3</v>
      </c>
      <c r="R25" s="45">
        <v>3.3999999999999998E-3</v>
      </c>
      <c r="S25" s="46">
        <v>-1.29</v>
      </c>
      <c r="T25" s="18" t="s">
        <v>209</v>
      </c>
      <c r="U25" s="44">
        <v>-4.8999999999999998E-3</v>
      </c>
      <c r="V25" s="18">
        <v>18</v>
      </c>
      <c r="W25" s="18"/>
      <c r="X25" s="18">
        <v>-7</v>
      </c>
      <c r="Y25" s="44">
        <v>-2.8E-3</v>
      </c>
      <c r="Z25" s="45">
        <v>3.0000000000000001E-3</v>
      </c>
      <c r="AA25" s="46">
        <v>-0.94</v>
      </c>
      <c r="AB25" s="18" t="s">
        <v>209</v>
      </c>
      <c r="AC25" s="44">
        <v>-8.5000000000000006E-3</v>
      </c>
      <c r="AD25" s="18">
        <v>18</v>
      </c>
      <c r="AE25" s="18"/>
    </row>
    <row r="26" spans="1:31" x14ac:dyDescent="0.2">
      <c r="A26">
        <v>7</v>
      </c>
      <c r="B26" s="5">
        <f ca="1">'Cross sectional'!AX6</f>
        <v>1.177794372072527E-2</v>
      </c>
      <c r="C26" s="5">
        <f ca="1">'Cross sectional'!BF6</f>
        <v>-2.532486973440462E-2</v>
      </c>
      <c r="P26" s="18">
        <v>-8</v>
      </c>
      <c r="Q26" s="44">
        <v>-4.3E-3</v>
      </c>
      <c r="R26" s="45">
        <v>3.2000000000000002E-3</v>
      </c>
      <c r="S26" s="46">
        <v>-1.35</v>
      </c>
      <c r="T26" s="18" t="s">
        <v>209</v>
      </c>
      <c r="U26" s="44">
        <v>-5.0000000000000001E-4</v>
      </c>
      <c r="V26" s="18">
        <v>18</v>
      </c>
      <c r="W26" s="18"/>
      <c r="X26" s="18">
        <v>-8</v>
      </c>
      <c r="Y26" s="44">
        <v>-7.4000000000000003E-3</v>
      </c>
      <c r="Z26" s="45">
        <v>3.8999999999999998E-3</v>
      </c>
      <c r="AA26" s="46">
        <v>-1.9</v>
      </c>
      <c r="AB26" s="18" t="s">
        <v>209</v>
      </c>
      <c r="AC26" s="44">
        <v>-5.7000000000000002E-3</v>
      </c>
      <c r="AD26" s="18">
        <v>18</v>
      </c>
      <c r="AE26" s="18"/>
    </row>
    <row r="27" spans="1:31" x14ac:dyDescent="0.2">
      <c r="A27">
        <v>8</v>
      </c>
      <c r="B27" s="5">
        <f ca="1">'Cross sectional'!AX5</f>
        <v>1.8094047814916969E-2</v>
      </c>
      <c r="C27" s="5">
        <f ca="1">'Cross sectional'!BF5</f>
        <v>-2.0562915152496863E-2</v>
      </c>
      <c r="P27" s="18">
        <v>-9</v>
      </c>
      <c r="Q27" s="44">
        <v>-1.2999999999999999E-3</v>
      </c>
      <c r="R27" s="45">
        <v>4.7000000000000002E-3</v>
      </c>
      <c r="S27" s="46">
        <v>-0.26</v>
      </c>
      <c r="T27" s="18" t="s">
        <v>209</v>
      </c>
      <c r="U27" s="44">
        <v>3.8E-3</v>
      </c>
      <c r="V27" s="18">
        <v>18</v>
      </c>
      <c r="W27" s="18"/>
      <c r="X27" s="18">
        <v>-9</v>
      </c>
      <c r="Y27" s="44">
        <v>-5.3E-3</v>
      </c>
      <c r="Z27" s="45">
        <v>3.3E-3</v>
      </c>
      <c r="AA27" s="46">
        <v>-1.61</v>
      </c>
      <c r="AB27" s="18" t="s">
        <v>209</v>
      </c>
      <c r="AC27" s="44">
        <v>1.6999999999999999E-3</v>
      </c>
      <c r="AD27" s="18">
        <v>18</v>
      </c>
      <c r="AE27" s="18"/>
    </row>
    <row r="28" spans="1:31" x14ac:dyDescent="0.2">
      <c r="A28">
        <v>9</v>
      </c>
      <c r="B28" s="5">
        <f ca="1">'Cross sectional'!AX4</f>
        <v>1.9700564541456522E-2</v>
      </c>
      <c r="C28" s="5">
        <f ca="1">'Cross sectional'!BF4</f>
        <v>-2.0820831619647318E-2</v>
      </c>
      <c r="P28" s="18">
        <v>-10</v>
      </c>
      <c r="Q28" s="44">
        <v>5.1000000000000004E-3</v>
      </c>
      <c r="R28" s="45">
        <v>6.6E-3</v>
      </c>
      <c r="S28" s="46">
        <v>0.77</v>
      </c>
      <c r="T28" s="18" t="s">
        <v>209</v>
      </c>
      <c r="U28" s="44">
        <v>5.1000000000000004E-3</v>
      </c>
      <c r="V28" s="18">
        <v>18</v>
      </c>
      <c r="W28" s="18"/>
      <c r="X28" s="18">
        <v>-10</v>
      </c>
      <c r="Y28" s="44">
        <v>7.0000000000000001E-3</v>
      </c>
      <c r="Z28" s="45">
        <v>1.9E-3</v>
      </c>
      <c r="AA28" s="46">
        <v>3.72</v>
      </c>
      <c r="AB28" s="18" t="s">
        <v>208</v>
      </c>
      <c r="AC28" s="44">
        <v>7.0000000000000001E-3</v>
      </c>
      <c r="AD28" s="18">
        <v>18</v>
      </c>
      <c r="AE28" s="18"/>
    </row>
    <row r="29" spans="1:31" x14ac:dyDescent="0.2">
      <c r="A29">
        <v>10</v>
      </c>
      <c r="B29" s="5">
        <f ca="1">'Cross sectional'!AX3</f>
        <v>2.7065876287075685E-2</v>
      </c>
      <c r="C29" s="5">
        <f ca="1">'Cross sectional'!BF3</f>
        <v>-1.7506626787104351E-2</v>
      </c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</row>
    <row r="33" spans="1:11" x14ac:dyDescent="0.2">
      <c r="A33" s="9" t="s">
        <v>82</v>
      </c>
    </row>
    <row r="34" spans="1:11" x14ac:dyDescent="0.2">
      <c r="A34" s="12" t="s">
        <v>83</v>
      </c>
      <c r="B34" s="12" t="s">
        <v>84</v>
      </c>
      <c r="C34" s="12" t="s">
        <v>85</v>
      </c>
      <c r="D34" s="12" t="s">
        <v>86</v>
      </c>
      <c r="E34" s="12" t="s">
        <v>87</v>
      </c>
    </row>
    <row r="35" spans="1:11" x14ac:dyDescent="0.2">
      <c r="A35" t="s">
        <v>88</v>
      </c>
      <c r="B35" s="5">
        <f ca="1">'Cross sectional'!AT13</f>
        <v>2.2254997895689043E-3</v>
      </c>
      <c r="C35" s="13">
        <f ca="1">'Cross sectional'!AV13</f>
        <v>0.28653875534127271</v>
      </c>
      <c r="D35" t="str">
        <f ca="1">'Cross sectional'!AW13</f>
        <v>No</v>
      </c>
      <c r="E35">
        <f>'Cross sectional'!AY13</f>
        <v>18</v>
      </c>
    </row>
    <row r="36" spans="1:11" x14ac:dyDescent="0.2">
      <c r="A36" t="s">
        <v>89</v>
      </c>
      <c r="B36" s="5">
        <f ca="1">'Cross sectional'!BB13</f>
        <v>-9.8457144888612798E-3</v>
      </c>
      <c r="C36" s="13">
        <f ca="1">'Cross sectional'!BD13</f>
        <v>-2.2708337840517312</v>
      </c>
      <c r="D36" t="str">
        <f ca="1">'Cross sectional'!BE13</f>
        <v>Yes</v>
      </c>
      <c r="E36">
        <f>'Cross sectional'!BG13</f>
        <v>18</v>
      </c>
    </row>
    <row r="38" spans="1:11" x14ac:dyDescent="0.2">
      <c r="A38" s="9" t="s">
        <v>90</v>
      </c>
    </row>
    <row r="39" spans="1:11" x14ac:dyDescent="0.2">
      <c r="A39" t="s">
        <v>91</v>
      </c>
      <c r="B39" s="5">
        <f ca="1">B29</f>
        <v>2.7065876287075685E-2</v>
      </c>
    </row>
    <row r="40" spans="1:11" x14ac:dyDescent="0.2">
      <c r="A40" t="s">
        <v>92</v>
      </c>
      <c r="B40" s="5">
        <f ca="1">C29</f>
        <v>-1.7506626787104351E-2</v>
      </c>
    </row>
    <row r="42" spans="1:11" x14ac:dyDescent="0.2">
      <c r="A42" s="9" t="s">
        <v>93</v>
      </c>
    </row>
    <row r="43" spans="1:11" ht="409.5" customHeight="1" x14ac:dyDescent="0.2">
      <c r="A43" s="55" t="s">
        <v>207</v>
      </c>
      <c r="B43" s="56"/>
      <c r="C43" s="56"/>
      <c r="D43" s="56"/>
      <c r="E43" s="56"/>
      <c r="F43" s="56"/>
      <c r="G43" s="56"/>
      <c r="H43" s="56"/>
      <c r="I43" s="56"/>
      <c r="J43" s="56"/>
      <c r="K43" s="56"/>
    </row>
    <row r="44" spans="1:11" x14ac:dyDescent="0.2">
      <c r="A44" s="56"/>
      <c r="B44" s="56"/>
      <c r="C44" s="56"/>
      <c r="D44" s="56"/>
      <c r="E44" s="56"/>
      <c r="F44" s="56"/>
      <c r="G44" s="56"/>
      <c r="H44" s="56"/>
      <c r="I44" s="56"/>
      <c r="J44" s="56"/>
      <c r="K44" s="56"/>
    </row>
    <row r="45" spans="1:11" x14ac:dyDescent="0.2">
      <c r="A45" s="56"/>
      <c r="B45" s="56"/>
      <c r="C45" s="56"/>
      <c r="D45" s="56"/>
      <c r="E45" s="56"/>
      <c r="F45" s="56"/>
      <c r="G45" s="56"/>
      <c r="H45" s="56"/>
      <c r="I45" s="56"/>
      <c r="J45" s="56"/>
      <c r="K45" s="56"/>
    </row>
    <row r="46" spans="1:11" x14ac:dyDescent="0.2">
      <c r="A46" s="56"/>
      <c r="B46" s="56"/>
      <c r="C46" s="56"/>
      <c r="D46" s="56"/>
      <c r="E46" s="56"/>
      <c r="F46" s="56"/>
      <c r="G46" s="56"/>
      <c r="H46" s="56"/>
      <c r="I46" s="56"/>
      <c r="J46" s="56"/>
      <c r="K46" s="56"/>
    </row>
    <row r="47" spans="1:11" x14ac:dyDescent="0.2">
      <c r="A47" s="56"/>
      <c r="B47" s="56"/>
      <c r="C47" s="56"/>
      <c r="D47" s="56"/>
      <c r="E47" s="56"/>
      <c r="F47" s="56"/>
      <c r="G47" s="56"/>
      <c r="H47" s="56"/>
      <c r="I47" s="56"/>
      <c r="J47" s="56"/>
      <c r="K47" s="56"/>
    </row>
    <row r="48" spans="1:11" x14ac:dyDescent="0.2">
      <c r="A48" s="56"/>
      <c r="B48" s="56"/>
      <c r="C48" s="56"/>
      <c r="D48" s="56"/>
      <c r="E48" s="56"/>
      <c r="F48" s="56"/>
      <c r="G48" s="56"/>
      <c r="H48" s="56"/>
      <c r="I48" s="56"/>
      <c r="J48" s="56"/>
      <c r="K48" s="56"/>
    </row>
    <row r="49" spans="1:11" x14ac:dyDescent="0.2">
      <c r="A49" s="56"/>
      <c r="B49" s="56"/>
      <c r="C49" s="56"/>
      <c r="D49" s="56"/>
      <c r="E49" s="56"/>
      <c r="F49" s="56"/>
      <c r="G49" s="56"/>
      <c r="H49" s="56"/>
      <c r="I49" s="56"/>
      <c r="J49" s="56"/>
      <c r="K49" s="56"/>
    </row>
    <row r="50" spans="1:11" x14ac:dyDescent="0.2">
      <c r="A50" s="56"/>
      <c r="B50" s="56"/>
      <c r="C50" s="56"/>
      <c r="D50" s="56"/>
      <c r="E50" s="56"/>
      <c r="F50" s="56"/>
      <c r="G50" s="56"/>
      <c r="H50" s="56"/>
      <c r="I50" s="56"/>
      <c r="J50" s="56"/>
      <c r="K50" s="56"/>
    </row>
    <row r="51" spans="1:11" x14ac:dyDescent="0.2">
      <c r="A51" s="56"/>
      <c r="B51" s="56"/>
      <c r="C51" s="56"/>
      <c r="D51" s="56"/>
      <c r="E51" s="56"/>
      <c r="F51" s="56"/>
      <c r="G51" s="56"/>
      <c r="H51" s="56"/>
      <c r="I51" s="56"/>
      <c r="J51" s="56"/>
      <c r="K51" s="56"/>
    </row>
    <row r="52" spans="1:11" x14ac:dyDescent="0.2">
      <c r="A52" s="56"/>
      <c r="B52" s="56"/>
      <c r="C52" s="56"/>
      <c r="D52" s="56"/>
      <c r="E52" s="56"/>
      <c r="F52" s="56"/>
      <c r="G52" s="56"/>
      <c r="H52" s="56"/>
      <c r="I52" s="56"/>
      <c r="J52" s="56"/>
      <c r="K52" s="56"/>
    </row>
    <row r="53" spans="1:11" x14ac:dyDescent="0.2">
      <c r="A53" s="56"/>
      <c r="B53" s="56"/>
      <c r="C53" s="56"/>
      <c r="D53" s="56"/>
      <c r="E53" s="56"/>
      <c r="F53" s="56"/>
      <c r="G53" s="56"/>
      <c r="H53" s="56"/>
      <c r="I53" s="56"/>
      <c r="J53" s="56"/>
      <c r="K53" s="56"/>
    </row>
    <row r="54" spans="1:11" x14ac:dyDescent="0.2">
      <c r="A54" s="56"/>
      <c r="B54" s="56"/>
      <c r="C54" s="56"/>
      <c r="D54" s="56"/>
      <c r="E54" s="56"/>
      <c r="F54" s="56"/>
      <c r="G54" s="56"/>
      <c r="H54" s="56"/>
      <c r="I54" s="56"/>
      <c r="J54" s="56"/>
      <c r="K54" s="56"/>
    </row>
  </sheetData>
  <mergeCells count="1">
    <mergeCell ref="A43:K5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Info</vt:lpstr>
      <vt:lpstr>Data</vt:lpstr>
      <vt:lpstr>Fattal</vt:lpstr>
      <vt:lpstr>Isrotel</vt:lpstr>
      <vt:lpstr>Dan</vt:lpstr>
      <vt:lpstr>Cross sectional</vt:lpstr>
      <vt:lpstr>MLR</vt:lpstr>
      <vt:lpstr>Normality</vt:lpstr>
      <vt:lpstr>Charts</vt:lpstr>
      <vt:lpstr>Conclusions</vt:lpstr>
      <vt:lpstr>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Glaser</dc:creator>
  <cp:lastModifiedBy>Max Glaser</cp:lastModifiedBy>
  <dcterms:created xsi:type="dcterms:W3CDTF">2026-06-01T07:44:12Z</dcterms:created>
  <dcterms:modified xsi:type="dcterms:W3CDTF">2026-10-20T14:43:52Z</dcterms:modified>
</cp:coreProperties>
</file>